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f1d6f0988300436/Dokumen/Portofolio/"/>
    </mc:Choice>
  </mc:AlternateContent>
  <xr:revisionPtr revIDLastSave="9" documentId="8_{12BE43FB-ED1D-4F6C-B29D-ED60C9FC7759}" xr6:coauthVersionLast="47" xr6:coauthVersionMax="47" xr10:uidLastSave="{F1A761FC-3BFB-4463-AB7B-F8B97F49AA9E}"/>
  <bookViews>
    <workbookView xWindow="-120" yWindow="-120" windowWidth="19440" windowHeight="11640" xr2:uid="{9EB294F6-F7A6-431E-AFAF-8EE323B84857}"/>
  </bookViews>
  <sheets>
    <sheet name="Result_Audit" sheetId="1" r:id="rId1"/>
    <sheet name="HR_Payroll_Raw_Data" sheetId="4" r:id="rId2"/>
    <sheet name="HR_Payroll_ReadyUse" sheetId="3" r:id="rId3"/>
    <sheet name="HR_Payroll_Defect" sheetId="2" r:id="rId4"/>
  </sheets>
  <definedNames>
    <definedName name="ExternalData_1" localSheetId="3" hidden="1">HR_Payroll_Defect!$A$1:$N$180</definedName>
    <definedName name="ExternalData_1" localSheetId="1" hidden="1">HR_Payroll_Raw_Data!$A$1:$H$1001</definedName>
    <definedName name="ExternalData_2" localSheetId="2" hidden="1">HR_Payroll_ReadyUse!$A$1:$I$822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7" i="1" l="1"/>
  <c r="C9" i="1"/>
  <c r="C10" i="1"/>
  <c r="C8" i="1"/>
  <c r="C6" i="1"/>
  <c r="C3" i="1"/>
  <c r="A3" i="1"/>
  <c r="E3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D30B52C-D896-47B1-BBC2-A5136C3F0ECC}" keepAlive="1" name="Query - HR_Payroll_Defect" description="Connection to the 'HR_Payroll_Defect' query in the workbook." type="5" refreshedVersion="8" background="1" saveData="1">
    <dbPr connection="Provider=Microsoft.Mashup.OleDb.1;Data Source=$Workbook$;Location=HR_Payroll_Defect;Extended Properties=&quot;&quot;" command="SELECT * FROM [HR_Payroll_Defect]"/>
  </connection>
  <connection id="2" xr16:uid="{BBE8D2CF-2035-4BB2-876B-BBA62C7DE483}" keepAlive="1" name="Query - HR_Payroll_Raw_Data" description="Connection to the 'HR_Payroll_Raw_Data' query in the workbook." type="5" refreshedVersion="8" background="1" saveData="1">
    <dbPr connection="Provider=Microsoft.Mashup.OleDb.1;Data Source=$Workbook$;Location=HR_Payroll_Raw_Data;Extended Properties=&quot;&quot;" command="SELECT * FROM [HR_Payroll_Raw_Data]"/>
  </connection>
  <connection id="3" xr16:uid="{6AE0CA62-F06D-485D-904E-E7C6DD82DFE7}" keepAlive="1" name="Query - HR_Payroll_ReadyUse" description="Connection to the 'HR_Payroll_ReadyUse' query in the workbook." type="5" refreshedVersion="8" background="1" saveData="1">
    <dbPr connection="Provider=Microsoft.Mashup.OleDb.1;Data Source=$Workbook$;Location=HR_Payroll_ReadyUse;Extended Properties=&quot;&quot;" command="SELECT * FROM [HR_Payroll_ReadyUse]"/>
  </connection>
</connections>
</file>

<file path=xl/sharedStrings.xml><?xml version="1.0" encoding="utf-8"?>
<sst xmlns="http://schemas.openxmlformats.org/spreadsheetml/2006/main" count="12380" uniqueCount="2392">
  <si>
    <t>Employee_ID</t>
  </si>
  <si>
    <t>Count_ID</t>
  </si>
  <si>
    <t>Employee_Name</t>
  </si>
  <si>
    <t>NIK_KTP</t>
  </si>
  <si>
    <t>Count_NIK</t>
  </si>
  <si>
    <t>Department</t>
  </si>
  <si>
    <t>Job_Title</t>
  </si>
  <si>
    <t>Base_Salary_IDR</t>
  </si>
  <si>
    <t>Overtime_Hours</t>
  </si>
  <si>
    <t>Overtime_Hours_Clean</t>
  </si>
  <si>
    <t>Join_Date</t>
  </si>
  <si>
    <t>EMP-0001</t>
  </si>
  <si>
    <t>MEGA SAPUTRA</t>
  </si>
  <si>
    <t>3674000000999670</t>
  </si>
  <si>
    <t>PROCUREMENT</t>
  </si>
  <si>
    <t>ANALYST</t>
  </si>
  <si>
    <t>MEGA HIDAYAT</t>
  </si>
  <si>
    <t>3674000000372105</t>
  </si>
  <si>
    <t>LOGISTICS &amp; WAREHOUSE</t>
  </si>
  <si>
    <t>SUPERVISOR</t>
  </si>
  <si>
    <t>EMP-0002</t>
  </si>
  <si>
    <t>SYAFIQ KUSUMA</t>
  </si>
  <si>
    <t>3674000000413958</t>
  </si>
  <si>
    <t>OPERATIONS</t>
  </si>
  <si>
    <t>SPECIALIST</t>
  </si>
  <si>
    <t>EMP-0003</t>
  </si>
  <si>
    <t>FAJAR KUSUMA</t>
  </si>
  <si>
    <t>3674000000253459</t>
  </si>
  <si>
    <t>EKO SANTOSO</t>
  </si>
  <si>
    <t>3674000000596831</t>
  </si>
  <si>
    <t>EMP-0004</t>
  </si>
  <si>
    <t>RIAN NUGROHO</t>
  </si>
  <si>
    <t>3674000000180901</t>
  </si>
  <si>
    <t>FINANCE &amp; ACCOUNTING</t>
  </si>
  <si>
    <t>SENIOR STAFF</t>
  </si>
  <si>
    <t>RINA KUSUMA</t>
  </si>
  <si>
    <t>3674000000979735</t>
  </si>
  <si>
    <t>IT &amp; DATA SYSTEMS</t>
  </si>
  <si>
    <t>STAFF</t>
  </si>
  <si>
    <t>EMP-0005</t>
  </si>
  <si>
    <t>DIAN WIBOWO</t>
  </si>
  <si>
    <t>3674000000649743</t>
  </si>
  <si>
    <t>HUMAN RESOURCES</t>
  </si>
  <si>
    <t>DEWI SANTOSO</t>
  </si>
  <si>
    <t>3674000000112324</t>
  </si>
  <si>
    <t>EMP-0006</t>
  </si>
  <si>
    <t>EKO SIREGAR</t>
  </si>
  <si>
    <t>3674000000354117</t>
  </si>
  <si>
    <t>EMP-0007</t>
  </si>
  <si>
    <t>EKO SAPUTRA</t>
  </si>
  <si>
    <t>3674000000736430</t>
  </si>
  <si>
    <t>RINA SAPUTRA</t>
  </si>
  <si>
    <t>3674000000681447</t>
  </si>
  <si>
    <t>EMP-0008</t>
  </si>
  <si>
    <t>SITI NUGROHO</t>
  </si>
  <si>
    <t>3674000000656673</t>
  </si>
  <si>
    <t>EMP-0009</t>
  </si>
  <si>
    <t>ANDI SAPUTRA</t>
  </si>
  <si>
    <t>3674000000516099</t>
  </si>
  <si>
    <t>EMP-0010</t>
  </si>
  <si>
    <t>DIAN SAPUTRA</t>
  </si>
  <si>
    <t>3674000000693335</t>
  </si>
  <si>
    <t>EMP-0011</t>
  </si>
  <si>
    <t>RINA WIBOWO</t>
  </si>
  <si>
    <t>3674000000713334</t>
  </si>
  <si>
    <t>EMP-0012</t>
  </si>
  <si>
    <t>RIAN WIJAYA</t>
  </si>
  <si>
    <t>3674000000667463</t>
  </si>
  <si>
    <t>DIAN HIDAYAT</t>
  </si>
  <si>
    <t>3674000000280706</t>
  </si>
  <si>
    <t>EMP-0013</t>
  </si>
  <si>
    <t>RIAN SAPUTRA</t>
  </si>
  <si>
    <t>3674000000134725</t>
  </si>
  <si>
    <t>EMP-0014</t>
  </si>
  <si>
    <t>3674000000130730</t>
  </si>
  <si>
    <t>FAJAR SAPUTRA</t>
  </si>
  <si>
    <t>3674000000318548</t>
  </si>
  <si>
    <t>EMP-0015</t>
  </si>
  <si>
    <t>MEGA WIBOWO</t>
  </si>
  <si>
    <t>3674000000148204</t>
  </si>
  <si>
    <t>EMP-0016</t>
  </si>
  <si>
    <t>SYAFIQ SANTOSO</t>
  </si>
  <si>
    <t>3674000000201043</t>
  </si>
  <si>
    <t>EMP-0017</t>
  </si>
  <si>
    <t>FAJAR HIDAYAT</t>
  </si>
  <si>
    <t>3674000000456234</t>
  </si>
  <si>
    <t>RINA HIDAYAT</t>
  </si>
  <si>
    <t>3674000000628506</t>
  </si>
  <si>
    <t>EMP-0018</t>
  </si>
  <si>
    <t>BUDI SAPUTRA</t>
  </si>
  <si>
    <t>3674000000318419</t>
  </si>
  <si>
    <t>EMP-0019</t>
  </si>
  <si>
    <t>ANDI NUGROHO</t>
  </si>
  <si>
    <t>3674000000629124</t>
  </si>
  <si>
    <t>MEGA SANTOSO</t>
  </si>
  <si>
    <t>3674000000413701</t>
  </si>
  <si>
    <t>EMP-0020</t>
  </si>
  <si>
    <t>3674000000235729</t>
  </si>
  <si>
    <t>EMP-0021</t>
  </si>
  <si>
    <t>AHMAD SAPUTRA</t>
  </si>
  <si>
    <t>3674000000711946</t>
  </si>
  <si>
    <t>EMP-0022</t>
  </si>
  <si>
    <t>AHMAD PRATAMA</t>
  </si>
  <si>
    <t>3674000000351</t>
  </si>
  <si>
    <t>EMP-0939</t>
  </si>
  <si>
    <t>SYAFIQ SAPUTRA</t>
  </si>
  <si>
    <t>EMP-0023</t>
  </si>
  <si>
    <t>3674000000740581</t>
  </si>
  <si>
    <t>ANDI HIDAYAT</t>
  </si>
  <si>
    <t>3674000000424236</t>
  </si>
  <si>
    <t>RINA PRATAMA</t>
  </si>
  <si>
    <t>3674000000713060</t>
  </si>
  <si>
    <t>EMP-0024</t>
  </si>
  <si>
    <t>DEWI HIDAYAT</t>
  </si>
  <si>
    <t>3674000000472799</t>
  </si>
  <si>
    <t>BUDI KUSUMA</t>
  </si>
  <si>
    <t>3674000000303701</t>
  </si>
  <si>
    <t>EMP-0025</t>
  </si>
  <si>
    <t>BUDI SIREGAR</t>
  </si>
  <si>
    <t>3674000000736738</t>
  </si>
  <si>
    <t>EMP-0026</t>
  </si>
  <si>
    <t>MEGA KUSUMA</t>
  </si>
  <si>
    <t>3674000000782479</t>
  </si>
  <si>
    <t>FAJAR SANTOSO</t>
  </si>
  <si>
    <t>3674000000840707</t>
  </si>
  <si>
    <t>EMP-0027</t>
  </si>
  <si>
    <t>3674000000770528</t>
  </si>
  <si>
    <t>RINA WIJAYA</t>
  </si>
  <si>
    <t>3674000000279583</t>
  </si>
  <si>
    <t>EKO HIDAYAT</t>
  </si>
  <si>
    <t>3674000000178207</t>
  </si>
  <si>
    <t>EMP-0028</t>
  </si>
  <si>
    <t>3674000000765</t>
  </si>
  <si>
    <t>3674000000901393</t>
  </si>
  <si>
    <t>ANDI WIBOWO</t>
  </si>
  <si>
    <t>3674000000314298</t>
  </si>
  <si>
    <t>3674000000159175</t>
  </si>
  <si>
    <t>EMP-0029</t>
  </si>
  <si>
    <t>3674000000822184</t>
  </si>
  <si>
    <t>EMP-0030</t>
  </si>
  <si>
    <t>3674000000688063</t>
  </si>
  <si>
    <t>EMP-0031</t>
  </si>
  <si>
    <t>AHMAD SANTOSO</t>
  </si>
  <si>
    <t>3674000000213980</t>
  </si>
  <si>
    <t>EMP-0032</t>
  </si>
  <si>
    <t>SITI SIREGAR</t>
  </si>
  <si>
    <t>3674000000163117</t>
  </si>
  <si>
    <t>EMP-0033</t>
  </si>
  <si>
    <t>RINA LESTARI</t>
  </si>
  <si>
    <t>3674000000187485</t>
  </si>
  <si>
    <t>EMP-0034</t>
  </si>
  <si>
    <t>3674000000721199</t>
  </si>
  <si>
    <t>EMP-0035</t>
  </si>
  <si>
    <t>DIAN KUSUMA</t>
  </si>
  <si>
    <t>3674000000604285</t>
  </si>
  <si>
    <t>EMP-0036</t>
  </si>
  <si>
    <t>3674000000105554</t>
  </si>
  <si>
    <t>EMP-0037</t>
  </si>
  <si>
    <t>ANDI WIJAYA</t>
  </si>
  <si>
    <t>3674000000178290</t>
  </si>
  <si>
    <t>EMP-0038</t>
  </si>
  <si>
    <t>RIAN WIBOWO</t>
  </si>
  <si>
    <t>3674000000808157</t>
  </si>
  <si>
    <t>EMP-0039</t>
  </si>
  <si>
    <t>3674000000734813</t>
  </si>
  <si>
    <t>EMP-0040</t>
  </si>
  <si>
    <t>AHMAD WIBOWO</t>
  </si>
  <si>
    <t>3674000000481949</t>
  </si>
  <si>
    <t>EMP-0041</t>
  </si>
  <si>
    <t>3674000000644666</t>
  </si>
  <si>
    <t>EMP-0042</t>
  </si>
  <si>
    <t>SYAFIQ WIBOWO</t>
  </si>
  <si>
    <t>3674000000696211</t>
  </si>
  <si>
    <t>EMP-0044</t>
  </si>
  <si>
    <t>BUDI SANTOSO</t>
  </si>
  <si>
    <t>3674000000739</t>
  </si>
  <si>
    <t>EMP-0045</t>
  </si>
  <si>
    <t>AHMAD KUSUMA</t>
  </si>
  <si>
    <t>3674000000694194</t>
  </si>
  <si>
    <t>EMP-0046</t>
  </si>
  <si>
    <t>SITI SANTOSO</t>
  </si>
  <si>
    <t>3674000000326576</t>
  </si>
  <si>
    <t>EMP-0047</t>
  </si>
  <si>
    <t>3674000000586150</t>
  </si>
  <si>
    <t>EMP-0048</t>
  </si>
  <si>
    <t>3674000000701463</t>
  </si>
  <si>
    <t>EMP-0049</t>
  </si>
  <si>
    <t>ANDI SIREGAR</t>
  </si>
  <si>
    <t>3674000000527</t>
  </si>
  <si>
    <t>EMP-0050</t>
  </si>
  <si>
    <t>SITI PRATAMA</t>
  </si>
  <si>
    <t>3674000000767948</t>
  </si>
  <si>
    <t>EMP-0051</t>
  </si>
  <si>
    <t>ANDI PRATAMA</t>
  </si>
  <si>
    <t>3674000000365757</t>
  </si>
  <si>
    <t>EMP-0052</t>
  </si>
  <si>
    <t>DEWI SIREGAR</t>
  </si>
  <si>
    <t>3674000000843583</t>
  </si>
  <si>
    <t>EMP-0053</t>
  </si>
  <si>
    <t>3674000000151495</t>
  </si>
  <si>
    <t>EMP-0054</t>
  </si>
  <si>
    <t>INVALID_NIK</t>
  </si>
  <si>
    <t>EMP-0062</t>
  </si>
  <si>
    <t>EKO WIJAYA</t>
  </si>
  <si>
    <t>EMP-0071</t>
  </si>
  <si>
    <t>EMP-0079</t>
  </si>
  <si>
    <t>BUDI NUGROHO</t>
  </si>
  <si>
    <t>EMP-0084</t>
  </si>
  <si>
    <t>MEGA PRATAMA</t>
  </si>
  <si>
    <t>EMP-0117</t>
  </si>
  <si>
    <t>EMP-0246</t>
  </si>
  <si>
    <t>EMP-0323</t>
  </si>
  <si>
    <t>FAJAR NUGROHO</t>
  </si>
  <si>
    <t>EMP-0349</t>
  </si>
  <si>
    <t>MEGA LESTARI</t>
  </si>
  <si>
    <t>EMP-0381</t>
  </si>
  <si>
    <t>EMP-0477</t>
  </si>
  <si>
    <t>SYAFIQ NUGROHO</t>
  </si>
  <si>
    <t>EMP-0498</t>
  </si>
  <si>
    <t>EKO WIBOWO</t>
  </si>
  <si>
    <t>EMP-0510</t>
  </si>
  <si>
    <t>RIAN KUSUMA</t>
  </si>
  <si>
    <t>EMP-0542</t>
  </si>
  <si>
    <t>SITI KUSUMA</t>
  </si>
  <si>
    <t>EMP-0554</t>
  </si>
  <si>
    <t>DIAN NUGROHO</t>
  </si>
  <si>
    <t>EMP-0568</t>
  </si>
  <si>
    <t>RIAN LESTARI</t>
  </si>
  <si>
    <t>EMP-0579</t>
  </si>
  <si>
    <t>DIAN WIJAYA</t>
  </si>
  <si>
    <t>EMP-0592</t>
  </si>
  <si>
    <t>EMP-0617</t>
  </si>
  <si>
    <t>EMP-0688</t>
  </si>
  <si>
    <t>EMP-0705</t>
  </si>
  <si>
    <t>RIAN PRATAMA</t>
  </si>
  <si>
    <t>EMP-0745</t>
  </si>
  <si>
    <t>EMP-0881</t>
  </si>
  <si>
    <t>EMP-0055</t>
  </si>
  <si>
    <t>3674000000540471</t>
  </si>
  <si>
    <t>EMP-0056</t>
  </si>
  <si>
    <t>3674000000673254</t>
  </si>
  <si>
    <t>EMP-0057</t>
  </si>
  <si>
    <t>3674000000752380</t>
  </si>
  <si>
    <t>EMP-0058</t>
  </si>
  <si>
    <t>BUDI HIDAYAT</t>
  </si>
  <si>
    <t>3674000000213819</t>
  </si>
  <si>
    <t>EMP-0059</t>
  </si>
  <si>
    <t>3674000000717484</t>
  </si>
  <si>
    <t>EMP-0060</t>
  </si>
  <si>
    <t>3674000000354157</t>
  </si>
  <si>
    <t>EMP-0061</t>
  </si>
  <si>
    <t>3674000000720541</t>
  </si>
  <si>
    <t>EMP-0063</t>
  </si>
  <si>
    <t>SYAFIQ LESTARI</t>
  </si>
  <si>
    <t>3674000000382070</t>
  </si>
  <si>
    <t>EMP-0064</t>
  </si>
  <si>
    <t>3674000000557673</t>
  </si>
  <si>
    <t>EMP-0065</t>
  </si>
  <si>
    <t>MEGA NUGROHO</t>
  </si>
  <si>
    <t>3674000000302083</t>
  </si>
  <si>
    <t>EMP-0066</t>
  </si>
  <si>
    <t>SITI HIDAYAT</t>
  </si>
  <si>
    <t>3674000000329306</t>
  </si>
  <si>
    <t>EMP-0067</t>
  </si>
  <si>
    <t>RINA SIREGAR</t>
  </si>
  <si>
    <t>3674000000588180</t>
  </si>
  <si>
    <t>EMP-0068</t>
  </si>
  <si>
    <t>RIAN SIREGAR</t>
  </si>
  <si>
    <t>3674000000309744</t>
  </si>
  <si>
    <t>EMP-0069</t>
  </si>
  <si>
    <t>DIAN SIREGAR</t>
  </si>
  <si>
    <t>3674000000485795</t>
  </si>
  <si>
    <t>EMP-0070</t>
  </si>
  <si>
    <t>3674000000770440</t>
  </si>
  <si>
    <t>EMP-0072</t>
  </si>
  <si>
    <t>3674000000187026</t>
  </si>
  <si>
    <t>EMP-0073</t>
  </si>
  <si>
    <t>3674000000619</t>
  </si>
  <si>
    <t>EMP-0074</t>
  </si>
  <si>
    <t>3674000000613622</t>
  </si>
  <si>
    <t>EMP-0075</t>
  </si>
  <si>
    <t>SITI WIBOWO</t>
  </si>
  <si>
    <t>3674000000609065</t>
  </si>
  <si>
    <t>EMP-0076</t>
  </si>
  <si>
    <t>3674000000921449</t>
  </si>
  <si>
    <t>EMP-0077</t>
  </si>
  <si>
    <t>3674000000609541</t>
  </si>
  <si>
    <t>EMP-0078</t>
  </si>
  <si>
    <t>3674000000963</t>
  </si>
  <si>
    <t>EMP-0613</t>
  </si>
  <si>
    <t>EMP-0080</t>
  </si>
  <si>
    <t>3674000000218484</t>
  </si>
  <si>
    <t>EMP-0081</t>
  </si>
  <si>
    <t>3674000000474313</t>
  </si>
  <si>
    <t>EMP-0082</t>
  </si>
  <si>
    <t>3674000000709523</t>
  </si>
  <si>
    <t>EMP-0083</t>
  </si>
  <si>
    <t>3674000000211993</t>
  </si>
  <si>
    <t>EMP-0085</t>
  </si>
  <si>
    <t>SYAFIQ PRATAMA</t>
  </si>
  <si>
    <t>3674000000445655</t>
  </si>
  <si>
    <t>EMP-0086</t>
  </si>
  <si>
    <t>3674000000825637</t>
  </si>
  <si>
    <t>EMP-0087</t>
  </si>
  <si>
    <t>3674000000791417</t>
  </si>
  <si>
    <t>EMP-0088</t>
  </si>
  <si>
    <t>3674000000898139</t>
  </si>
  <si>
    <t>EMP-0089</t>
  </si>
  <si>
    <t>SITI LESTARI</t>
  </si>
  <si>
    <t>3674000000566265</t>
  </si>
  <si>
    <t>EMP-0090</t>
  </si>
  <si>
    <t>EKO PRATAMA</t>
  </si>
  <si>
    <t>3674000000643171</t>
  </si>
  <si>
    <t>EMP-0091</t>
  </si>
  <si>
    <t>3674000000590532</t>
  </si>
  <si>
    <t>EMP-0092</t>
  </si>
  <si>
    <t>SITI SAPUTRA</t>
  </si>
  <si>
    <t>3674000000995180</t>
  </si>
  <si>
    <t>EMP-0093</t>
  </si>
  <si>
    <t>3674000000772457</t>
  </si>
  <si>
    <t>EMP-0094</t>
  </si>
  <si>
    <t>3674000000189704</t>
  </si>
  <si>
    <t>EMP-0095</t>
  </si>
  <si>
    <t>3674000000491174</t>
  </si>
  <si>
    <t>EMP-0096</t>
  </si>
  <si>
    <t>3674000000820784</t>
  </si>
  <si>
    <t>EMP-0097</t>
  </si>
  <si>
    <t>DEWI WIJAYA</t>
  </si>
  <si>
    <t>3674000000242925</t>
  </si>
  <si>
    <t>EMP-0099</t>
  </si>
  <si>
    <t>3674000000317299</t>
  </si>
  <si>
    <t>EMP-0100</t>
  </si>
  <si>
    <t>3674000000927</t>
  </si>
  <si>
    <t>EMP-0101</t>
  </si>
  <si>
    <t>3674000000429445</t>
  </si>
  <si>
    <t>EMP-0102</t>
  </si>
  <si>
    <t>3674000000629912</t>
  </si>
  <si>
    <t>EMP-0103</t>
  </si>
  <si>
    <t>3674000000157521</t>
  </si>
  <si>
    <t>EMP-0104</t>
  </si>
  <si>
    <t>DEWI SAPUTRA</t>
  </si>
  <si>
    <t>3674000000573962</t>
  </si>
  <si>
    <t>EMP-0105</t>
  </si>
  <si>
    <t>3674000000636907</t>
  </si>
  <si>
    <t>EMP-0106</t>
  </si>
  <si>
    <t>DEWI LESTARI</t>
  </si>
  <si>
    <t>3674000000913097</t>
  </si>
  <si>
    <t>EMP-0107</t>
  </si>
  <si>
    <t>DIAN LESTARI</t>
  </si>
  <si>
    <t>3674000000903680</t>
  </si>
  <si>
    <t>EMP-0108</t>
  </si>
  <si>
    <t>BUDI PRATAMA</t>
  </si>
  <si>
    <t>3674000000796252</t>
  </si>
  <si>
    <t>EMP-0109</t>
  </si>
  <si>
    <t>3674000000811552</t>
  </si>
  <si>
    <t>EMP-0110</t>
  </si>
  <si>
    <t>3674000000694461</t>
  </si>
  <si>
    <t>EMP-0111</t>
  </si>
  <si>
    <t>3674000000223335</t>
  </si>
  <si>
    <t>EMP-0112</t>
  </si>
  <si>
    <t>BUDI WIBOWO</t>
  </si>
  <si>
    <t>3674000000525141</t>
  </si>
  <si>
    <t>EMP-0113</t>
  </si>
  <si>
    <t>3674000000889120</t>
  </si>
  <si>
    <t>EMP-0114</t>
  </si>
  <si>
    <t>3674000000794468</t>
  </si>
  <si>
    <t>EMP-0115</t>
  </si>
  <si>
    <t>3674000000566731</t>
  </si>
  <si>
    <t>EMP-0116</t>
  </si>
  <si>
    <t>AHMAD SIREGAR</t>
  </si>
  <si>
    <t>3674000000461304</t>
  </si>
  <si>
    <t>EMP-0118</t>
  </si>
  <si>
    <t>3674000000360373</t>
  </si>
  <si>
    <t>EMP-0119</t>
  </si>
  <si>
    <t>3674000000874725</t>
  </si>
  <si>
    <t>EMP-0120</t>
  </si>
  <si>
    <t>3674000000454624</t>
  </si>
  <si>
    <t>EMP-0121</t>
  </si>
  <si>
    <t>3674000000401032</t>
  </si>
  <si>
    <t>EMP-0122</t>
  </si>
  <si>
    <t>BUDI WIJAYA</t>
  </si>
  <si>
    <t>3674000000282572</t>
  </si>
  <si>
    <t>EMP-0123</t>
  </si>
  <si>
    <t>3674000000121655</t>
  </si>
  <si>
    <t>EMP-0124</t>
  </si>
  <si>
    <t>3674000000702948</t>
  </si>
  <si>
    <t>EMP-0125</t>
  </si>
  <si>
    <t>3674000000893493</t>
  </si>
  <si>
    <t>EMP-0126</t>
  </si>
  <si>
    <t>3674000000566124</t>
  </si>
  <si>
    <t>EMP-0127</t>
  </si>
  <si>
    <t>3674000000360366</t>
  </si>
  <si>
    <t>EMP-0128</t>
  </si>
  <si>
    <t>3674000000594978</t>
  </si>
  <si>
    <t>EMP-0129</t>
  </si>
  <si>
    <t>3674000000635136</t>
  </si>
  <si>
    <t>EMP-0130</t>
  </si>
  <si>
    <t>3674000000939</t>
  </si>
  <si>
    <t>EMP-0497</t>
  </si>
  <si>
    <t>EMP-0131</t>
  </si>
  <si>
    <t>FAJAR SIREGAR</t>
  </si>
  <si>
    <t>3674000000740</t>
  </si>
  <si>
    <t>EMP-0132</t>
  </si>
  <si>
    <t>3674000000819964</t>
  </si>
  <si>
    <t>EMP-0133</t>
  </si>
  <si>
    <t>3674000000482967</t>
  </si>
  <si>
    <t>EMP-0134</t>
  </si>
  <si>
    <t>3674000000365268</t>
  </si>
  <si>
    <t>EMP-0135</t>
  </si>
  <si>
    <t>3674000000735450</t>
  </si>
  <si>
    <t>EMP-0136</t>
  </si>
  <si>
    <t>3674000000422121</t>
  </si>
  <si>
    <t>EMP-0137</t>
  </si>
  <si>
    <t>3674000000649218</t>
  </si>
  <si>
    <t>EMP-0138</t>
  </si>
  <si>
    <t>3674000000512843</t>
  </si>
  <si>
    <t>EMP-0139</t>
  </si>
  <si>
    <t>3674000000337786</t>
  </si>
  <si>
    <t>EMP-0140</t>
  </si>
  <si>
    <t>3674000000452859</t>
  </si>
  <si>
    <t>EMP-0142</t>
  </si>
  <si>
    <t>3674000000797811</t>
  </si>
  <si>
    <t>EMP-0143</t>
  </si>
  <si>
    <t>3674000000447515</t>
  </si>
  <si>
    <t>EMP-0144</t>
  </si>
  <si>
    <t>AHMAD LESTARI</t>
  </si>
  <si>
    <t>3674000000885</t>
  </si>
  <si>
    <t>EMP-0145</t>
  </si>
  <si>
    <t>3674000000363065</t>
  </si>
  <si>
    <t>EMP-0146</t>
  </si>
  <si>
    <t>EKO LESTARI</t>
  </si>
  <si>
    <t>3674000000602236</t>
  </si>
  <si>
    <t>EMP-0147</t>
  </si>
  <si>
    <t>3674000000716985</t>
  </si>
  <si>
    <t>EMP-0148</t>
  </si>
  <si>
    <t>3674000000589520</t>
  </si>
  <si>
    <t>EMP-0149</t>
  </si>
  <si>
    <t>3674000000626918</t>
  </si>
  <si>
    <t>EMP-0150</t>
  </si>
  <si>
    <t>DEWI NUGROHO</t>
  </si>
  <si>
    <t>3674000000354684</t>
  </si>
  <si>
    <t>EMP-0151</t>
  </si>
  <si>
    <t>3674000000100</t>
  </si>
  <si>
    <t>EMP-0152</t>
  </si>
  <si>
    <t>DIAN PRATAMA</t>
  </si>
  <si>
    <t>3674000000384</t>
  </si>
  <si>
    <t>EMP-0153</t>
  </si>
  <si>
    <t>FAJAR WIJAYA</t>
  </si>
  <si>
    <t>3674000000177189</t>
  </si>
  <si>
    <t>EMP-0154</t>
  </si>
  <si>
    <t>BUDI LESTARI</t>
  </si>
  <si>
    <t>3674000000934888</t>
  </si>
  <si>
    <t>EMP-0155</t>
  </si>
  <si>
    <t>3674000000485863</t>
  </si>
  <si>
    <t>EMP-0156</t>
  </si>
  <si>
    <t>3674000000878514</t>
  </si>
  <si>
    <t>EMP-0157</t>
  </si>
  <si>
    <t>MEGA SIREGAR</t>
  </si>
  <si>
    <t>3674000000895211</t>
  </si>
  <si>
    <t>EMP-0159</t>
  </si>
  <si>
    <t>3674000000195744</t>
  </si>
  <si>
    <t>EMP-0160</t>
  </si>
  <si>
    <t>3674000000523</t>
  </si>
  <si>
    <t>EMP-0161</t>
  </si>
  <si>
    <t>FAJAR LESTARI</t>
  </si>
  <si>
    <t>3674000000897699</t>
  </si>
  <si>
    <t>EMP-0162</t>
  </si>
  <si>
    <t>3674000000234455</t>
  </si>
  <si>
    <t>EMP-0163</t>
  </si>
  <si>
    <t>3674000000597058</t>
  </si>
  <si>
    <t>EMP-0164</t>
  </si>
  <si>
    <t>3674000000472015</t>
  </si>
  <si>
    <t>EMP-0165</t>
  </si>
  <si>
    <t>3674000000522660</t>
  </si>
  <si>
    <t>EMP-0166</t>
  </si>
  <si>
    <t>3674000000325799</t>
  </si>
  <si>
    <t>EMP-0167</t>
  </si>
  <si>
    <t>3674000000437</t>
  </si>
  <si>
    <t>EMP-0169</t>
  </si>
  <si>
    <t>3674000000689408</t>
  </si>
  <si>
    <t>EMP-0170</t>
  </si>
  <si>
    <t>3674000000798756</t>
  </si>
  <si>
    <t>EMP-0171</t>
  </si>
  <si>
    <t>SYAFIQ SIREGAR</t>
  </si>
  <si>
    <t>3674000000232169</t>
  </si>
  <si>
    <t>EMP-0172</t>
  </si>
  <si>
    <t>3674000000753716</t>
  </si>
  <si>
    <t>EMP-0173</t>
  </si>
  <si>
    <t>3674000000626514</t>
  </si>
  <si>
    <t>EMP-0174</t>
  </si>
  <si>
    <t>3674000000870111</t>
  </si>
  <si>
    <t>EMP-0175</t>
  </si>
  <si>
    <t>ANDI SANTOSO</t>
  </si>
  <si>
    <t>3674000000671456</t>
  </si>
  <si>
    <t>EMP-0176</t>
  </si>
  <si>
    <t>3674000000390964</t>
  </si>
  <si>
    <t>EMP-0177</t>
  </si>
  <si>
    <t>3674000000214341</t>
  </si>
  <si>
    <t>EMP-0178</t>
  </si>
  <si>
    <t>3674000000577044</t>
  </si>
  <si>
    <t>EMP-0179</t>
  </si>
  <si>
    <t>3674000000170537</t>
  </si>
  <si>
    <t>EMP-0180</t>
  </si>
  <si>
    <t>3674000000634920</t>
  </si>
  <si>
    <t>EMP-0181</t>
  </si>
  <si>
    <t>3674000000784554</t>
  </si>
  <si>
    <t>EMP-0182</t>
  </si>
  <si>
    <t>AHMAD NUGROHO</t>
  </si>
  <si>
    <t>3674000000831738</t>
  </si>
  <si>
    <t>EMP-0183</t>
  </si>
  <si>
    <t>3674000000277479</t>
  </si>
  <si>
    <t>EMP-0184</t>
  </si>
  <si>
    <t>3674000000162522</t>
  </si>
  <si>
    <t>EMP-0185</t>
  </si>
  <si>
    <t>3674000000223</t>
  </si>
  <si>
    <t>EMP-0186</t>
  </si>
  <si>
    <t>3674000000771437</t>
  </si>
  <si>
    <t>EMP-0187</t>
  </si>
  <si>
    <t>3674000000132593</t>
  </si>
  <si>
    <t>EMP-0188</t>
  </si>
  <si>
    <t>3674000000954470</t>
  </si>
  <si>
    <t>EMP-0189</t>
  </si>
  <si>
    <t>RINA NUGROHO</t>
  </si>
  <si>
    <t>3674000000660031</t>
  </si>
  <si>
    <t>EMP-0190</t>
  </si>
  <si>
    <t>3674000000289720</t>
  </si>
  <si>
    <t>EMP-0191</t>
  </si>
  <si>
    <t>3674000000709735</t>
  </si>
  <si>
    <t>EMP-0192</t>
  </si>
  <si>
    <t>3674000000692940</t>
  </si>
  <si>
    <t>EMP-0193</t>
  </si>
  <si>
    <t>3674000000749109</t>
  </si>
  <si>
    <t>EMP-0194</t>
  </si>
  <si>
    <t>3674000000237711</t>
  </si>
  <si>
    <t>EMP-0195</t>
  </si>
  <si>
    <t>3674000000340302</t>
  </si>
  <si>
    <t>EMP-0196</t>
  </si>
  <si>
    <t>3674000000784904</t>
  </si>
  <si>
    <t>EMP-0197</t>
  </si>
  <si>
    <t>DIAN SANTOSO</t>
  </si>
  <si>
    <t>3674000000804</t>
  </si>
  <si>
    <t>EMP-0198</t>
  </si>
  <si>
    <t>3674000000768696</t>
  </si>
  <si>
    <t>EMP-0199</t>
  </si>
  <si>
    <t>3674000000339222</t>
  </si>
  <si>
    <t>EMP-0200</t>
  </si>
  <si>
    <t>3674000000903811</t>
  </si>
  <si>
    <t>EMP-0201</t>
  </si>
  <si>
    <t>3674000000223390</t>
  </si>
  <si>
    <t>EMP-0202</t>
  </si>
  <si>
    <t>3674000000968250</t>
  </si>
  <si>
    <t>EMP-0203</t>
  </si>
  <si>
    <t>3674000000647377</t>
  </si>
  <si>
    <t>EMP-0204</t>
  </si>
  <si>
    <t>3674000000228041</t>
  </si>
  <si>
    <t>EMP-0205</t>
  </si>
  <si>
    <t>3674000000824794</t>
  </si>
  <si>
    <t>EMP-0207</t>
  </si>
  <si>
    <t>3674000000924190</t>
  </si>
  <si>
    <t>EMP-0208</t>
  </si>
  <si>
    <t>3674000000343331</t>
  </si>
  <si>
    <t>EMP-0209</t>
  </si>
  <si>
    <t>3674000000723803</t>
  </si>
  <si>
    <t>EMP-0210</t>
  </si>
  <si>
    <t>3674000000912153</t>
  </si>
  <si>
    <t>EMP-0211</t>
  </si>
  <si>
    <t>3674000000510948</t>
  </si>
  <si>
    <t>EMP-0212</t>
  </si>
  <si>
    <t>3674000000219094</t>
  </si>
  <si>
    <t>EMP-0213</t>
  </si>
  <si>
    <t>3674000000326972</t>
  </si>
  <si>
    <t>EMP-0214</t>
  </si>
  <si>
    <t>3674000000665051</t>
  </si>
  <si>
    <t>EMP-0215</t>
  </si>
  <si>
    <t>3674000000620885</t>
  </si>
  <si>
    <t>EMP-0216</t>
  </si>
  <si>
    <t>3674000000234</t>
  </si>
  <si>
    <t>EMP-0217</t>
  </si>
  <si>
    <t>3674000000167244</t>
  </si>
  <si>
    <t>EMP-0218</t>
  </si>
  <si>
    <t>3674000000900184</t>
  </si>
  <si>
    <t>EMP-0219</t>
  </si>
  <si>
    <t>3674000000980456</t>
  </si>
  <si>
    <t>EMP-0220</t>
  </si>
  <si>
    <t>3674000000633630</t>
  </si>
  <si>
    <t>EMP-0221</t>
  </si>
  <si>
    <t>3674000000569845</t>
  </si>
  <si>
    <t>EMP-0222</t>
  </si>
  <si>
    <t>3674000000499754</t>
  </si>
  <si>
    <t>EMP-0223</t>
  </si>
  <si>
    <t>3674000000466374</t>
  </si>
  <si>
    <t>EMP-0224</t>
  </si>
  <si>
    <t>3674000000102518</t>
  </si>
  <si>
    <t>EMP-0225</t>
  </si>
  <si>
    <t>3674000000925832</t>
  </si>
  <si>
    <t>EMP-0226</t>
  </si>
  <si>
    <t>3674000000798058</t>
  </si>
  <si>
    <t>EMP-0227</t>
  </si>
  <si>
    <t>3674000000570379</t>
  </si>
  <si>
    <t>EMP-0228</t>
  </si>
  <si>
    <t>3674000000925541</t>
  </si>
  <si>
    <t>EMP-0229</t>
  </si>
  <si>
    <t>3674000000845609</t>
  </si>
  <si>
    <t>EMP-0230</t>
  </si>
  <si>
    <t>3674000000513460</t>
  </si>
  <si>
    <t>EMP-0231</t>
  </si>
  <si>
    <t>3674000000738208</t>
  </si>
  <si>
    <t>EMP-0232</t>
  </si>
  <si>
    <t>3674000000249140</t>
  </si>
  <si>
    <t>EMP-0233</t>
  </si>
  <si>
    <t>3674000000684254</t>
  </si>
  <si>
    <t>EMP-0234</t>
  </si>
  <si>
    <t>3674000000532</t>
  </si>
  <si>
    <t>EMP-0235</t>
  </si>
  <si>
    <t>3674000000194875</t>
  </si>
  <si>
    <t>EMP-0236</t>
  </si>
  <si>
    <t>3674000000330591</t>
  </si>
  <si>
    <t>EMP-0237</t>
  </si>
  <si>
    <t>3674000000152</t>
  </si>
  <si>
    <t>EMP-0238</t>
  </si>
  <si>
    <t>3674000000703</t>
  </si>
  <si>
    <t>EMP-0239</t>
  </si>
  <si>
    <t>3674000000331292</t>
  </si>
  <si>
    <t>EMP-0240</t>
  </si>
  <si>
    <t>3674000000425224</t>
  </si>
  <si>
    <t>EMP-0241</t>
  </si>
  <si>
    <t>3674000000278</t>
  </si>
  <si>
    <t>EMP-0242</t>
  </si>
  <si>
    <t>3674000000791112</t>
  </si>
  <si>
    <t>EMP-0243</t>
  </si>
  <si>
    <t>DEWI WIBOWO</t>
  </si>
  <si>
    <t>3674000000273414</t>
  </si>
  <si>
    <t>EMP-0244</t>
  </si>
  <si>
    <t>3674000000590982</t>
  </si>
  <si>
    <t>EMP-0245</t>
  </si>
  <si>
    <t>3674000000570380</t>
  </si>
  <si>
    <t>EMP-0247</t>
  </si>
  <si>
    <t>3674000000336878</t>
  </si>
  <si>
    <t>EMP-0248</t>
  </si>
  <si>
    <t>3674000000572776</t>
  </si>
  <si>
    <t>EMP-0249</t>
  </si>
  <si>
    <t>3674000000884737</t>
  </si>
  <si>
    <t>EMP-0250</t>
  </si>
  <si>
    <t>RIAN HIDAYAT</t>
  </si>
  <si>
    <t>3674000000918871</t>
  </si>
  <si>
    <t>EMP-0251</t>
  </si>
  <si>
    <t>3674000000361052</t>
  </si>
  <si>
    <t>EMP-0252</t>
  </si>
  <si>
    <t>3674000000757120</t>
  </si>
  <si>
    <t>EMP-0253</t>
  </si>
  <si>
    <t>3674000000178316</t>
  </si>
  <si>
    <t>EMP-0254</t>
  </si>
  <si>
    <t>3674000000361281</t>
  </si>
  <si>
    <t>EMP-0255</t>
  </si>
  <si>
    <t>3674000000887371</t>
  </si>
  <si>
    <t>EMP-0256</t>
  </si>
  <si>
    <t>3674000000680832</t>
  </si>
  <si>
    <t>EMP-0257</t>
  </si>
  <si>
    <t>3674000000241522</t>
  </si>
  <si>
    <t>EMP-0258</t>
  </si>
  <si>
    <t>3674000000771951</t>
  </si>
  <si>
    <t>EMP-0259</t>
  </si>
  <si>
    <t>3674000000564592</t>
  </si>
  <si>
    <t>EMP-0260</t>
  </si>
  <si>
    <t>3674000000109427</t>
  </si>
  <si>
    <t>EMP-0261</t>
  </si>
  <si>
    <t>3674000000430784</t>
  </si>
  <si>
    <t>EMP-0262</t>
  </si>
  <si>
    <t>3674000000113963</t>
  </si>
  <si>
    <t>EMP-0263</t>
  </si>
  <si>
    <t>3674000000595231</t>
  </si>
  <si>
    <t>EMP-0264</t>
  </si>
  <si>
    <t>3674000000657103</t>
  </si>
  <si>
    <t>EMP-0265</t>
  </si>
  <si>
    <t>3674000000297271</t>
  </si>
  <si>
    <t>EMP-0266</t>
  </si>
  <si>
    <t>3674000000479472</t>
  </si>
  <si>
    <t>EMP-0267</t>
  </si>
  <si>
    <t>3674000000952476</t>
  </si>
  <si>
    <t>EMP-0268</t>
  </si>
  <si>
    <t>3674000000829620</t>
  </si>
  <si>
    <t>EMP-0269</t>
  </si>
  <si>
    <t>3674000000985421</t>
  </si>
  <si>
    <t>EMP-0270</t>
  </si>
  <si>
    <t>3674000000863992</t>
  </si>
  <si>
    <t>EMP-0271</t>
  </si>
  <si>
    <t>3674000000549</t>
  </si>
  <si>
    <t>EMP-0272</t>
  </si>
  <si>
    <t>3674000000549404</t>
  </si>
  <si>
    <t>EMP-0273</t>
  </si>
  <si>
    <t>3674000000909614</t>
  </si>
  <si>
    <t>EMP-0274</t>
  </si>
  <si>
    <t>3674000000297630</t>
  </si>
  <si>
    <t>EMP-0275</t>
  </si>
  <si>
    <t>3674000000219619</t>
  </si>
  <si>
    <t>EMP-0276</t>
  </si>
  <si>
    <t>SYAFIQ WIJAYA</t>
  </si>
  <si>
    <t>3674000000476128</t>
  </si>
  <si>
    <t>EMP-0277</t>
  </si>
  <si>
    <t>3674000000122925</t>
  </si>
  <si>
    <t>EMP-0278</t>
  </si>
  <si>
    <t>3674000000419130</t>
  </si>
  <si>
    <t>EMP-0279</t>
  </si>
  <si>
    <t>3674000000773637</t>
  </si>
  <si>
    <t>EMP-0280</t>
  </si>
  <si>
    <t>3674000000179075</t>
  </si>
  <si>
    <t>EMP-0281</t>
  </si>
  <si>
    <t>3674000000929888</t>
  </si>
  <si>
    <t>EMP-0282</t>
  </si>
  <si>
    <t>3674000000991909</t>
  </si>
  <si>
    <t>EMP-0283</t>
  </si>
  <si>
    <t>3674000000145111</t>
  </si>
  <si>
    <t>EMP-0284</t>
  </si>
  <si>
    <t>3674000000229621</t>
  </si>
  <si>
    <t>EMP-0285</t>
  </si>
  <si>
    <t>3674000000782158</t>
  </si>
  <si>
    <t>EMP-0286</t>
  </si>
  <si>
    <t>3674000000951086</t>
  </si>
  <si>
    <t>EMP-0288</t>
  </si>
  <si>
    <t>EKO KUSUMA</t>
  </si>
  <si>
    <t>3674000000152667</t>
  </si>
  <si>
    <t>EMP-0289</t>
  </si>
  <si>
    <t>3674000000728148</t>
  </si>
  <si>
    <t>EMP-0290</t>
  </si>
  <si>
    <t>3674000000444686</t>
  </si>
  <si>
    <t>EMP-0291</t>
  </si>
  <si>
    <t>3674000000619904</t>
  </si>
  <si>
    <t>EMP-0292</t>
  </si>
  <si>
    <t>3674000000613636</t>
  </si>
  <si>
    <t>EMP-0293</t>
  </si>
  <si>
    <t>3674000000608074</t>
  </si>
  <si>
    <t>EMP-0294</t>
  </si>
  <si>
    <t>3674000000918624</t>
  </si>
  <si>
    <t>EMP-0295</t>
  </si>
  <si>
    <t>3674000000699</t>
  </si>
  <si>
    <t>EMP-0885</t>
  </si>
  <si>
    <t>SYAFIQ HIDAYAT</t>
  </si>
  <si>
    <t>EMP-0296</t>
  </si>
  <si>
    <t>3674000000671464</t>
  </si>
  <si>
    <t>EMP-0297</t>
  </si>
  <si>
    <t>3674000000258753</t>
  </si>
  <si>
    <t>EMP-0298</t>
  </si>
  <si>
    <t>3674000000104143</t>
  </si>
  <si>
    <t>EMP-0299</t>
  </si>
  <si>
    <t>3674000000863878</t>
  </si>
  <si>
    <t>EMP-0300</t>
  </si>
  <si>
    <t>3674000000585568</t>
  </si>
  <si>
    <t>EMP-0301</t>
  </si>
  <si>
    <t>3674000000240489</t>
  </si>
  <si>
    <t>EMP-0302</t>
  </si>
  <si>
    <t>3674000000792060</t>
  </si>
  <si>
    <t>EMP-0303</t>
  </si>
  <si>
    <t>3674000000715020</t>
  </si>
  <si>
    <t>EMP-0304</t>
  </si>
  <si>
    <t>3674000000701452</t>
  </si>
  <si>
    <t>EMP-0305</t>
  </si>
  <si>
    <t>3674000000775031</t>
  </si>
  <si>
    <t>EMP-0306</t>
  </si>
  <si>
    <t>3674000000368736</t>
  </si>
  <si>
    <t>EMP-0307</t>
  </si>
  <si>
    <t>3674000000675867</t>
  </si>
  <si>
    <t>EMP-0308</t>
  </si>
  <si>
    <t>3674000000284770</t>
  </si>
  <si>
    <t>EMP-0309</t>
  </si>
  <si>
    <t>3674000000956393</t>
  </si>
  <si>
    <t>EMP-0310</t>
  </si>
  <si>
    <t>DEWI PRATAMA</t>
  </si>
  <si>
    <t>3674000000319788</t>
  </si>
  <si>
    <t>EMP-0311</t>
  </si>
  <si>
    <t>3674000000919097</t>
  </si>
  <si>
    <t>EMP-0312</t>
  </si>
  <si>
    <t>AHMAD WIJAYA</t>
  </si>
  <si>
    <t>3674000000959289</t>
  </si>
  <si>
    <t>EMP-0313</t>
  </si>
  <si>
    <t>3674000000526007</t>
  </si>
  <si>
    <t>EMP-0314</t>
  </si>
  <si>
    <t>3674000000468555</t>
  </si>
  <si>
    <t>EMP-0315</t>
  </si>
  <si>
    <t>3674000000965287</t>
  </si>
  <si>
    <t>EMP-0316</t>
  </si>
  <si>
    <t>3674000000424390</t>
  </si>
  <si>
    <t>EMP-0317</t>
  </si>
  <si>
    <t>3674000000899006</t>
  </si>
  <si>
    <t>EMP-0318</t>
  </si>
  <si>
    <t>3674000000947707</t>
  </si>
  <si>
    <t>EMP-0319</t>
  </si>
  <si>
    <t>MEGA WIJAYA</t>
  </si>
  <si>
    <t>3674000000431829</t>
  </si>
  <si>
    <t>EMP-0320</t>
  </si>
  <si>
    <t>3674000000849122</t>
  </si>
  <si>
    <t>EMP-0321</t>
  </si>
  <si>
    <t>3674000000173320</t>
  </si>
  <si>
    <t>EMP-0322</t>
  </si>
  <si>
    <t>3674000000910349</t>
  </si>
  <si>
    <t>EMP-0324</t>
  </si>
  <si>
    <t>3674000000672674</t>
  </si>
  <si>
    <t>EMP-0325</t>
  </si>
  <si>
    <t>3674000000807215</t>
  </si>
  <si>
    <t>EMP-0326</t>
  </si>
  <si>
    <t>3674000000502208</t>
  </si>
  <si>
    <t>EMP-0327</t>
  </si>
  <si>
    <t>3674000000806792</t>
  </si>
  <si>
    <t>EMP-0328</t>
  </si>
  <si>
    <t>3674000000188629</t>
  </si>
  <si>
    <t>EMP-0329</t>
  </si>
  <si>
    <t>FAJAR PRATAMA</t>
  </si>
  <si>
    <t>3674000000896931</t>
  </si>
  <si>
    <t>EMP-0330</t>
  </si>
  <si>
    <t>3674000000792</t>
  </si>
  <si>
    <t>EMP-0331</t>
  </si>
  <si>
    <t>3674000000880500</t>
  </si>
  <si>
    <t>EMP-0332</t>
  </si>
  <si>
    <t>3674000000616</t>
  </si>
  <si>
    <t>EMP-0333</t>
  </si>
  <si>
    <t>3674000000982347</t>
  </si>
  <si>
    <t>EMP-0335</t>
  </si>
  <si>
    <t>3674000000855477</t>
  </si>
  <si>
    <t>EMP-0336</t>
  </si>
  <si>
    <t>3674000000350</t>
  </si>
  <si>
    <t>EMP-0337</t>
  </si>
  <si>
    <t>3674000000132532</t>
  </si>
  <si>
    <t>EMP-0338</t>
  </si>
  <si>
    <t>3674000000778834</t>
  </si>
  <si>
    <t>EMP-0339</t>
  </si>
  <si>
    <t>3674000000562100</t>
  </si>
  <si>
    <t>EMP-0340</t>
  </si>
  <si>
    <t>3674000000290651</t>
  </si>
  <si>
    <t>EMP-0341</t>
  </si>
  <si>
    <t>3674000000513824</t>
  </si>
  <si>
    <t>EMP-0342</t>
  </si>
  <si>
    <t>3674000000358990</t>
  </si>
  <si>
    <t>EMP-0343</t>
  </si>
  <si>
    <t>3674000000254985</t>
  </si>
  <si>
    <t>EMP-0344</t>
  </si>
  <si>
    <t>3674000000839805</t>
  </si>
  <si>
    <t>EMP-0345</t>
  </si>
  <si>
    <t>EKO NUGROHO</t>
  </si>
  <si>
    <t>3674000000173995</t>
  </si>
  <si>
    <t>EMP-0346</t>
  </si>
  <si>
    <t>RINA SANTOSO</t>
  </si>
  <si>
    <t>3674000000928987</t>
  </si>
  <si>
    <t>EMP-0347</t>
  </si>
  <si>
    <t>3674000000518260</t>
  </si>
  <si>
    <t>EMP-0348</t>
  </si>
  <si>
    <t>3674000000246</t>
  </si>
  <si>
    <t>EMP-0350</t>
  </si>
  <si>
    <t>3674000000720805</t>
  </si>
  <si>
    <t>EMP-0351</t>
  </si>
  <si>
    <t>3674000000731731</t>
  </si>
  <si>
    <t>EMP-0352</t>
  </si>
  <si>
    <t>3674000000193544</t>
  </si>
  <si>
    <t>EMP-0353</t>
  </si>
  <si>
    <t>3674000000553391</t>
  </si>
  <si>
    <t>EMP-0354</t>
  </si>
  <si>
    <t>3674000000737784</t>
  </si>
  <si>
    <t>EMP-0355</t>
  </si>
  <si>
    <t>3674000000870352</t>
  </si>
  <si>
    <t>EMP-0356</t>
  </si>
  <si>
    <t>3674000000103408</t>
  </si>
  <si>
    <t>EMP-0357</t>
  </si>
  <si>
    <t>3674000000702877</t>
  </si>
  <si>
    <t>EMP-0358</t>
  </si>
  <si>
    <t>3674000000603834</t>
  </si>
  <si>
    <t>EMP-0359</t>
  </si>
  <si>
    <t>3674000000113645</t>
  </si>
  <si>
    <t>EMP-0360</t>
  </si>
  <si>
    <t>3674000000830650</t>
  </si>
  <si>
    <t>EMP-0361</t>
  </si>
  <si>
    <t>3674000000237168</t>
  </si>
  <si>
    <t>EMP-0362</t>
  </si>
  <si>
    <t>FAJAR WIBOWO</t>
  </si>
  <si>
    <t>3674000000870311</t>
  </si>
  <si>
    <t>EMP-0363</t>
  </si>
  <si>
    <t>3674000000602979</t>
  </si>
  <si>
    <t>EMP-0364</t>
  </si>
  <si>
    <t>3674000000452</t>
  </si>
  <si>
    <t>EMP-0365</t>
  </si>
  <si>
    <t>ANDI KUSUMA</t>
  </si>
  <si>
    <t>3674000000241532</t>
  </si>
  <si>
    <t>EMP-0366</t>
  </si>
  <si>
    <t>3674000000229033</t>
  </si>
  <si>
    <t>EMP-0367</t>
  </si>
  <si>
    <t>3674000000979968</t>
  </si>
  <si>
    <t>EMP-0368</t>
  </si>
  <si>
    <t>3674000000935936</t>
  </si>
  <si>
    <t>EMP-0369</t>
  </si>
  <si>
    <t>3674000000840939</t>
  </si>
  <si>
    <t>EMP-0370</t>
  </si>
  <si>
    <t>3674000000771405</t>
  </si>
  <si>
    <t>EMP-0371</t>
  </si>
  <si>
    <t>3674000000886381</t>
  </si>
  <si>
    <t>EMP-0372</t>
  </si>
  <si>
    <t>3674000000984040</t>
  </si>
  <si>
    <t>EMP-0373</t>
  </si>
  <si>
    <t>3674000000227</t>
  </si>
  <si>
    <t>EMP-0374</t>
  </si>
  <si>
    <t>3674000000994869</t>
  </si>
  <si>
    <t>EMP-0375</t>
  </si>
  <si>
    <t>3674000000954012</t>
  </si>
  <si>
    <t>EMP-0376</t>
  </si>
  <si>
    <t>3674000000519474</t>
  </si>
  <si>
    <t>EMP-0377</t>
  </si>
  <si>
    <t>3674000000154552</t>
  </si>
  <si>
    <t>EMP-0378</t>
  </si>
  <si>
    <t>3674000000924657</t>
  </si>
  <si>
    <t>EMP-0379</t>
  </si>
  <si>
    <t>3674000000697675</t>
  </si>
  <si>
    <t>EMP-0380</t>
  </si>
  <si>
    <t>3674000000410092</t>
  </si>
  <si>
    <t>EMP-0382</t>
  </si>
  <si>
    <t>3674000000792566</t>
  </si>
  <si>
    <t>EMP-0383</t>
  </si>
  <si>
    <t>3674000000824720</t>
  </si>
  <si>
    <t>EMP-0384</t>
  </si>
  <si>
    <t>3674000000770409</t>
  </si>
  <si>
    <t>EMP-0385</t>
  </si>
  <si>
    <t>3674000000129959</t>
  </si>
  <si>
    <t>EMP-0386</t>
  </si>
  <si>
    <t>3674000000474488</t>
  </si>
  <si>
    <t>EMP-0387</t>
  </si>
  <si>
    <t>3674000000634469</t>
  </si>
  <si>
    <t>EMP-0388</t>
  </si>
  <si>
    <t>3674000000604720</t>
  </si>
  <si>
    <t>EMP-0389</t>
  </si>
  <si>
    <t>3674000000912239</t>
  </si>
  <si>
    <t>EMP-0390</t>
  </si>
  <si>
    <t>3674000000339699</t>
  </si>
  <si>
    <t>EMP-0391</t>
  </si>
  <si>
    <t>3674000000509919</t>
  </si>
  <si>
    <t>EMP-0392</t>
  </si>
  <si>
    <t>3674000000346109</t>
  </si>
  <si>
    <t>EMP-0393</t>
  </si>
  <si>
    <t>3674000000363784</t>
  </si>
  <si>
    <t>EMP-0394</t>
  </si>
  <si>
    <t>3674000000735466</t>
  </si>
  <si>
    <t>EMP-0395</t>
  </si>
  <si>
    <t>3674000000718091</t>
  </si>
  <si>
    <t>EMP-0396</t>
  </si>
  <si>
    <t>3674000000752605</t>
  </si>
  <si>
    <t>EMP-0397</t>
  </si>
  <si>
    <t>DEWI KUSUMA</t>
  </si>
  <si>
    <t>3674000000820511</t>
  </si>
  <si>
    <t>EMP-0398</t>
  </si>
  <si>
    <t>3674000000319</t>
  </si>
  <si>
    <t>EMP-0399</t>
  </si>
  <si>
    <t>3674000000951566</t>
  </si>
  <si>
    <t>EMP-0400</t>
  </si>
  <si>
    <t>3674000000463842</t>
  </si>
  <si>
    <t>EMP-0401</t>
  </si>
  <si>
    <t>3674000000738897</t>
  </si>
  <si>
    <t>EMP-0402</t>
  </si>
  <si>
    <t>3674000000995884</t>
  </si>
  <si>
    <t>EMP-0403</t>
  </si>
  <si>
    <t>3674000000995179</t>
  </si>
  <si>
    <t>EMP-0404</t>
  </si>
  <si>
    <t>3674000000203940</t>
  </si>
  <si>
    <t>EMP-0405</t>
  </si>
  <si>
    <t>3674000000385931</t>
  </si>
  <si>
    <t>EMP-0406</t>
  </si>
  <si>
    <t>3674000000230</t>
  </si>
  <si>
    <t>EMP-0407</t>
  </si>
  <si>
    <t>3674000000771360</t>
  </si>
  <si>
    <t>EMP-0408</t>
  </si>
  <si>
    <t>3674000000261117</t>
  </si>
  <si>
    <t>EMP-0409</t>
  </si>
  <si>
    <t>3674000000995546</t>
  </si>
  <si>
    <t>EMP-0410</t>
  </si>
  <si>
    <t>3674000000594418</t>
  </si>
  <si>
    <t>EMP-0411</t>
  </si>
  <si>
    <t>3674000000373245</t>
  </si>
  <si>
    <t>EMP-0412</t>
  </si>
  <si>
    <t>3674000000184539</t>
  </si>
  <si>
    <t>EMP-0413</t>
  </si>
  <si>
    <t>3674000000683454</t>
  </si>
  <si>
    <t>EMP-0415</t>
  </si>
  <si>
    <t>3674000000423</t>
  </si>
  <si>
    <t>EMP-0416</t>
  </si>
  <si>
    <t>3674000000909687</t>
  </si>
  <si>
    <t>EMP-0417</t>
  </si>
  <si>
    <t>3674000000372960</t>
  </si>
  <si>
    <t>EMP-0418</t>
  </si>
  <si>
    <t>3674000000941812</t>
  </si>
  <si>
    <t>EMP-0419</t>
  </si>
  <si>
    <t>3674000000534</t>
  </si>
  <si>
    <t>EMP-0420</t>
  </si>
  <si>
    <t>3674000000325063</t>
  </si>
  <si>
    <t>EMP-0421</t>
  </si>
  <si>
    <t>3674000000683139</t>
  </si>
  <si>
    <t>EMP-0422</t>
  </si>
  <si>
    <t>3674000000828774</t>
  </si>
  <si>
    <t>EMP-0423</t>
  </si>
  <si>
    <t>3674000000798240</t>
  </si>
  <si>
    <t>EMP-0424</t>
  </si>
  <si>
    <t>3674000000215016</t>
  </si>
  <si>
    <t>EMP-0425</t>
  </si>
  <si>
    <t>3674000000142799</t>
  </si>
  <si>
    <t>EMP-0426</t>
  </si>
  <si>
    <t>3674000000540536</t>
  </si>
  <si>
    <t>EMP-0427</t>
  </si>
  <si>
    <t>3674000000998995</t>
  </si>
  <si>
    <t>EMP-0428</t>
  </si>
  <si>
    <t>3674000000385</t>
  </si>
  <si>
    <t>EMP-0429</t>
  </si>
  <si>
    <t>3674000000771667</t>
  </si>
  <si>
    <t>EMP-0430</t>
  </si>
  <si>
    <t>3674000000451707</t>
  </si>
  <si>
    <t>EMP-0431</t>
  </si>
  <si>
    <t>3674000000647601</t>
  </si>
  <si>
    <t>EMP-0432</t>
  </si>
  <si>
    <t>3674000000556519</t>
  </si>
  <si>
    <t>EMP-0433</t>
  </si>
  <si>
    <t>3674000000357796</t>
  </si>
  <si>
    <t>EMP-0434</t>
  </si>
  <si>
    <t>3674000000502985</t>
  </si>
  <si>
    <t>EMP-0435</t>
  </si>
  <si>
    <t>3674000000974545</t>
  </si>
  <si>
    <t>EMP-0436</t>
  </si>
  <si>
    <t>3674000000750058</t>
  </si>
  <si>
    <t>EMP-0437</t>
  </si>
  <si>
    <t>3674000000162146</t>
  </si>
  <si>
    <t>EMP-0438</t>
  </si>
  <si>
    <t>3674000000973</t>
  </si>
  <si>
    <t>EMP-0439</t>
  </si>
  <si>
    <t>3674000000356343</t>
  </si>
  <si>
    <t>EMP-0440</t>
  </si>
  <si>
    <t>3674000000917</t>
  </si>
  <si>
    <t>EMP-0441</t>
  </si>
  <si>
    <t>3674000000175358</t>
  </si>
  <si>
    <t>EMP-0442</t>
  </si>
  <si>
    <t>3674000000602872</t>
  </si>
  <si>
    <t>EMP-0443</t>
  </si>
  <si>
    <t>3674000000784354</t>
  </si>
  <si>
    <t>EMP-0444</t>
  </si>
  <si>
    <t>3674000000780835</t>
  </si>
  <si>
    <t>EMP-0445</t>
  </si>
  <si>
    <t>3674000000428710</t>
  </si>
  <si>
    <t>EMP-0446</t>
  </si>
  <si>
    <t>3674000000283075</t>
  </si>
  <si>
    <t>EMP-0447</t>
  </si>
  <si>
    <t>3674000000801736</t>
  </si>
  <si>
    <t>EMP-0448</t>
  </si>
  <si>
    <t>3674000000125433</t>
  </si>
  <si>
    <t>EMP-0449</t>
  </si>
  <si>
    <t>3674000000644532</t>
  </si>
  <si>
    <t>EMP-0450</t>
  </si>
  <si>
    <t>3674000000631499</t>
  </si>
  <si>
    <t>EMP-0451</t>
  </si>
  <si>
    <t>3674000000124591</t>
  </si>
  <si>
    <t>EMP-0452</t>
  </si>
  <si>
    <t>3674000000953100</t>
  </si>
  <si>
    <t>EMP-0453</t>
  </si>
  <si>
    <t>3674000000505816</t>
  </si>
  <si>
    <t>EMP-0454</t>
  </si>
  <si>
    <t>3674000000389</t>
  </si>
  <si>
    <t>EMP-0455</t>
  </si>
  <si>
    <t>3674000000155037</t>
  </si>
  <si>
    <t>EMP-0456</t>
  </si>
  <si>
    <t>3674000000770806</t>
  </si>
  <si>
    <t>EMP-0457</t>
  </si>
  <si>
    <t>3674000000153985</t>
  </si>
  <si>
    <t>EMP-0458</t>
  </si>
  <si>
    <t>3674000000875</t>
  </si>
  <si>
    <t>EMP-0459</t>
  </si>
  <si>
    <t>3674000000960461</t>
  </si>
  <si>
    <t>EMP-0460</t>
  </si>
  <si>
    <t>3674000000453085</t>
  </si>
  <si>
    <t>EMP-0461</t>
  </si>
  <si>
    <t>3674000000889208</t>
  </si>
  <si>
    <t>EMP-0462</t>
  </si>
  <si>
    <t>3674000000715221</t>
  </si>
  <si>
    <t>EMP-0463</t>
  </si>
  <si>
    <t>3674000000255033</t>
  </si>
  <si>
    <t>EMP-0464</t>
  </si>
  <si>
    <t>3674000000605232</t>
  </si>
  <si>
    <t>EMP-0465</t>
  </si>
  <si>
    <t>3674000000689835</t>
  </si>
  <si>
    <t>EMP-0466</t>
  </si>
  <si>
    <t>3674000000717694</t>
  </si>
  <si>
    <t>EMP-0467</t>
  </si>
  <si>
    <t>3674000000830029</t>
  </si>
  <si>
    <t>EMP-0468</t>
  </si>
  <si>
    <t>3674000000735845</t>
  </si>
  <si>
    <t>EMP-0469</t>
  </si>
  <si>
    <t>3674000000522</t>
  </si>
  <si>
    <t>EMP-0470</t>
  </si>
  <si>
    <t>3674000000136514</t>
  </si>
  <si>
    <t>EMP-0471</t>
  </si>
  <si>
    <t>3674000000823816</t>
  </si>
  <si>
    <t>EMP-0472</t>
  </si>
  <si>
    <t>3674000000561702</t>
  </si>
  <si>
    <t>EMP-0473</t>
  </si>
  <si>
    <t>3674000000899115</t>
  </si>
  <si>
    <t>EMP-0474</t>
  </si>
  <si>
    <t>3674000000739059</t>
  </si>
  <si>
    <t>EMP-0475</t>
  </si>
  <si>
    <t>3674000000797995</t>
  </si>
  <si>
    <t>EMP-0476</t>
  </si>
  <si>
    <t>3674000000289663</t>
  </si>
  <si>
    <t>EMP-0478</t>
  </si>
  <si>
    <t>3674000000963850</t>
  </si>
  <si>
    <t>EMP-0479</t>
  </si>
  <si>
    <t>3674000000641817</t>
  </si>
  <si>
    <t>EMP-0480</t>
  </si>
  <si>
    <t>3674000000366</t>
  </si>
  <si>
    <t>EMP-0481</t>
  </si>
  <si>
    <t>3674000000676</t>
  </si>
  <si>
    <t>EMP-0482</t>
  </si>
  <si>
    <t>3674000000101439</t>
  </si>
  <si>
    <t>EMP-0483</t>
  </si>
  <si>
    <t>3674000000999893</t>
  </si>
  <si>
    <t>EMP-0484</t>
  </si>
  <si>
    <t>3674000000195220</t>
  </si>
  <si>
    <t>EMP-0485</t>
  </si>
  <si>
    <t>SITI WIJAYA</t>
  </si>
  <si>
    <t>3674000000700836</t>
  </si>
  <si>
    <t>EMP-0486</t>
  </si>
  <si>
    <t>3674000000925976</t>
  </si>
  <si>
    <t>EMP-0487</t>
  </si>
  <si>
    <t>3674000000772</t>
  </si>
  <si>
    <t>EMP-0488</t>
  </si>
  <si>
    <t>3674000000924898</t>
  </si>
  <si>
    <t>EMP-0489</t>
  </si>
  <si>
    <t>3674000000384626</t>
  </si>
  <si>
    <t>EMP-0490</t>
  </si>
  <si>
    <t>3674000000202292</t>
  </si>
  <si>
    <t>EMP-0491</t>
  </si>
  <si>
    <t>3674000000294715</t>
  </si>
  <si>
    <t>EMP-0492</t>
  </si>
  <si>
    <t>3674000000579155</t>
  </si>
  <si>
    <t>EMP-0493</t>
  </si>
  <si>
    <t>3674000000883687</t>
  </si>
  <si>
    <t>EMP-0494</t>
  </si>
  <si>
    <t>3674000000447044</t>
  </si>
  <si>
    <t>EMP-0495</t>
  </si>
  <si>
    <t>3674000000302550</t>
  </si>
  <si>
    <t>EMP-0496</t>
  </si>
  <si>
    <t>3674000000754094</t>
  </si>
  <si>
    <t>EMP-0499</t>
  </si>
  <si>
    <t>3674000000367631</t>
  </si>
  <si>
    <t>EMP-0500</t>
  </si>
  <si>
    <t>3674000000133106</t>
  </si>
  <si>
    <t>EMP-0501</t>
  </si>
  <si>
    <t>3674000000767232</t>
  </si>
  <si>
    <t>EMP-0502</t>
  </si>
  <si>
    <t>3674000000151695</t>
  </si>
  <si>
    <t>EMP-0503</t>
  </si>
  <si>
    <t>3674000000127394</t>
  </si>
  <si>
    <t>EMP-0504</t>
  </si>
  <si>
    <t>3674000000453596</t>
  </si>
  <si>
    <t>EMP-0505</t>
  </si>
  <si>
    <t>3674000000372259</t>
  </si>
  <si>
    <t>EMP-0506</t>
  </si>
  <si>
    <t>3674000000556004</t>
  </si>
  <si>
    <t>EMP-0507</t>
  </si>
  <si>
    <t>3674000000542209</t>
  </si>
  <si>
    <t>EMP-0508</t>
  </si>
  <si>
    <t>3674000000628590</t>
  </si>
  <si>
    <t>EMP-0509</t>
  </si>
  <si>
    <t>3674000000964764</t>
  </si>
  <si>
    <t>EMP-0511</t>
  </si>
  <si>
    <t>3674000000649736</t>
  </si>
  <si>
    <t>EMP-0512</t>
  </si>
  <si>
    <t>3674000000511400</t>
  </si>
  <si>
    <t>EMP-0513</t>
  </si>
  <si>
    <t>3674000000908749</t>
  </si>
  <si>
    <t>EMP-0514</t>
  </si>
  <si>
    <t>3674000000243526</t>
  </si>
  <si>
    <t>EMP-0515</t>
  </si>
  <si>
    <t>3674000000735298</t>
  </si>
  <si>
    <t>EMP-0516</t>
  </si>
  <si>
    <t>3674000000384723</t>
  </si>
  <si>
    <t>EMP-0517</t>
  </si>
  <si>
    <t>3674000000108751</t>
  </si>
  <si>
    <t>EMP-0518</t>
  </si>
  <si>
    <t>3674000000257825</t>
  </si>
  <si>
    <t>EMP-0519</t>
  </si>
  <si>
    <t>3674000000411148</t>
  </si>
  <si>
    <t>EMP-0520</t>
  </si>
  <si>
    <t>3674000000444003</t>
  </si>
  <si>
    <t>EMP-0521</t>
  </si>
  <si>
    <t>3674000000616190</t>
  </si>
  <si>
    <t>EMP-0522</t>
  </si>
  <si>
    <t>3674000000872511</t>
  </si>
  <si>
    <t>EMP-0523</t>
  </si>
  <si>
    <t>3674000000904034</t>
  </si>
  <si>
    <t>EMP-0524</t>
  </si>
  <si>
    <t>3674000000149241</t>
  </si>
  <si>
    <t>EMP-0525</t>
  </si>
  <si>
    <t>3674000000913971</t>
  </si>
  <si>
    <t>EMP-0526</t>
  </si>
  <si>
    <t>3674000000235265</t>
  </si>
  <si>
    <t>EMP-0527</t>
  </si>
  <si>
    <t>3674000000676532</t>
  </si>
  <si>
    <t>EMP-0528</t>
  </si>
  <si>
    <t>3674000000992860</t>
  </si>
  <si>
    <t>EMP-0529</t>
  </si>
  <si>
    <t>3674000000355989</t>
  </si>
  <si>
    <t>EMP-0530</t>
  </si>
  <si>
    <t>3674000000786425</t>
  </si>
  <si>
    <t>EMP-0531</t>
  </si>
  <si>
    <t>3674000000925908</t>
  </si>
  <si>
    <t>EMP-0532</t>
  </si>
  <si>
    <t>3674000000666</t>
  </si>
  <si>
    <t>EMP-0533</t>
  </si>
  <si>
    <t>3674000000169</t>
  </si>
  <si>
    <t>EMP-0534</t>
  </si>
  <si>
    <t>3674000000520</t>
  </si>
  <si>
    <t>EMP-0535</t>
  </si>
  <si>
    <t>3674000000301543</t>
  </si>
  <si>
    <t>EMP-0536</t>
  </si>
  <si>
    <t>3674000000938095</t>
  </si>
  <si>
    <t>EMP-0537</t>
  </si>
  <si>
    <t>3674000000320458</t>
  </si>
  <si>
    <t>EMP-0538</t>
  </si>
  <si>
    <t>3674000000156824</t>
  </si>
  <si>
    <t>EMP-0539</t>
  </si>
  <si>
    <t>3674000000735322</t>
  </si>
  <si>
    <t>EMP-0540</t>
  </si>
  <si>
    <t>3674000000370</t>
  </si>
  <si>
    <t>EMP-0541</t>
  </si>
  <si>
    <t>3674000000549376</t>
  </si>
  <si>
    <t>EMP-0543</t>
  </si>
  <si>
    <t>3674000000711058</t>
  </si>
  <si>
    <t>EMP-0544</t>
  </si>
  <si>
    <t>3674000000897902</t>
  </si>
  <si>
    <t>EMP-0545</t>
  </si>
  <si>
    <t>3674000000192625</t>
  </si>
  <si>
    <t>EMP-0546</t>
  </si>
  <si>
    <t>3674000000362868</t>
  </si>
  <si>
    <t>EMP-0547</t>
  </si>
  <si>
    <t>3674000000512337</t>
  </si>
  <si>
    <t>EMP-0548</t>
  </si>
  <si>
    <t>3674000000907343</t>
  </si>
  <si>
    <t>EMP-0549</t>
  </si>
  <si>
    <t>3674000000883</t>
  </si>
  <si>
    <t>EMP-0550</t>
  </si>
  <si>
    <t>3674000000463654</t>
  </si>
  <si>
    <t>EMP-0551</t>
  </si>
  <si>
    <t>3674000000666774</t>
  </si>
  <si>
    <t>EMP-0552</t>
  </si>
  <si>
    <t>3674000000160313</t>
  </si>
  <si>
    <t>EMP-0553</t>
  </si>
  <si>
    <t>3674000000494107</t>
  </si>
  <si>
    <t>EMP-0555</t>
  </si>
  <si>
    <t>3674000000992558</t>
  </si>
  <si>
    <t>EMP-0556</t>
  </si>
  <si>
    <t>3674000000490061</t>
  </si>
  <si>
    <t>EMP-0557</t>
  </si>
  <si>
    <t>3674000000185294</t>
  </si>
  <si>
    <t>EMP-0558</t>
  </si>
  <si>
    <t>3674000000521387</t>
  </si>
  <si>
    <t>EMP-0559</t>
  </si>
  <si>
    <t>3674000000984893</t>
  </si>
  <si>
    <t>EMP-0560</t>
  </si>
  <si>
    <t>3674000000693954</t>
  </si>
  <si>
    <t>EMP-0561</t>
  </si>
  <si>
    <t>3674000000682814</t>
  </si>
  <si>
    <t>EMP-0562</t>
  </si>
  <si>
    <t>3674000000860792</t>
  </si>
  <si>
    <t>EMP-0563</t>
  </si>
  <si>
    <t>3674000000746705</t>
  </si>
  <si>
    <t>EMP-0564</t>
  </si>
  <si>
    <t>3674000000935684</t>
  </si>
  <si>
    <t>EMP-0565</t>
  </si>
  <si>
    <t>3674000000757761</t>
  </si>
  <si>
    <t>EMP-0566</t>
  </si>
  <si>
    <t>3674000000747587</t>
  </si>
  <si>
    <t>EMP-0567</t>
  </si>
  <si>
    <t>3674000000687576</t>
  </si>
  <si>
    <t>EMP-0569</t>
  </si>
  <si>
    <t>3674000000467698</t>
  </si>
  <si>
    <t>EMP-0570</t>
  </si>
  <si>
    <t>3674000000490248</t>
  </si>
  <si>
    <t>EMP-0571</t>
  </si>
  <si>
    <t>3674000000101263</t>
  </si>
  <si>
    <t>EMP-0572</t>
  </si>
  <si>
    <t>3674000000592264</t>
  </si>
  <si>
    <t>EMP-0573</t>
  </si>
  <si>
    <t>3674000000653274</t>
  </si>
  <si>
    <t>EMP-0574</t>
  </si>
  <si>
    <t>3674000000505569</t>
  </si>
  <si>
    <t>EMP-0575</t>
  </si>
  <si>
    <t>3674000000408844</t>
  </si>
  <si>
    <t>EMP-0576</t>
  </si>
  <si>
    <t>3674000000339</t>
  </si>
  <si>
    <t>EMP-0577</t>
  </si>
  <si>
    <t>3674000000598559</t>
  </si>
  <si>
    <t>EMP-0578</t>
  </si>
  <si>
    <t>RIAN SANTOSO</t>
  </si>
  <si>
    <t>3674000000778709</t>
  </si>
  <si>
    <t>EMP-0580</t>
  </si>
  <si>
    <t>3674000000817432</t>
  </si>
  <si>
    <t>EMP-0581</t>
  </si>
  <si>
    <t>3674000000273946</t>
  </si>
  <si>
    <t>EMP-0582</t>
  </si>
  <si>
    <t>3674000000204047</t>
  </si>
  <si>
    <t>EMP-0583</t>
  </si>
  <si>
    <t>3674000000452274</t>
  </si>
  <si>
    <t>EMP-0584</t>
  </si>
  <si>
    <t>3674000000426947</t>
  </si>
  <si>
    <t>EMP-0585</t>
  </si>
  <si>
    <t>3674000000700248</t>
  </si>
  <si>
    <t>EMP-0586</t>
  </si>
  <si>
    <t>3674000000747724</t>
  </si>
  <si>
    <t>EMP-0587</t>
  </si>
  <si>
    <t>3674000000808036</t>
  </si>
  <si>
    <t>EMP-0588</t>
  </si>
  <si>
    <t>3674000000130517</t>
  </si>
  <si>
    <t>EMP-0589</t>
  </si>
  <si>
    <t>ANDI LESTARI</t>
  </si>
  <si>
    <t>3674000000801381</t>
  </si>
  <si>
    <t>EMP-0590</t>
  </si>
  <si>
    <t>3674000000831</t>
  </si>
  <si>
    <t>EMP-0591</t>
  </si>
  <si>
    <t>3674000000772791</t>
  </si>
  <si>
    <t>EMP-0593</t>
  </si>
  <si>
    <t>3674000000233795</t>
  </si>
  <si>
    <t>EMP-0594</t>
  </si>
  <si>
    <t>3674000000631433</t>
  </si>
  <si>
    <t>EMP-0595</t>
  </si>
  <si>
    <t>3674000000239389</t>
  </si>
  <si>
    <t>EMP-0596</t>
  </si>
  <si>
    <t>3674000000858091</t>
  </si>
  <si>
    <t>EMP-0597</t>
  </si>
  <si>
    <t>3674000000668411</t>
  </si>
  <si>
    <t>EMP-0598</t>
  </si>
  <si>
    <t>3674000000569448</t>
  </si>
  <si>
    <t>EMP-0599</t>
  </si>
  <si>
    <t>3674000000587224</t>
  </si>
  <si>
    <t>EMP-0600</t>
  </si>
  <si>
    <t>3674000000890537</t>
  </si>
  <si>
    <t>EMP-0601</t>
  </si>
  <si>
    <t>3674000000597296</t>
  </si>
  <si>
    <t>EMP-0602</t>
  </si>
  <si>
    <t>3674000000908676</t>
  </si>
  <si>
    <t>EMP-0603</t>
  </si>
  <si>
    <t>3674000000328407</t>
  </si>
  <si>
    <t>EMP-0604</t>
  </si>
  <si>
    <t>3674000000752302</t>
  </si>
  <si>
    <t>EMP-0605</t>
  </si>
  <si>
    <t>3674000000704290</t>
  </si>
  <si>
    <t>EMP-0606</t>
  </si>
  <si>
    <t>3674000000729840</t>
  </si>
  <si>
    <t>EMP-0607</t>
  </si>
  <si>
    <t>3674000000598803</t>
  </si>
  <si>
    <t>EMP-0608</t>
  </si>
  <si>
    <t>3674000000614270</t>
  </si>
  <si>
    <t>EMP-0609</t>
  </si>
  <si>
    <t>3674000000808334</t>
  </si>
  <si>
    <t>EMP-0610</t>
  </si>
  <si>
    <t>3674000000313966</t>
  </si>
  <si>
    <t>EMP-0611</t>
  </si>
  <si>
    <t>3674000000562588</t>
  </si>
  <si>
    <t>EMP-0612</t>
  </si>
  <si>
    <t>3674000000473636</t>
  </si>
  <si>
    <t>EMP-0614</t>
  </si>
  <si>
    <t>3674000000358786</t>
  </si>
  <si>
    <t>EMP-0615</t>
  </si>
  <si>
    <t>3674000000280399</t>
  </si>
  <si>
    <t>EMP-0616</t>
  </si>
  <si>
    <t>3674000000500262</t>
  </si>
  <si>
    <t>EMP-0618</t>
  </si>
  <si>
    <t>3674000000194110</t>
  </si>
  <si>
    <t>EMP-0619</t>
  </si>
  <si>
    <t>3674000000549673</t>
  </si>
  <si>
    <t>EMP-0620</t>
  </si>
  <si>
    <t>3674000000105980</t>
  </si>
  <si>
    <t>EMP-0621</t>
  </si>
  <si>
    <t>3674000000728056</t>
  </si>
  <si>
    <t>EMP-0622</t>
  </si>
  <si>
    <t>3674000000240519</t>
  </si>
  <si>
    <t>EMP-0623</t>
  </si>
  <si>
    <t>3674000000238</t>
  </si>
  <si>
    <t>EMP-0624</t>
  </si>
  <si>
    <t>3674000000185064</t>
  </si>
  <si>
    <t>EMP-0625</t>
  </si>
  <si>
    <t>3674000000635425</t>
  </si>
  <si>
    <t>EMP-0626</t>
  </si>
  <si>
    <t>3674000000787499</t>
  </si>
  <si>
    <t>EMP-0627</t>
  </si>
  <si>
    <t>3674000000820601</t>
  </si>
  <si>
    <t>EMP-0628</t>
  </si>
  <si>
    <t>3674000000715374</t>
  </si>
  <si>
    <t>EMP-0629</t>
  </si>
  <si>
    <t>3674000000818146</t>
  </si>
  <si>
    <t>EMP-0630</t>
  </si>
  <si>
    <t>3674000000164033</t>
  </si>
  <si>
    <t>EMP-0631</t>
  </si>
  <si>
    <t>3674000000379</t>
  </si>
  <si>
    <t>EMP-0632</t>
  </si>
  <si>
    <t>3674000000931170</t>
  </si>
  <si>
    <t>EMP-0633</t>
  </si>
  <si>
    <t>3674000000438459</t>
  </si>
  <si>
    <t>EMP-0634</t>
  </si>
  <si>
    <t>3674000000901292</t>
  </si>
  <si>
    <t>EMP-0635</t>
  </si>
  <si>
    <t>3674000000449</t>
  </si>
  <si>
    <t>EMP-0637</t>
  </si>
  <si>
    <t>3674000000889614</t>
  </si>
  <si>
    <t>EMP-0639</t>
  </si>
  <si>
    <t>3674000000721684</t>
  </si>
  <si>
    <t>EMP-0640</t>
  </si>
  <si>
    <t>3674000000526772</t>
  </si>
  <si>
    <t>EMP-0641</t>
  </si>
  <si>
    <t>3674000000369</t>
  </si>
  <si>
    <t>EMP-0642</t>
  </si>
  <si>
    <t>3674000000613530</t>
  </si>
  <si>
    <t>EMP-0643</t>
  </si>
  <si>
    <t>3674000000484459</t>
  </si>
  <si>
    <t>EMP-0644</t>
  </si>
  <si>
    <t>3674000000812298</t>
  </si>
  <si>
    <t>EMP-0645</t>
  </si>
  <si>
    <t>3674000000959279</t>
  </si>
  <si>
    <t>EMP-0646</t>
  </si>
  <si>
    <t>3674000000445482</t>
  </si>
  <si>
    <t>EMP-0647</t>
  </si>
  <si>
    <t>3674000000574184</t>
  </si>
  <si>
    <t>EMP-0648</t>
  </si>
  <si>
    <t>3674000000918713</t>
  </si>
  <si>
    <t>EMP-0649</t>
  </si>
  <si>
    <t>3674000000529</t>
  </si>
  <si>
    <t>EMP-0650</t>
  </si>
  <si>
    <t>3674000000108065</t>
  </si>
  <si>
    <t>EMP-0651</t>
  </si>
  <si>
    <t>3674000000882</t>
  </si>
  <si>
    <t>EMP-0652</t>
  </si>
  <si>
    <t>3674000000358356</t>
  </si>
  <si>
    <t>EMP-0653</t>
  </si>
  <si>
    <t>3674000000109457</t>
  </si>
  <si>
    <t>EMP-0654</t>
  </si>
  <si>
    <t>3674000000597</t>
  </si>
  <si>
    <t>EMP-0655</t>
  </si>
  <si>
    <t>3674000000799989</t>
  </si>
  <si>
    <t>EMP-0656</t>
  </si>
  <si>
    <t>3674000000718594</t>
  </si>
  <si>
    <t>EMP-0657</t>
  </si>
  <si>
    <t>3674000000757530</t>
  </si>
  <si>
    <t>EMP-0658</t>
  </si>
  <si>
    <t>3674000000453842</t>
  </si>
  <si>
    <t>EMP-0659</t>
  </si>
  <si>
    <t>3674000000711990</t>
  </si>
  <si>
    <t>EMP-0660</t>
  </si>
  <si>
    <t>3674000000160421</t>
  </si>
  <si>
    <t>EMP-0661</t>
  </si>
  <si>
    <t>3674000000359470</t>
  </si>
  <si>
    <t>EMP-0662</t>
  </si>
  <si>
    <t>3674000000353251</t>
  </si>
  <si>
    <t>EMP-0663</t>
  </si>
  <si>
    <t>3674000000108</t>
  </si>
  <si>
    <t>EMP-0664</t>
  </si>
  <si>
    <t>3674000000551158</t>
  </si>
  <si>
    <t>EMP-0665</t>
  </si>
  <si>
    <t>3674000000226315</t>
  </si>
  <si>
    <t>EMP-0666</t>
  </si>
  <si>
    <t>3674000000764898</t>
  </si>
  <si>
    <t>EMP-0667</t>
  </si>
  <si>
    <t>3674000000728024</t>
  </si>
  <si>
    <t>EMP-0668</t>
  </si>
  <si>
    <t>3674000000124705</t>
  </si>
  <si>
    <t>EMP-0669</t>
  </si>
  <si>
    <t>3674000000970305</t>
  </si>
  <si>
    <t>EMP-0670</t>
  </si>
  <si>
    <t>3674000000520541</t>
  </si>
  <si>
    <t>EMP-0671</t>
  </si>
  <si>
    <t>3674000000513928</t>
  </si>
  <si>
    <t>EMP-0672</t>
  </si>
  <si>
    <t>3674000000203429</t>
  </si>
  <si>
    <t>EMP-0673</t>
  </si>
  <si>
    <t>3674000000194020</t>
  </si>
  <si>
    <t>EMP-0674</t>
  </si>
  <si>
    <t>3674000000412285</t>
  </si>
  <si>
    <t>EMP-0675</t>
  </si>
  <si>
    <t>AHMAD HIDAYAT</t>
  </si>
  <si>
    <t>3674000000933</t>
  </si>
  <si>
    <t>EMP-0676</t>
  </si>
  <si>
    <t>3674000000975376</t>
  </si>
  <si>
    <t>EMP-0677</t>
  </si>
  <si>
    <t>3674000000933964</t>
  </si>
  <si>
    <t>EMP-0678</t>
  </si>
  <si>
    <t>3674000000269967</t>
  </si>
  <si>
    <t>EMP-0679</t>
  </si>
  <si>
    <t>3674000000515820</t>
  </si>
  <si>
    <t>EMP-0680</t>
  </si>
  <si>
    <t>3674000000518085</t>
  </si>
  <si>
    <t>EMP-0681</t>
  </si>
  <si>
    <t>3674000000275778</t>
  </si>
  <si>
    <t>EMP-0682</t>
  </si>
  <si>
    <t>3674000000771692</t>
  </si>
  <si>
    <t>EMP-0683</t>
  </si>
  <si>
    <t>3674000000879426</t>
  </si>
  <si>
    <t>EMP-0684</t>
  </si>
  <si>
    <t>3674000000730178</t>
  </si>
  <si>
    <t>EMP-0685</t>
  </si>
  <si>
    <t>3674000000664919</t>
  </si>
  <si>
    <t>EMP-0686</t>
  </si>
  <si>
    <t>3674000000358099</t>
  </si>
  <si>
    <t>EMP-0687</t>
  </si>
  <si>
    <t>3674000000501955</t>
  </si>
  <si>
    <t>EMP-0689</t>
  </si>
  <si>
    <t>3674000000969540</t>
  </si>
  <si>
    <t>EMP-0690</t>
  </si>
  <si>
    <t>3674000000600871</t>
  </si>
  <si>
    <t>EMP-0691</t>
  </si>
  <si>
    <t>3674000000450531</t>
  </si>
  <si>
    <t>EMP-0692</t>
  </si>
  <si>
    <t>3674000000238728</t>
  </si>
  <si>
    <t>EMP-0693</t>
  </si>
  <si>
    <t>3674000000214832</t>
  </si>
  <si>
    <t>EMP-0694</t>
  </si>
  <si>
    <t>3674000000595603</t>
  </si>
  <si>
    <t>EMP-0695</t>
  </si>
  <si>
    <t>3674000000591130</t>
  </si>
  <si>
    <t>EMP-0696</t>
  </si>
  <si>
    <t>3674000000464498</t>
  </si>
  <si>
    <t>EMP-0697</t>
  </si>
  <si>
    <t>3674000000966758</t>
  </si>
  <si>
    <t>EMP-0698</t>
  </si>
  <si>
    <t>3674000000637848</t>
  </si>
  <si>
    <t>EMP-0699</t>
  </si>
  <si>
    <t>3674000000380058</t>
  </si>
  <si>
    <t>EMP-0700</t>
  </si>
  <si>
    <t>3674000000818481</t>
  </si>
  <si>
    <t>EMP-0701</t>
  </si>
  <si>
    <t>3674000000949840</t>
  </si>
  <si>
    <t>EMP-0702</t>
  </si>
  <si>
    <t>3674000000125708</t>
  </si>
  <si>
    <t>EMP-0703</t>
  </si>
  <si>
    <t>3674000000604274</t>
  </si>
  <si>
    <t>EMP-0704</t>
  </si>
  <si>
    <t>3674000000809347</t>
  </si>
  <si>
    <t>EMP-0706</t>
  </si>
  <si>
    <t>3674000000459093</t>
  </si>
  <si>
    <t>EMP-0707</t>
  </si>
  <si>
    <t>3674000000495034</t>
  </si>
  <si>
    <t>EMP-0708</t>
  </si>
  <si>
    <t>3674000000368097</t>
  </si>
  <si>
    <t>EMP-0709</t>
  </si>
  <si>
    <t>3674000000803843</t>
  </si>
  <si>
    <t>EMP-0710</t>
  </si>
  <si>
    <t>3674000000995733</t>
  </si>
  <si>
    <t>EMP-0712</t>
  </si>
  <si>
    <t>3674000000756699</t>
  </si>
  <si>
    <t>EMP-0713</t>
  </si>
  <si>
    <t>3674000000895253</t>
  </si>
  <si>
    <t>EMP-0714</t>
  </si>
  <si>
    <t>3674000000213867</t>
  </si>
  <si>
    <t>EMP-0716</t>
  </si>
  <si>
    <t>3674000000782472</t>
  </si>
  <si>
    <t>EMP-0717</t>
  </si>
  <si>
    <t>3674000000162763</t>
  </si>
  <si>
    <t>EMP-0718</t>
  </si>
  <si>
    <t>3674000000267215</t>
  </si>
  <si>
    <t>EMP-0719</t>
  </si>
  <si>
    <t>3674000000580990</t>
  </si>
  <si>
    <t>EMP-0720</t>
  </si>
  <si>
    <t>3674000000566154</t>
  </si>
  <si>
    <t>EMP-0721</t>
  </si>
  <si>
    <t>3674000000501753</t>
  </si>
  <si>
    <t>EMP-0722</t>
  </si>
  <si>
    <t>3674000000144</t>
  </si>
  <si>
    <t>EMP-0723</t>
  </si>
  <si>
    <t>3674000000634543</t>
  </si>
  <si>
    <t>EMP-0724</t>
  </si>
  <si>
    <t>3674000000868456</t>
  </si>
  <si>
    <t>EMP-0725</t>
  </si>
  <si>
    <t>3674000000632930</t>
  </si>
  <si>
    <t>EMP-0726</t>
  </si>
  <si>
    <t>3674000000765497</t>
  </si>
  <si>
    <t>EMP-0727</t>
  </si>
  <si>
    <t>3674000000820566</t>
  </si>
  <si>
    <t>EMP-0728</t>
  </si>
  <si>
    <t>3674000000310881</t>
  </si>
  <si>
    <t>EMP-0729</t>
  </si>
  <si>
    <t>3674000000216334</t>
  </si>
  <si>
    <t>EMP-0730</t>
  </si>
  <si>
    <t>3674000000596757</t>
  </si>
  <si>
    <t>EMP-0731</t>
  </si>
  <si>
    <t>3674000000486584</t>
  </si>
  <si>
    <t>EMP-0732</t>
  </si>
  <si>
    <t>3674000000890789</t>
  </si>
  <si>
    <t>EMP-0733</t>
  </si>
  <si>
    <t>3674000000396184</t>
  </si>
  <si>
    <t>EMP-0734</t>
  </si>
  <si>
    <t>3674000000365410</t>
  </si>
  <si>
    <t>EMP-0735</t>
  </si>
  <si>
    <t>3674000000194955</t>
  </si>
  <si>
    <t>EMP-0736</t>
  </si>
  <si>
    <t>3674000000955209</t>
  </si>
  <si>
    <t>EMP-0737</t>
  </si>
  <si>
    <t>3674000000373088</t>
  </si>
  <si>
    <t>EMP-0738</t>
  </si>
  <si>
    <t>3674000000632006</t>
  </si>
  <si>
    <t>EMP-0739</t>
  </si>
  <si>
    <t>3674000000432933</t>
  </si>
  <si>
    <t>EMP-0740</t>
  </si>
  <si>
    <t>3674000000737237</t>
  </si>
  <si>
    <t>EMP-0741</t>
  </si>
  <si>
    <t>3674000000182698</t>
  </si>
  <si>
    <t>EMP-0742</t>
  </si>
  <si>
    <t>3674000000386074</t>
  </si>
  <si>
    <t>EMP-0743</t>
  </si>
  <si>
    <t>3674000000959480</t>
  </si>
  <si>
    <t>EMP-0744</t>
  </si>
  <si>
    <t>3674000000476</t>
  </si>
  <si>
    <t>EMP-0746</t>
  </si>
  <si>
    <t>3674000000547202</t>
  </si>
  <si>
    <t>EMP-0747</t>
  </si>
  <si>
    <t>3674000000946881</t>
  </si>
  <si>
    <t>EMP-0748</t>
  </si>
  <si>
    <t>3674000000186286</t>
  </si>
  <si>
    <t>EMP-0749</t>
  </si>
  <si>
    <t>3674000000646517</t>
  </si>
  <si>
    <t>EMP-0750</t>
  </si>
  <si>
    <t>3674000000437434</t>
  </si>
  <si>
    <t>EMP-0751</t>
  </si>
  <si>
    <t>3674000000200620</t>
  </si>
  <si>
    <t>EMP-0752</t>
  </si>
  <si>
    <t>3674000000981992</t>
  </si>
  <si>
    <t>EMP-0753</t>
  </si>
  <si>
    <t>3674000000544255</t>
  </si>
  <si>
    <t>EMP-0754</t>
  </si>
  <si>
    <t>3674000000503085</t>
  </si>
  <si>
    <t>EMP-0755</t>
  </si>
  <si>
    <t>3674000000844</t>
  </si>
  <si>
    <t>EMP-0756</t>
  </si>
  <si>
    <t>3674000000896230</t>
  </si>
  <si>
    <t>EMP-0757</t>
  </si>
  <si>
    <t>3674000000782064</t>
  </si>
  <si>
    <t>EMP-0758</t>
  </si>
  <si>
    <t>3674000000469691</t>
  </si>
  <si>
    <t>EMP-0759</t>
  </si>
  <si>
    <t>3674000000327286</t>
  </si>
  <si>
    <t>EMP-0760</t>
  </si>
  <si>
    <t>3674000000673709</t>
  </si>
  <si>
    <t>EMP-0761</t>
  </si>
  <si>
    <t>3674000000363621</t>
  </si>
  <si>
    <t>EMP-0762</t>
  </si>
  <si>
    <t>3674000000957672</t>
  </si>
  <si>
    <t>EMP-0763</t>
  </si>
  <si>
    <t>3674000000580980</t>
  </si>
  <si>
    <t>EMP-0764</t>
  </si>
  <si>
    <t>3674000000925691</t>
  </si>
  <si>
    <t>EMP-0765</t>
  </si>
  <si>
    <t>3674000000906522</t>
  </si>
  <si>
    <t>EMP-0766</t>
  </si>
  <si>
    <t>3674000000255601</t>
  </si>
  <si>
    <t>EMP-0767</t>
  </si>
  <si>
    <t>3674000000104</t>
  </si>
  <si>
    <t>EMP-0768</t>
  </si>
  <si>
    <t>3674000000204002</t>
  </si>
  <si>
    <t>EMP-0769</t>
  </si>
  <si>
    <t>3674000000437349</t>
  </si>
  <si>
    <t>EMP-0770</t>
  </si>
  <si>
    <t>3674000000101448</t>
  </si>
  <si>
    <t>EMP-0771</t>
  </si>
  <si>
    <t>3674000000304517</t>
  </si>
  <si>
    <t>EMP-0772</t>
  </si>
  <si>
    <t>3674000000396602</t>
  </si>
  <si>
    <t>EMP-0773</t>
  </si>
  <si>
    <t>3674000000513467</t>
  </si>
  <si>
    <t>EMP-0774</t>
  </si>
  <si>
    <t>3674000000232098</t>
  </si>
  <si>
    <t>EMP-0775</t>
  </si>
  <si>
    <t>3674000000969</t>
  </si>
  <si>
    <t>EMP-0776</t>
  </si>
  <si>
    <t>3674000000924910</t>
  </si>
  <si>
    <t>EMP-0777</t>
  </si>
  <si>
    <t>3674000000964814</t>
  </si>
  <si>
    <t>EMP-0778</t>
  </si>
  <si>
    <t>3674000000546633</t>
  </si>
  <si>
    <t>EMP-0779</t>
  </si>
  <si>
    <t>3674000000343389</t>
  </si>
  <si>
    <t>EMP-0780</t>
  </si>
  <si>
    <t>3674000000299079</t>
  </si>
  <si>
    <t>EMP-0781</t>
  </si>
  <si>
    <t>3674000000446883</t>
  </si>
  <si>
    <t>EMP-0782</t>
  </si>
  <si>
    <t>3674000000661817</t>
  </si>
  <si>
    <t>EMP-0783</t>
  </si>
  <si>
    <t>3674000000700066</t>
  </si>
  <si>
    <t>EMP-0784</t>
  </si>
  <si>
    <t>3674000000778650</t>
  </si>
  <si>
    <t>EMP-0785</t>
  </si>
  <si>
    <t>3674000000302775</t>
  </si>
  <si>
    <t>EMP-0786</t>
  </si>
  <si>
    <t>3674000000438314</t>
  </si>
  <si>
    <t>EMP-0787</t>
  </si>
  <si>
    <t>3674000000995922</t>
  </si>
  <si>
    <t>EMP-0788</t>
  </si>
  <si>
    <t>3674000000595468</t>
  </si>
  <si>
    <t>EMP-0789</t>
  </si>
  <si>
    <t>3674000000910391</t>
  </si>
  <si>
    <t>EMP-0790</t>
  </si>
  <si>
    <t>3674000000452014</t>
  </si>
  <si>
    <t>EMP-0791</t>
  </si>
  <si>
    <t>3674000000713557</t>
  </si>
  <si>
    <t>EMP-0792</t>
  </si>
  <si>
    <t>3674000000895045</t>
  </si>
  <si>
    <t>EMP-0794</t>
  </si>
  <si>
    <t>3674000000314491</t>
  </si>
  <si>
    <t>EMP-0795</t>
  </si>
  <si>
    <t>3674000000594738</t>
  </si>
  <si>
    <t>EMP-0796</t>
  </si>
  <si>
    <t>3674000000317659</t>
  </si>
  <si>
    <t>EMP-0797</t>
  </si>
  <si>
    <t>3674000000597137</t>
  </si>
  <si>
    <t>EMP-0798</t>
  </si>
  <si>
    <t>3674000000409251</t>
  </si>
  <si>
    <t>EMP-0799</t>
  </si>
  <si>
    <t>3674000000579219</t>
  </si>
  <si>
    <t>EMP-0800</t>
  </si>
  <si>
    <t>3674000000931443</t>
  </si>
  <si>
    <t>EMP-0801</t>
  </si>
  <si>
    <t>3674000000916818</t>
  </si>
  <si>
    <t>EMP-0802</t>
  </si>
  <si>
    <t>3674000000413</t>
  </si>
  <si>
    <t>EMP-0803</t>
  </si>
  <si>
    <t>3674000000244524</t>
  </si>
  <si>
    <t>EMP-0804</t>
  </si>
  <si>
    <t>3674000000741</t>
  </si>
  <si>
    <t>EMP-0805</t>
  </si>
  <si>
    <t>3674000000548978</t>
  </si>
  <si>
    <t>EMP-0806</t>
  </si>
  <si>
    <t>3674000000644515</t>
  </si>
  <si>
    <t>EMP-0807</t>
  </si>
  <si>
    <t>3674000000747812</t>
  </si>
  <si>
    <t>EMP-0808</t>
  </si>
  <si>
    <t>3674000000376782</t>
  </si>
  <si>
    <t>EMP-0809</t>
  </si>
  <si>
    <t>3674000000785683</t>
  </si>
  <si>
    <t>EMP-0810</t>
  </si>
  <si>
    <t>3674000000912265</t>
  </si>
  <si>
    <t>EMP-0811</t>
  </si>
  <si>
    <t>3674000000332413</t>
  </si>
  <si>
    <t>EMP-0812</t>
  </si>
  <si>
    <t>3674000000741705</t>
  </si>
  <si>
    <t>EMP-0813</t>
  </si>
  <si>
    <t>3674000000544837</t>
  </si>
  <si>
    <t>EMP-0814</t>
  </si>
  <si>
    <t>3674000000581605</t>
  </si>
  <si>
    <t>EMP-0815</t>
  </si>
  <si>
    <t>3674000000410763</t>
  </si>
  <si>
    <t>EMP-0816</t>
  </si>
  <si>
    <t>3674000000118991</t>
  </si>
  <si>
    <t>EMP-0817</t>
  </si>
  <si>
    <t>3674000000624519</t>
  </si>
  <si>
    <t>EMP-0818</t>
  </si>
  <si>
    <t>3674000000511372</t>
  </si>
  <si>
    <t>EMP-0819</t>
  </si>
  <si>
    <t>3674000000580913</t>
  </si>
  <si>
    <t>EMP-0820</t>
  </si>
  <si>
    <t>3674000000856039</t>
  </si>
  <si>
    <t>EMP-0821</t>
  </si>
  <si>
    <t>3674000000445348</t>
  </si>
  <si>
    <t>EMP-0822</t>
  </si>
  <si>
    <t>3674000000306676</t>
  </si>
  <si>
    <t>EMP-0823</t>
  </si>
  <si>
    <t>3674000000829384</t>
  </si>
  <si>
    <t>EMP-0824</t>
  </si>
  <si>
    <t>3674000000235738</t>
  </si>
  <si>
    <t>EMP-0825</t>
  </si>
  <si>
    <t>3674000000554741</t>
  </si>
  <si>
    <t>EMP-0826</t>
  </si>
  <si>
    <t>3674000000430505</t>
  </si>
  <si>
    <t>EMP-0827</t>
  </si>
  <si>
    <t>3674000000932787</t>
  </si>
  <si>
    <t>EMP-0828</t>
  </si>
  <si>
    <t>3674000000236621</t>
  </si>
  <si>
    <t>EMP-0829</t>
  </si>
  <si>
    <t>3674000000484086</t>
  </si>
  <si>
    <t>EMP-0830</t>
  </si>
  <si>
    <t>3674000000187849</t>
  </si>
  <si>
    <t>EMP-0831</t>
  </si>
  <si>
    <t>3674000000890493</t>
  </si>
  <si>
    <t>EMP-0832</t>
  </si>
  <si>
    <t>3674000000893628</t>
  </si>
  <si>
    <t>EMP-0833</t>
  </si>
  <si>
    <t>3674000000914348</t>
  </si>
  <si>
    <t>EMP-0834</t>
  </si>
  <si>
    <t>3674000000205</t>
  </si>
  <si>
    <t>EMP-0835</t>
  </si>
  <si>
    <t>3674000000526048</t>
  </si>
  <si>
    <t>EMP-0836</t>
  </si>
  <si>
    <t>3674000000807176</t>
  </si>
  <si>
    <t>EMP-0837</t>
  </si>
  <si>
    <t>3674000000756</t>
  </si>
  <si>
    <t>EMP-0838</t>
  </si>
  <si>
    <t>3674000000558482</t>
  </si>
  <si>
    <t>EMP-0839</t>
  </si>
  <si>
    <t>3674000000816234</t>
  </si>
  <si>
    <t>EMP-0840</t>
  </si>
  <si>
    <t>3674000000630093</t>
  </si>
  <si>
    <t>EMP-0841</t>
  </si>
  <si>
    <t>3674000000191675</t>
  </si>
  <si>
    <t>EMP-0842</t>
  </si>
  <si>
    <t>3674000000530103</t>
  </si>
  <si>
    <t>EMP-0843</t>
  </si>
  <si>
    <t>3674000000156549</t>
  </si>
  <si>
    <t>EMP-0844</t>
  </si>
  <si>
    <t>3674000000467546</t>
  </si>
  <si>
    <t>EMP-0845</t>
  </si>
  <si>
    <t>3674000000436183</t>
  </si>
  <si>
    <t>EMP-0846</t>
  </si>
  <si>
    <t>3674000000610179</t>
  </si>
  <si>
    <t>EMP-0847</t>
  </si>
  <si>
    <t>3674000000864670</t>
  </si>
  <si>
    <t>EMP-0848</t>
  </si>
  <si>
    <t>3674000000602761</t>
  </si>
  <si>
    <t>EMP-0849</t>
  </si>
  <si>
    <t>3674000000814</t>
  </si>
  <si>
    <t>EMP-0850</t>
  </si>
  <si>
    <t>3674000000368493</t>
  </si>
  <si>
    <t>EMP-0851</t>
  </si>
  <si>
    <t>3674000000700051</t>
  </si>
  <si>
    <t>EMP-0852</t>
  </si>
  <si>
    <t>3674000000865214</t>
  </si>
  <si>
    <t>EMP-0853</t>
  </si>
  <si>
    <t>3674000000855158</t>
  </si>
  <si>
    <t>EMP-0855</t>
  </si>
  <si>
    <t>3674000000723358</t>
  </si>
  <si>
    <t>EMP-0856</t>
  </si>
  <si>
    <t>3674000000603637</t>
  </si>
  <si>
    <t>EMP-0857</t>
  </si>
  <si>
    <t>3674000000733444</t>
  </si>
  <si>
    <t>EMP-0858</t>
  </si>
  <si>
    <t>3674000000639462</t>
  </si>
  <si>
    <t>EMP-0859</t>
  </si>
  <si>
    <t>3674000000397956</t>
  </si>
  <si>
    <t>EMP-0860</t>
  </si>
  <si>
    <t>3674000000362367</t>
  </si>
  <si>
    <t>EMP-0862</t>
  </si>
  <si>
    <t>3674000000530448</t>
  </si>
  <si>
    <t>EMP-0863</t>
  </si>
  <si>
    <t>3674000000824173</t>
  </si>
  <si>
    <t>EMP-0864</t>
  </si>
  <si>
    <t>3674000000455015</t>
  </si>
  <si>
    <t>EMP-0865</t>
  </si>
  <si>
    <t>3674000000456032</t>
  </si>
  <si>
    <t>EMP-0866</t>
  </si>
  <si>
    <t>3674000000633905</t>
  </si>
  <si>
    <t>EMP-0867</t>
  </si>
  <si>
    <t>3674000000952483</t>
  </si>
  <si>
    <t>EMP-0868</t>
  </si>
  <si>
    <t>3674000000312181</t>
  </si>
  <si>
    <t>EMP-0869</t>
  </si>
  <si>
    <t>3674000000768951</t>
  </si>
  <si>
    <t>EMP-0870</t>
  </si>
  <si>
    <t>3674000000305468</t>
  </si>
  <si>
    <t>EMP-0871</t>
  </si>
  <si>
    <t>3674000000972807</t>
  </si>
  <si>
    <t>EMP-0872</t>
  </si>
  <si>
    <t>3674000000640116</t>
  </si>
  <si>
    <t>EMP-0873</t>
  </si>
  <si>
    <t>3674000000106847</t>
  </si>
  <si>
    <t>EMP-0874</t>
  </si>
  <si>
    <t>3674000000395629</t>
  </si>
  <si>
    <t>EMP-0875</t>
  </si>
  <si>
    <t>3674000000972058</t>
  </si>
  <si>
    <t>EMP-0876</t>
  </si>
  <si>
    <t>3674000000614522</t>
  </si>
  <si>
    <t>EMP-0877</t>
  </si>
  <si>
    <t>3674000000634321</t>
  </si>
  <si>
    <t>EMP-0878</t>
  </si>
  <si>
    <t>3674000000916287</t>
  </si>
  <si>
    <t>EMP-0879</t>
  </si>
  <si>
    <t>3674000000387917</t>
  </si>
  <si>
    <t>EMP-0880</t>
  </si>
  <si>
    <t>3674000000873386</t>
  </si>
  <si>
    <t>EMP-0882</t>
  </si>
  <si>
    <t>3674000000328</t>
  </si>
  <si>
    <t>EMP-0883</t>
  </si>
  <si>
    <t>3674000000854912</t>
  </si>
  <si>
    <t>EMP-0884</t>
  </si>
  <si>
    <t>3674000000519499</t>
  </si>
  <si>
    <t>EMP-0886</t>
  </si>
  <si>
    <t>3674000000817865</t>
  </si>
  <si>
    <t>EMP-0887</t>
  </si>
  <si>
    <t>3674000000819973</t>
  </si>
  <si>
    <t>EMP-0888</t>
  </si>
  <si>
    <t>3674000000989783</t>
  </si>
  <si>
    <t>EMP-0889</t>
  </si>
  <si>
    <t>3674000000712704</t>
  </si>
  <si>
    <t>EMP-0890</t>
  </si>
  <si>
    <t>3674000000422557</t>
  </si>
  <si>
    <t>EMP-0891</t>
  </si>
  <si>
    <t>3674000000348</t>
  </si>
  <si>
    <t>EMP-0892</t>
  </si>
  <si>
    <t>3674000000263666</t>
  </si>
  <si>
    <t>EMP-0893</t>
  </si>
  <si>
    <t>3674000000775370</t>
  </si>
  <si>
    <t>EMP-0894</t>
  </si>
  <si>
    <t>3674000000530420</t>
  </si>
  <si>
    <t>EMP-0895</t>
  </si>
  <si>
    <t>3674000000996640</t>
  </si>
  <si>
    <t>EMP-0896</t>
  </si>
  <si>
    <t>3674000000233</t>
  </si>
  <si>
    <t>EMP-0897</t>
  </si>
  <si>
    <t>3674000000357672</t>
  </si>
  <si>
    <t>EMP-0898</t>
  </si>
  <si>
    <t>3674000000354393</t>
  </si>
  <si>
    <t>EMP-0899</t>
  </si>
  <si>
    <t>3674000000671447</t>
  </si>
  <si>
    <t>EMP-0900</t>
  </si>
  <si>
    <t>3674000000501</t>
  </si>
  <si>
    <t>EMP-0901</t>
  </si>
  <si>
    <t>3674000000372</t>
  </si>
  <si>
    <t>EMP-0902</t>
  </si>
  <si>
    <t>3674000000276524</t>
  </si>
  <si>
    <t>EMP-0903</t>
  </si>
  <si>
    <t>3674000000714452</t>
  </si>
  <si>
    <t>EMP-0904</t>
  </si>
  <si>
    <t>3674000000262324</t>
  </si>
  <si>
    <t>EMP-0905</t>
  </si>
  <si>
    <t>3674000000607979</t>
  </si>
  <si>
    <t>EMP-0906</t>
  </si>
  <si>
    <t>3674000000993301</t>
  </si>
  <si>
    <t>EMP-0907</t>
  </si>
  <si>
    <t>3674000000541067</t>
  </si>
  <si>
    <t>EMP-0908</t>
  </si>
  <si>
    <t>3674000000546761</t>
  </si>
  <si>
    <t>EMP-0909</t>
  </si>
  <si>
    <t>3674000000333408</t>
  </si>
  <si>
    <t>EMP-0910</t>
  </si>
  <si>
    <t>3674000000653716</t>
  </si>
  <si>
    <t>EMP-0911</t>
  </si>
  <si>
    <t>3674000000898974</t>
  </si>
  <si>
    <t>EMP-0912</t>
  </si>
  <si>
    <t>3674000000972654</t>
  </si>
  <si>
    <t>EMP-0913</t>
  </si>
  <si>
    <t>3674000000475402</t>
  </si>
  <si>
    <t>EMP-0914</t>
  </si>
  <si>
    <t>3674000000305664</t>
  </si>
  <si>
    <t>EMP-0915</t>
  </si>
  <si>
    <t>3674000000393963</t>
  </si>
  <si>
    <t>EMP-0916</t>
  </si>
  <si>
    <t>3674000000422952</t>
  </si>
  <si>
    <t>EMP-0917</t>
  </si>
  <si>
    <t>3674000000935407</t>
  </si>
  <si>
    <t>EMP-0918</t>
  </si>
  <si>
    <t>3674000000475786</t>
  </si>
  <si>
    <t>EMP-0919</t>
  </si>
  <si>
    <t>3674000000133743</t>
  </si>
  <si>
    <t>EMP-0920</t>
  </si>
  <si>
    <t>3674000000492936</t>
  </si>
  <si>
    <t>EMP-0921</t>
  </si>
  <si>
    <t>3674000000733814</t>
  </si>
  <si>
    <t>EMP-0922</t>
  </si>
  <si>
    <t>3674000000876948</t>
  </si>
  <si>
    <t>EMP-0923</t>
  </si>
  <si>
    <t>3674000000946875</t>
  </si>
  <si>
    <t>EMP-0924</t>
  </si>
  <si>
    <t>3674000000828716</t>
  </si>
  <si>
    <t>EMP-0925</t>
  </si>
  <si>
    <t>3674000000302861</t>
  </si>
  <si>
    <t>EMP-0926</t>
  </si>
  <si>
    <t>3674000000481223</t>
  </si>
  <si>
    <t>EMP-0927</t>
  </si>
  <si>
    <t>3674000000390255</t>
  </si>
  <si>
    <t>EMP-0928</t>
  </si>
  <si>
    <t>3674000000889375</t>
  </si>
  <si>
    <t>EMP-0929</t>
  </si>
  <si>
    <t>3674000000455985</t>
  </si>
  <si>
    <t>EMP-0930</t>
  </si>
  <si>
    <t>3674000000189256</t>
  </si>
  <si>
    <t>EMP-0931</t>
  </si>
  <si>
    <t>3674000000188542</t>
  </si>
  <si>
    <t>EMP-0932</t>
  </si>
  <si>
    <t>3674000000213603</t>
  </si>
  <si>
    <t>EMP-0933</t>
  </si>
  <si>
    <t>3674000000121271</t>
  </si>
  <si>
    <t>EMP-0934</t>
  </si>
  <si>
    <t>3674000000160523</t>
  </si>
  <si>
    <t>EMP-0935</t>
  </si>
  <si>
    <t>3674000000524600</t>
  </si>
  <si>
    <t>EMP-0936</t>
  </si>
  <si>
    <t>3674000000637594</t>
  </si>
  <si>
    <t>EMP-0937</t>
  </si>
  <si>
    <t>3674000000241852</t>
  </si>
  <si>
    <t>EMP-0938</t>
  </si>
  <si>
    <t>3674000000410158</t>
  </si>
  <si>
    <t>EMP-0940</t>
  </si>
  <si>
    <t>3674000000718884</t>
  </si>
  <si>
    <t>EMP-0941</t>
  </si>
  <si>
    <t>3674000000699471</t>
  </si>
  <si>
    <t>EMP-0942</t>
  </si>
  <si>
    <t>3674000000184399</t>
  </si>
  <si>
    <t>EMP-0943</t>
  </si>
  <si>
    <t>3674000000990235</t>
  </si>
  <si>
    <t>EMP-0944</t>
  </si>
  <si>
    <t>3674000000781878</t>
  </si>
  <si>
    <t>EMP-0945</t>
  </si>
  <si>
    <t>3674000000706672</t>
  </si>
  <si>
    <t>EMP-0946</t>
  </si>
  <si>
    <t>3674000000858438</t>
  </si>
  <si>
    <t>EMP-0947</t>
  </si>
  <si>
    <t>3674000000153809</t>
  </si>
  <si>
    <t>EMP-0948</t>
  </si>
  <si>
    <t>3674000000505972</t>
  </si>
  <si>
    <t>EMP-0949</t>
  </si>
  <si>
    <t>3674000000366949</t>
  </si>
  <si>
    <t>EMP-0950</t>
  </si>
  <si>
    <t>3674000000981696</t>
  </si>
  <si>
    <t>EMP-0951</t>
  </si>
  <si>
    <t>3674000000886431</t>
  </si>
  <si>
    <t>EMP-0952</t>
  </si>
  <si>
    <t>3674000000950</t>
  </si>
  <si>
    <t>EMP-0953</t>
  </si>
  <si>
    <t>3674000000360757</t>
  </si>
  <si>
    <t>EMP-0954</t>
  </si>
  <si>
    <t>3674000000978684</t>
  </si>
  <si>
    <t>EMP-0955</t>
  </si>
  <si>
    <t>3674000000702639</t>
  </si>
  <si>
    <t>EMP-0956</t>
  </si>
  <si>
    <t>3674000000752234</t>
  </si>
  <si>
    <t>EMP-0957</t>
  </si>
  <si>
    <t>3674000000782674</t>
  </si>
  <si>
    <t>EMP-0958</t>
  </si>
  <si>
    <t>3674000000266288</t>
  </si>
  <si>
    <t>EMP-0959</t>
  </si>
  <si>
    <t>3674000000251</t>
  </si>
  <si>
    <t>EMP-0960</t>
  </si>
  <si>
    <t>3674000000205298</t>
  </si>
  <si>
    <t>EMP-0961</t>
  </si>
  <si>
    <t>3674000000755004</t>
  </si>
  <si>
    <t>EMP-0962</t>
  </si>
  <si>
    <t>3674000000903352</t>
  </si>
  <si>
    <t>EMP-0963</t>
  </si>
  <si>
    <t>3674000000226020</t>
  </si>
  <si>
    <t>EMP-0964</t>
  </si>
  <si>
    <t>3674000000386322</t>
  </si>
  <si>
    <t>EMP-0965</t>
  </si>
  <si>
    <t>3674000000635183</t>
  </si>
  <si>
    <t>EMP-0966</t>
  </si>
  <si>
    <t>3674000000695377</t>
  </si>
  <si>
    <t>EMP-0967</t>
  </si>
  <si>
    <t>3674000000585922</t>
  </si>
  <si>
    <t>EMP-0968</t>
  </si>
  <si>
    <t>3674000000588546</t>
  </si>
  <si>
    <t>EMP-0969</t>
  </si>
  <si>
    <t>3674000000156539</t>
  </si>
  <si>
    <t>EMP-0970</t>
  </si>
  <si>
    <t>3674000000382348</t>
  </si>
  <si>
    <t>EMP-0971</t>
  </si>
  <si>
    <t>3674000000624372</t>
  </si>
  <si>
    <t>EMP-0972</t>
  </si>
  <si>
    <t>3674000000540880</t>
  </si>
  <si>
    <t>EMP-0974</t>
  </si>
  <si>
    <t>3674000000585212</t>
  </si>
  <si>
    <t>EMP-0976</t>
  </si>
  <si>
    <t>3674000000661280</t>
  </si>
  <si>
    <t>EMP-0977</t>
  </si>
  <si>
    <t>3674000000808316</t>
  </si>
  <si>
    <t>EMP-0978</t>
  </si>
  <si>
    <t>3674000000873549</t>
  </si>
  <si>
    <t>EMP-0979</t>
  </si>
  <si>
    <t>3674000000884862</t>
  </si>
  <si>
    <t>EMP-0980</t>
  </si>
  <si>
    <t>3674000000843422</t>
  </si>
  <si>
    <t>EMP-0981</t>
  </si>
  <si>
    <t>3674000000719980</t>
  </si>
  <si>
    <t>EMP-0982</t>
  </si>
  <si>
    <t>3674000000342776</t>
  </si>
  <si>
    <t>EMP-0983</t>
  </si>
  <si>
    <t>3674000000966424</t>
  </si>
  <si>
    <t>EMP-0984</t>
  </si>
  <si>
    <t>3674000000539826</t>
  </si>
  <si>
    <t>EMP-0985</t>
  </si>
  <si>
    <t>3674000000230588</t>
  </si>
  <si>
    <t>EMP-0986</t>
  </si>
  <si>
    <t>3674000000879006</t>
  </si>
  <si>
    <t>EMP-0987</t>
  </si>
  <si>
    <t>3674000000662678</t>
  </si>
  <si>
    <t>EMP-0988</t>
  </si>
  <si>
    <t>3674000000772549</t>
  </si>
  <si>
    <t>EMP-0989</t>
  </si>
  <si>
    <t>3674000000242357</t>
  </si>
  <si>
    <t>EMP-0990</t>
  </si>
  <si>
    <t>3674000000581730</t>
  </si>
  <si>
    <t>EMP-0991</t>
  </si>
  <si>
    <t>3674000000642496</t>
  </si>
  <si>
    <t>EMP-0992</t>
  </si>
  <si>
    <t>3674000000352838</t>
  </si>
  <si>
    <t>EMP-0993</t>
  </si>
  <si>
    <t>3674000000688541</t>
  </si>
  <si>
    <t>EMP-0994</t>
  </si>
  <si>
    <t>3674000000756476</t>
  </si>
  <si>
    <t>EMP-0995</t>
  </si>
  <si>
    <t>3674000000387379</t>
  </si>
  <si>
    <t>EMP-0996</t>
  </si>
  <si>
    <t>3674000000716213</t>
  </si>
  <si>
    <t>EMP-0997</t>
  </si>
  <si>
    <t>3674000000329984</t>
  </si>
  <si>
    <t>EMP-0998</t>
  </si>
  <si>
    <t>3674000000463398</t>
  </si>
  <si>
    <t>EMP-0999</t>
  </si>
  <si>
    <t>3674000000508</t>
  </si>
  <si>
    <t>EMP-1000</t>
  </si>
  <si>
    <t>3674000000454853</t>
  </si>
  <si>
    <t>NIK_KTP_Clean</t>
  </si>
  <si>
    <t>Status_Audit</t>
  </si>
  <si>
    <t>Info_Audit</t>
  </si>
  <si>
    <t>Defect</t>
  </si>
  <si>
    <t>Defect/Dupicates ID;</t>
  </si>
  <si>
    <t>Defect/Dupicates NIK;</t>
  </si>
  <si>
    <t>Valid</t>
  </si>
  <si>
    <t>Valid Data</t>
  </si>
  <si>
    <t>Defect Data</t>
  </si>
  <si>
    <t>Total</t>
  </si>
  <si>
    <t>Error</t>
  </si>
  <si>
    <t>Base Salery Error</t>
  </si>
  <si>
    <t>Join Date Error</t>
  </si>
  <si>
    <t>=</t>
  </si>
  <si>
    <t>Defect Overtime</t>
  </si>
  <si>
    <t>Defect/Dupicates ID;Defect Overtime</t>
  </si>
  <si>
    <t>Defect/Dupicates NIK;Defect Overtime</t>
  </si>
  <si>
    <t>Overtime Error (Including Qty&lt;0)</t>
  </si>
  <si>
    <t>ID Error (Duplicates/Blank cell)</t>
  </si>
  <si>
    <t>NIK Error (Duplicates/Blank cell)</t>
  </si>
  <si>
    <t>Mega Saputra</t>
  </si>
  <si>
    <t>Procurement</t>
  </si>
  <si>
    <t>Analyst</t>
  </si>
  <si>
    <t>25</t>
  </si>
  <si>
    <t xml:space="preserve">  syafiq kusuma  </t>
  </si>
  <si>
    <t>Operations</t>
  </si>
  <si>
    <t>Specialist</t>
  </si>
  <si>
    <t>20</t>
  </si>
  <si>
    <t>Fajar Kusuma</t>
  </si>
  <si>
    <t>30 hours</t>
  </si>
  <si>
    <t>Rian Nugroho</t>
  </si>
  <si>
    <t>Finance &amp; Accounting</t>
  </si>
  <si>
    <t>Senior Staff</t>
  </si>
  <si>
    <t>32</t>
  </si>
  <si>
    <t>Dian Wibowo</t>
  </si>
  <si>
    <t>Human Resources</t>
  </si>
  <si>
    <t>Staff</t>
  </si>
  <si>
    <t>26</t>
  </si>
  <si>
    <t>Eko Siregar</t>
  </si>
  <si>
    <t>IT &amp; Data Systems</t>
  </si>
  <si>
    <t>37</t>
  </si>
  <si>
    <t>Eko Saputra</t>
  </si>
  <si>
    <t>29</t>
  </si>
  <si>
    <t>Siti Nugroho</t>
  </si>
  <si>
    <t>7</t>
  </si>
  <si>
    <t>Andi Saputra</t>
  </si>
  <si>
    <t>Logistics &amp; Warehouse</t>
  </si>
  <si>
    <t>28</t>
  </si>
  <si>
    <t>Dian Saputra</t>
  </si>
  <si>
    <t>-36</t>
  </si>
  <si>
    <t>Rina Wibowo</t>
  </si>
  <si>
    <t>Supervisor</t>
  </si>
  <si>
    <t xml:space="preserve">  rian wijaya  </t>
  </si>
  <si>
    <t>18</t>
  </si>
  <si>
    <t>Rian Saputra</t>
  </si>
  <si>
    <t>30</t>
  </si>
  <si>
    <t>1</t>
  </si>
  <si>
    <t>Mega Wibowo</t>
  </si>
  <si>
    <t>Syafiq Santoso</t>
  </si>
  <si>
    <t>10</t>
  </si>
  <si>
    <t>Fajar Hidayat</t>
  </si>
  <si>
    <t>19</t>
  </si>
  <si>
    <t>Budi Saputra</t>
  </si>
  <si>
    <t>Andi Nugroho</t>
  </si>
  <si>
    <t>Rina Saputra</t>
  </si>
  <si>
    <t>34</t>
  </si>
  <si>
    <t>Ahmad Saputra</t>
  </si>
  <si>
    <t>4</t>
  </si>
  <si>
    <t>Ahmad Pratama</t>
  </si>
  <si>
    <t>Dewi Hidayat</t>
  </si>
  <si>
    <t>8</t>
  </si>
  <si>
    <t>Budi Siregar</t>
  </si>
  <si>
    <t>3</t>
  </si>
  <si>
    <t>Mega Kusuma</t>
  </si>
  <si>
    <t>2</t>
  </si>
  <si>
    <t>Eko Hidayat</t>
  </si>
  <si>
    <t>Dian Hidayat</t>
  </si>
  <si>
    <t>15</t>
  </si>
  <si>
    <t>Ahmad Santoso</t>
  </si>
  <si>
    <t>0</t>
  </si>
  <si>
    <t xml:space="preserve">  siti siregar  </t>
  </si>
  <si>
    <t>Rina Lestari</t>
  </si>
  <si>
    <t>40</t>
  </si>
  <si>
    <t>Dian Kusuma</t>
  </si>
  <si>
    <t>27</t>
  </si>
  <si>
    <t>Andi Wijaya</t>
  </si>
  <si>
    <t>24</t>
  </si>
  <si>
    <t>Rian Wibowo</t>
  </si>
  <si>
    <t>Ahmad Wibowo</t>
  </si>
  <si>
    <t>Andi Wibowo</t>
  </si>
  <si>
    <t>33</t>
  </si>
  <si>
    <t>Syafiq Wibowo</t>
  </si>
  <si>
    <t>Budi Santoso</t>
  </si>
  <si>
    <t>23</t>
  </si>
  <si>
    <t>Ahmad Kusuma</t>
  </si>
  <si>
    <t>Siti Santoso</t>
  </si>
  <si>
    <t>Syafiq Kusuma</t>
  </si>
  <si>
    <t>Syafiq Saputra</t>
  </si>
  <si>
    <t>12</t>
  </si>
  <si>
    <t>Andi Siregar</t>
  </si>
  <si>
    <t>5</t>
  </si>
  <si>
    <t>Siti Pratama</t>
  </si>
  <si>
    <t>Andi Pratama</t>
  </si>
  <si>
    <t>21</t>
  </si>
  <si>
    <t xml:space="preserve">  dewi siregar  </t>
  </si>
  <si>
    <t>14</t>
  </si>
  <si>
    <t>31</t>
  </si>
  <si>
    <t>Rina Pratama</t>
  </si>
  <si>
    <t xml:space="preserve">  rian wibowo  </t>
  </si>
  <si>
    <t>38</t>
  </si>
  <si>
    <t>Budi Hidayat</t>
  </si>
  <si>
    <t>Siti Siregar</t>
  </si>
  <si>
    <t>11</t>
  </si>
  <si>
    <t>Eko Wijaya</t>
  </si>
  <si>
    <t>Syafiq Lestari</t>
  </si>
  <si>
    <t>9</t>
  </si>
  <si>
    <t>Mega Nugroho</t>
  </si>
  <si>
    <t>Siti Hidayat</t>
  </si>
  <si>
    <t>Rina Siregar</t>
  </si>
  <si>
    <t>Rian Siregar</t>
  </si>
  <si>
    <t>Dian Siregar</t>
  </si>
  <si>
    <t>36</t>
  </si>
  <si>
    <t>Fajar Saputra</t>
  </si>
  <si>
    <t>Siti Wibowo</t>
  </si>
  <si>
    <t>Eko Santoso</t>
  </si>
  <si>
    <t>Mega Pratama</t>
  </si>
  <si>
    <t>Budi Kusuma</t>
  </si>
  <si>
    <t>Budi Nugroho</t>
  </si>
  <si>
    <t>Rina Hidayat</t>
  </si>
  <si>
    <t>17</t>
  </si>
  <si>
    <t>Syafiq Pratama</t>
  </si>
  <si>
    <t>-8</t>
  </si>
  <si>
    <t xml:space="preserve">  rina lestari  </t>
  </si>
  <si>
    <t>Siti Lestari</t>
  </si>
  <si>
    <t>Eko Pratama</t>
  </si>
  <si>
    <t>Siti Saputra</t>
  </si>
  <si>
    <t>-2</t>
  </si>
  <si>
    <t>-21</t>
  </si>
  <si>
    <t>Dewi Wijaya</t>
  </si>
  <si>
    <t>Rina Wijaya</t>
  </si>
  <si>
    <t>Rina Kusuma</t>
  </si>
  <si>
    <t>16</t>
  </si>
  <si>
    <t>22</t>
  </si>
  <si>
    <t>Dewi Saputra</t>
  </si>
  <si>
    <t xml:space="preserve">  siti lestari  </t>
  </si>
  <si>
    <t>Dewi Lestari</t>
  </si>
  <si>
    <t>Dian Lestari</t>
  </si>
  <si>
    <t>Budi Pratama</t>
  </si>
  <si>
    <t>39</t>
  </si>
  <si>
    <t>Budi Wibowo</t>
  </si>
  <si>
    <t>Ahmad Siregar</t>
  </si>
  <si>
    <t>Siti Kusuma</t>
  </si>
  <si>
    <t>13</t>
  </si>
  <si>
    <t xml:space="preserve">  budi wijaya  </t>
  </si>
  <si>
    <t>-7</t>
  </si>
  <si>
    <t>Fajar Siregar</t>
  </si>
  <si>
    <t>Rian Pratama</t>
  </si>
  <si>
    <t>Rian Kusuma</t>
  </si>
  <si>
    <t xml:space="preserve">  eko santoso  </t>
  </si>
  <si>
    <t>Ahmad Lestari</t>
  </si>
  <si>
    <t>Eko Lestari</t>
  </si>
  <si>
    <t>Dewi Nugroho</t>
  </si>
  <si>
    <t>Dian Pratama</t>
  </si>
  <si>
    <t>Fajar Wijaya</t>
  </si>
  <si>
    <t>Budi Lestari</t>
  </si>
  <si>
    <t>Mega Siregar</t>
  </si>
  <si>
    <t>Fajar Lestari</t>
  </si>
  <si>
    <t>6</t>
  </si>
  <si>
    <t>-4</t>
  </si>
  <si>
    <t>Fajar Santoso</t>
  </si>
  <si>
    <t>Syafiq Siregar</t>
  </si>
  <si>
    <t xml:space="preserve">  fajar saputra  </t>
  </si>
  <si>
    <t>Andi Santoso</t>
  </si>
  <si>
    <t>-26</t>
  </si>
  <si>
    <t>Dewi Santoso</t>
  </si>
  <si>
    <t xml:space="preserve">  ahmad nugroho  </t>
  </si>
  <si>
    <t>Eko Wibowo</t>
  </si>
  <si>
    <t>Rina Nugroho</t>
  </si>
  <si>
    <t xml:space="preserve">  rina wibowo  </t>
  </si>
  <si>
    <t>35</t>
  </si>
  <si>
    <t>Fajar Nugroho</t>
  </si>
  <si>
    <t>Dian Santoso</t>
  </si>
  <si>
    <t>-9</t>
  </si>
  <si>
    <t>Andi Hidayat</t>
  </si>
  <si>
    <t xml:space="preserve">  dewi wijaya  </t>
  </si>
  <si>
    <t>Ahmad Nugroho</t>
  </si>
  <si>
    <t xml:space="preserve">  dewi hidayat  </t>
  </si>
  <si>
    <t>Rian Wijaya</t>
  </si>
  <si>
    <t>Syafiq Nugroho</t>
  </si>
  <si>
    <t>Dian Nugroho</t>
  </si>
  <si>
    <t>Mega Hidayat</t>
  </si>
  <si>
    <t xml:space="preserve">  rina wijaya  </t>
  </si>
  <si>
    <t xml:space="preserve">  dian kusuma  </t>
  </si>
  <si>
    <t xml:space="preserve">  mega kusuma  </t>
  </si>
  <si>
    <t xml:space="preserve">  fajar santoso  </t>
  </si>
  <si>
    <t>Dewi Wibowo</t>
  </si>
  <si>
    <t>Rian Hidayat</t>
  </si>
  <si>
    <t xml:space="preserve">  rian saputra  </t>
  </si>
  <si>
    <t>Mega Santoso</t>
  </si>
  <si>
    <t xml:space="preserve">  mega nugroho  </t>
  </si>
  <si>
    <t>Syafiq Wijaya</t>
  </si>
  <si>
    <t>Eko Kusuma</t>
  </si>
  <si>
    <t xml:space="preserve">  fajar hidayat  </t>
  </si>
  <si>
    <t xml:space="preserve">  dian lestari  </t>
  </si>
  <si>
    <t xml:space="preserve">  rian pratama  </t>
  </si>
  <si>
    <t>Dewi Pratama</t>
  </si>
  <si>
    <t>Ahmad Wijaya</t>
  </si>
  <si>
    <t xml:space="preserve">  dian nugroho  </t>
  </si>
  <si>
    <t xml:space="preserve">  rina hidayat  </t>
  </si>
  <si>
    <t>Mega Wijaya</t>
  </si>
  <si>
    <t xml:space="preserve">  siti saputra  </t>
  </si>
  <si>
    <t>Dewi Siregar</t>
  </si>
  <si>
    <t>Fajar Pratama</t>
  </si>
  <si>
    <t>-40</t>
  </si>
  <si>
    <t xml:space="preserve">  eko hidayat  </t>
  </si>
  <si>
    <t>Eko Nugroho</t>
  </si>
  <si>
    <t>Rina Santoso</t>
  </si>
  <si>
    <t>Mega Lestari</t>
  </si>
  <si>
    <t xml:space="preserve">  andi wijaya  </t>
  </si>
  <si>
    <t>-13</t>
  </si>
  <si>
    <t>Fajar Wibowo</t>
  </si>
  <si>
    <t xml:space="preserve">  dian wijaya  </t>
  </si>
  <si>
    <t>Andi Kusuma</t>
  </si>
  <si>
    <t xml:space="preserve">  fajar kusuma  </t>
  </si>
  <si>
    <t>-32</t>
  </si>
  <si>
    <t>Dian Wijaya</t>
  </si>
  <si>
    <t xml:space="preserve">  rina nugroho  </t>
  </si>
  <si>
    <t xml:space="preserve">  ahmad kusuma  </t>
  </si>
  <si>
    <t>-10</t>
  </si>
  <si>
    <t>Dewi Kusuma</t>
  </si>
  <si>
    <t xml:space="preserve">  dewi wibowo  </t>
  </si>
  <si>
    <t xml:space="preserve">  andi santoso  </t>
  </si>
  <si>
    <t>-33</t>
  </si>
  <si>
    <t xml:space="preserve">  eko saputra  </t>
  </si>
  <si>
    <t>Budi Wijaya</t>
  </si>
  <si>
    <t>Syafiq Hidayat</t>
  </si>
  <si>
    <t xml:space="preserve">  rian lestari  </t>
  </si>
  <si>
    <t xml:space="preserve">  fajar wibowo  </t>
  </si>
  <si>
    <t xml:space="preserve">  andi pratama  </t>
  </si>
  <si>
    <t xml:space="preserve">  fajar siregar  </t>
  </si>
  <si>
    <t xml:space="preserve">  ahmad santoso  </t>
  </si>
  <si>
    <t xml:space="preserve">  mega saputra  </t>
  </si>
  <si>
    <t xml:space="preserve">  eko kusuma  </t>
  </si>
  <si>
    <t>Siti Wijaya</t>
  </si>
  <si>
    <t>Rian Lestari</t>
  </si>
  <si>
    <t xml:space="preserve">  budi kusuma  </t>
  </si>
  <si>
    <t xml:space="preserve">  eko siregar  </t>
  </si>
  <si>
    <t>-17</t>
  </si>
  <si>
    <t>-23</t>
  </si>
  <si>
    <t xml:space="preserve">  ahmad lestari  </t>
  </si>
  <si>
    <t xml:space="preserve">  dewi nugroho  </t>
  </si>
  <si>
    <t xml:space="preserve">  eko lestari  </t>
  </si>
  <si>
    <t>Rian Santoso</t>
  </si>
  <si>
    <t xml:space="preserve">  rian nugroho  </t>
  </si>
  <si>
    <t>-3</t>
  </si>
  <si>
    <t xml:space="preserve">  syafiq nugroho  </t>
  </si>
  <si>
    <t>Andi Lestari</t>
  </si>
  <si>
    <t>-16</t>
  </si>
  <si>
    <t>-30</t>
  </si>
  <si>
    <t>-34</t>
  </si>
  <si>
    <t xml:space="preserve">  rian santoso  </t>
  </si>
  <si>
    <t xml:space="preserve">  dewi santoso  </t>
  </si>
  <si>
    <t xml:space="preserve">  budi santoso  </t>
  </si>
  <si>
    <t>-15</t>
  </si>
  <si>
    <t>-24</t>
  </si>
  <si>
    <t xml:space="preserve">  syafiq siregar  </t>
  </si>
  <si>
    <t xml:space="preserve">  mega santoso  </t>
  </si>
  <si>
    <t>Ahmad Hidayat</t>
  </si>
  <si>
    <t>-12</t>
  </si>
  <si>
    <t xml:space="preserve">  dian siregar  </t>
  </si>
  <si>
    <t xml:space="preserve">  dewi pratama  </t>
  </si>
  <si>
    <t xml:space="preserve">  siti wibowo  </t>
  </si>
  <si>
    <t>-20</t>
  </si>
  <si>
    <t xml:space="preserve">  andi lestari  </t>
  </si>
  <si>
    <t xml:space="preserve">  syafiq pratama  </t>
  </si>
  <si>
    <t xml:space="preserve">  fajar wijaya  </t>
  </si>
  <si>
    <t xml:space="preserve">  ahmad pratama  </t>
  </si>
  <si>
    <t xml:space="preserve">  mega pratama  </t>
  </si>
  <si>
    <t>-28</t>
  </si>
  <si>
    <t>-31</t>
  </si>
  <si>
    <t>-29</t>
  </si>
  <si>
    <t xml:space="preserve">  rian kusuma  </t>
  </si>
  <si>
    <t>-19</t>
  </si>
  <si>
    <t xml:space="preserve">  siti pratama  </t>
  </si>
  <si>
    <t xml:space="preserve">  rian siregar  </t>
  </si>
  <si>
    <t xml:space="preserve">  rina kusuma  </t>
  </si>
  <si>
    <t xml:space="preserve">  syafiq hidayat  </t>
  </si>
  <si>
    <t xml:space="preserve">  andi hidayat  </t>
  </si>
  <si>
    <t xml:space="preserve">  syafiq wijaya  </t>
  </si>
  <si>
    <t>-27</t>
  </si>
  <si>
    <t xml:space="preserve">  ahmad wibowo  </t>
  </si>
  <si>
    <t xml:space="preserve">  syafiq saputra  </t>
  </si>
  <si>
    <t>-37</t>
  </si>
  <si>
    <t>Defect/Dupicates ID;Defect/Dupicates NIK;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</si>
</sst>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  <scheme val="minor"/>
    </font>
    <font>
      <sz val="11"/>
      <color theme="1"/>
      <name val="Arial"/>
      <family val="2"/>
    </font>
    <font>
      <sz val="8"/>
      <name val="Calibri"/>
      <family val="2"/>
      <charset val="1"/>
      <scheme val="minor"/>
    </font>
    <font>
      <sz val="12"/>
      <color theme="1"/>
      <name val="Arial"/>
      <family val="2"/>
    </font>
    <font>
      <sz val="22"/>
      <color theme="1"/>
      <name val="Arial"/>
      <family val="2"/>
    </font>
    <font>
      <sz val="22"/>
      <color rgb="FFFF0000"/>
      <name val="Arial"/>
      <family val="2"/>
    </font>
    <font>
      <sz val="12"/>
      <color theme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theme="9"/>
      </bottom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</borders>
  <cellStyleXfs count="1">
    <xf numFmtId="0" fontId="0" fillId="0" borderId="0"/>
  </cellStyleXfs>
  <cellXfs count="14">
    <xf numFmtId="0" fontId="0" fillId="0" borderId="0" xfId="0"/>
    <xf numFmtId="14" fontId="0" fillId="0" borderId="0" xfId="0" applyNumberFormat="1"/>
    <xf numFmtId="0" fontId="1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0" fillId="0" borderId="0" xfId="0" applyNumberFormat="1"/>
  </cellXfs>
  <cellStyles count="1">
    <cellStyle name="Normal" xfId="0" builtinId="0"/>
  </cellStyles>
  <dxfs count="29"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id-ID" sz="1800">
                <a:latin typeface="Arial" panose="020B0604020202020204" pitchFamily="34" charset="0"/>
                <a:cs typeface="Arial" panose="020B0604020202020204" pitchFamily="34" charset="0"/>
              </a:rPr>
              <a:t>Persentase</a:t>
            </a:r>
            <a:r>
              <a:rPr lang="id-ID" sz="1800" baseline="0">
                <a:latin typeface="Arial" panose="020B0604020202020204" pitchFamily="34" charset="0"/>
                <a:cs typeface="Arial" panose="020B0604020202020204" pitchFamily="34" charset="0"/>
              </a:rPr>
              <a:t> Error</a:t>
            </a:r>
            <a:endParaRPr lang="id-ID" sz="1800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id-ID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2F2-4830-87BC-947ADE280666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2F2-4830-87BC-947ADE280666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2F2-4830-87BC-947ADE280666}"/>
              </c:ext>
            </c:extLst>
          </c:dPt>
          <c:dPt>
            <c:idx val="3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2F2-4830-87BC-947ADE280666}"/>
              </c:ext>
            </c:extLst>
          </c:dPt>
          <c:dPt>
            <c:idx val="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2F2-4830-87BC-947ADE280666}"/>
              </c:ext>
            </c:extLst>
          </c:dPt>
          <c:cat>
            <c:strRef>
              <c:f>Result_Audit!$A$6:$A$10</c:f>
              <c:strCache>
                <c:ptCount val="5"/>
                <c:pt idx="0">
                  <c:v>ID Error (Duplicates/Blank cell)</c:v>
                </c:pt>
                <c:pt idx="1">
                  <c:v>NIK Error (Duplicates/Blank cell)</c:v>
                </c:pt>
                <c:pt idx="2">
                  <c:v>Base Salery Error</c:v>
                </c:pt>
                <c:pt idx="3">
                  <c:v>Overtime Error (Including Qty&lt;0)</c:v>
                </c:pt>
                <c:pt idx="4">
                  <c:v>Join Date Error</c:v>
                </c:pt>
              </c:strCache>
            </c:strRef>
          </c:cat>
          <c:val>
            <c:numRef>
              <c:f>Result_Audit!$C$6:$C$10</c:f>
              <c:numCache>
                <c:formatCode>General</c:formatCode>
                <c:ptCount val="5"/>
                <c:pt idx="0">
                  <c:v>32</c:v>
                </c:pt>
                <c:pt idx="1">
                  <c:v>103</c:v>
                </c:pt>
                <c:pt idx="2">
                  <c:v>0</c:v>
                </c:pt>
                <c:pt idx="3">
                  <c:v>53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68-494D-B675-4EE7F1AD93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id-ID" sz="1800">
                <a:latin typeface="Arial" panose="020B0604020202020204" pitchFamily="34" charset="0"/>
                <a:cs typeface="Arial" panose="020B0604020202020204" pitchFamily="34" charset="0"/>
              </a:rPr>
              <a:t>Persentase</a:t>
            </a:r>
            <a:r>
              <a:rPr lang="id-ID" sz="1800" baseline="0">
                <a:latin typeface="Arial" panose="020B0604020202020204" pitchFamily="34" charset="0"/>
                <a:cs typeface="Arial" panose="020B0604020202020204" pitchFamily="34" charset="0"/>
              </a:rPr>
              <a:t> Defect</a:t>
            </a:r>
            <a:endParaRPr lang="id-ID" sz="1800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id-ID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BF8-4A29-8699-7ABC5CC0A33D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BF8-4A29-8699-7ABC5CC0A33D}"/>
              </c:ext>
            </c:extLst>
          </c:dPt>
          <c:cat>
            <c:strRef>
              <c:f>(Result_Audit!$A$2,Result_Audit!$C$2)</c:f>
              <c:strCache>
                <c:ptCount val="2"/>
                <c:pt idx="0">
                  <c:v>Valid Data</c:v>
                </c:pt>
                <c:pt idx="1">
                  <c:v>Defect Data</c:v>
                </c:pt>
              </c:strCache>
            </c:strRef>
          </c:cat>
          <c:val>
            <c:numRef>
              <c:f>(Result_Audit!$A$3,Result_Audit!$C$3)</c:f>
              <c:numCache>
                <c:formatCode>General</c:formatCode>
                <c:ptCount val="2"/>
                <c:pt idx="0">
                  <c:v>821</c:v>
                </c:pt>
                <c:pt idx="1">
                  <c:v>179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30-4BD0-A03A-C15F52A30B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id-ID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333376</xdr:colOff>
      <xdr:row>3</xdr:row>
      <xdr:rowOff>52386</xdr:rowOff>
    </xdr:from>
    <xdr:to>
      <xdr:col>5</xdr:col>
      <xdr:colOff>571500</xdr:colOff>
      <xdr:row>17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E3B7A8A-3DF3-7671-DBE8-423AD61AA6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457200</xdr:colOff>
      <xdr:row>3</xdr:row>
      <xdr:rowOff>33337</xdr:rowOff>
    </xdr:from>
    <xdr:to>
      <xdr:col>9</xdr:col>
      <xdr:colOff>457200</xdr:colOff>
      <xdr:row>13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E46E34C-12D3-C0BD-0040-CED547EA3B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C2AF63BE-87EB-47EA-B735-D90409C9126A}" autoFormatId="16" applyNumberFormats="0" applyBorderFormats="0" applyFontFormats="0" applyPatternFormats="0" applyAlignmentFormats="0" applyWidthHeightFormats="0">
  <queryTableRefresh nextId="9">
    <queryTableFields count="8">
      <queryTableField id="1" name="Employee_ID" tableColumnId="1"/>
      <queryTableField id="2" name="Employee_Name" tableColumnId="2"/>
      <queryTableField id="3" name="NIK_KTP" tableColumnId="3"/>
      <queryTableField id="4" name="Department" tableColumnId="4"/>
      <queryTableField id="5" name="Job_Title" tableColumnId="5"/>
      <queryTableField id="6" name="Base_Salary_IDR" tableColumnId="6"/>
      <queryTableField id="7" name="Overtime_Hours" tableColumnId="7"/>
      <queryTableField id="8" name="Join_Date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619377B8-5286-49B7-9A54-AE181F7956D6}" autoFormatId="16" applyNumberFormats="0" applyBorderFormats="0" applyFontFormats="0" applyPatternFormats="0" applyAlignmentFormats="0" applyWidthHeightFormats="0">
  <queryTableRefresh nextId="10">
    <queryTableFields count="9">
      <queryTableField id="1" name="Employee_ID" tableColumnId="1"/>
      <queryTableField id="2" name="Employee_Name" tableColumnId="2"/>
      <queryTableField id="3" name="NIK_KTP_Clean" tableColumnId="3"/>
      <queryTableField id="4" name="Department" tableColumnId="4"/>
      <queryTableField id="5" name="Job_Title" tableColumnId="5"/>
      <queryTableField id="6" name="Base_Salary_IDR" tableColumnId="6"/>
      <queryTableField id="7" name="Overtime_Hours_Clean" tableColumnId="7"/>
      <queryTableField id="8" name="Join_Date" tableColumnId="8"/>
      <queryTableField id="9" name="Status_Audit" tableColumnId="9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FB80F28-E755-4CC9-9159-7BEB00167DBB}" autoFormatId="16" applyNumberFormats="0" applyBorderFormats="0" applyFontFormats="0" applyPatternFormats="0" applyAlignmentFormats="0" applyWidthHeightFormats="0">
  <queryTableRefresh nextId="16">
    <queryTableFields count="14">
      <queryTableField id="1" name="Employee_ID" tableColumnId="1"/>
      <queryTableField id="2" name="Count_ID" tableColumnId="2"/>
      <queryTableField id="3" name="Employee_Name" tableColumnId="3"/>
      <queryTableField id="4" name="NIK_KTP" tableColumnId="4"/>
      <queryTableField id="12" name="NIK_KTP_Clean" tableColumnId="12"/>
      <queryTableField id="5" name="Count_NIK" tableColumnId="5"/>
      <queryTableField id="6" name="Department" tableColumnId="6"/>
      <queryTableField id="7" name="Job_Title" tableColumnId="7"/>
      <queryTableField id="8" name="Base_Salary_IDR" tableColumnId="8"/>
      <queryTableField id="9" name="Overtime_Hours" tableColumnId="9"/>
      <queryTableField id="10" name="Overtime_Hours_Clean" tableColumnId="10"/>
      <queryTableField id="11" name="Join_Date" tableColumnId="11"/>
      <queryTableField id="13" name="Status_Audit" tableColumnId="13"/>
      <queryTableField id="14" name="Info_Audit" tableColumnId="14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2020746-B74B-4058-8E92-B0A51BAB735F}" name="Table3" displayName="Table3" ref="A6:C10" headerRowCount="0" totalsRowShown="0" headerRowDxfId="28" dataDxfId="27">
  <tableColumns count="3">
    <tableColumn id="1" xr3:uid="{896A8F68-A179-4066-B651-E26A3493895E}" name="Column1" headerRowDxfId="26" dataDxfId="25"/>
    <tableColumn id="2" xr3:uid="{84F360EE-6707-4EA5-840D-FA0BC7BD6D48}" name="Column2" headerRowDxfId="24" dataDxfId="23"/>
    <tableColumn id="3" xr3:uid="{42F90B85-886B-4E79-AFDF-E0B5C2D2191D}" name="Column3" headerRowDxfId="22" dataDxfId="21"/>
  </tableColumns>
  <tableStyleInfo name="TableStyleLight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9EA2E6F-AED0-41D8-95E2-F2CC8A3F806F}" name="HR_Payroll_Raw_Data" displayName="HR_Payroll_Raw_Data" ref="A1:H1001" tableType="queryTable" totalsRowShown="0">
  <autoFilter ref="A1:H1001" xr:uid="{89EA2E6F-AED0-41D8-95E2-F2CC8A3F806F}"/>
  <tableColumns count="8">
    <tableColumn id="1" xr3:uid="{632232DE-880D-42C4-88F1-DB4F366D79B0}" uniqueName="1" name="Employee_ID" queryTableFieldId="1" dataDxfId="20"/>
    <tableColumn id="2" xr3:uid="{453DA0A7-0D16-4322-9B74-15C51CC4EECD}" uniqueName="2" name="Employee_Name" queryTableFieldId="2" dataDxfId="19"/>
    <tableColumn id="3" xr3:uid="{20E3C65A-171B-463D-918F-3D781035DCA4}" uniqueName="3" name="NIK_KTP" queryTableFieldId="3" dataDxfId="18"/>
    <tableColumn id="4" xr3:uid="{09F84FA4-0A89-4992-9DBE-55B8439EE732}" uniqueName="4" name="Department" queryTableFieldId="4" dataDxfId="17"/>
    <tableColumn id="5" xr3:uid="{2D6C1CAF-76EF-4F62-9E32-894A7944D9A5}" uniqueName="5" name="Job_Title" queryTableFieldId="5" dataDxfId="16"/>
    <tableColumn id="6" xr3:uid="{B8304A88-FAEA-41F9-BA95-0FC8AF90D110}" uniqueName="6" name="Base_Salary_IDR" queryTableFieldId="6"/>
    <tableColumn id="7" xr3:uid="{889D82C4-05B4-473E-9F93-F663DF86943A}" uniqueName="7" name="Overtime_Hours" queryTableFieldId="7" dataDxfId="15"/>
    <tableColumn id="8" xr3:uid="{9616B58F-91FA-4C9C-B02F-AE17E2B9F0D7}" uniqueName="8" name="Join_Date" queryTableFieldId="8" dataDxfId="1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BFEFCFF-772C-432A-986F-1E4771ECE142}" name="HR_Payroll_ReadyUse" displayName="HR_Payroll_ReadyUse" ref="A1:I822" tableType="queryTable" totalsRowShown="0">
  <autoFilter ref="A1:I822" xr:uid="{6BFEFCFF-772C-432A-986F-1E4771ECE142}"/>
  <tableColumns count="9">
    <tableColumn id="1" xr3:uid="{9B751E93-EDDC-4A58-9E5A-F7583B7093F9}" uniqueName="1" name="Employee_ID" queryTableFieldId="1" dataDxfId="13"/>
    <tableColumn id="2" xr3:uid="{906660B2-8263-4B1B-969F-567077AB543E}" uniqueName="2" name="Employee_Name" queryTableFieldId="2" dataDxfId="12"/>
    <tableColumn id="3" xr3:uid="{E41D0748-61EB-4100-966F-8415E87E272E}" uniqueName="3" name="NIK_KTP_Clean" queryTableFieldId="3" dataDxfId="11"/>
    <tableColumn id="4" xr3:uid="{56B2B8E0-A180-4EE5-A220-B4A01539A9C9}" uniqueName="4" name="Department" queryTableFieldId="4" dataDxfId="10"/>
    <tableColumn id="5" xr3:uid="{603480BF-6AC7-48D0-9E58-83FF0C71E8D1}" uniqueName="5" name="Job_Title" queryTableFieldId="5" dataDxfId="9"/>
    <tableColumn id="6" xr3:uid="{ABEB1357-3BBC-4DEF-8F9F-FC6A58362C96}" uniqueName="6" name="Base_Salary_IDR" queryTableFieldId="6"/>
    <tableColumn id="7" xr3:uid="{DA282C81-BFE1-455D-B8DC-B66D0A8D2A4E}" uniqueName="7" name="Overtime_Hours_Clean" queryTableFieldId="7"/>
    <tableColumn id="8" xr3:uid="{625555EC-607C-4D93-902C-3013193AF232}" uniqueName="8" name="Join_Date" queryTableFieldId="8" dataDxfId="0"/>
    <tableColumn id="9" xr3:uid="{E5BA6812-13FC-4502-A4D5-F2EC9B100816}" uniqueName="9" name="Status_Audit" queryTableFieldId="9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FB3683-8445-436B-BEF1-DBAF639405D6}" name="HR_Payroll_Defect" displayName="HR_Payroll_Defect" ref="A1:N180" tableType="queryTable" totalsRowShown="0">
  <autoFilter ref="A1:N180" xr:uid="{13FB3683-8445-436B-BEF1-DBAF639405D6}"/>
  <tableColumns count="14">
    <tableColumn id="1" xr3:uid="{CBCA0676-B5C8-403E-9691-5D8D0235D19E}" uniqueName="1" name="Employee_ID" queryTableFieldId="1" dataDxfId="8"/>
    <tableColumn id="2" xr3:uid="{63E076C7-2CB8-4C05-9083-AD09FB07F50E}" uniqueName="2" name="Count_ID" queryTableFieldId="2"/>
    <tableColumn id="3" xr3:uid="{E14438EA-C8E8-4EF8-BF18-98AF6E6EEF86}" uniqueName="3" name="Employee_Name" queryTableFieldId="3" dataDxfId="7"/>
    <tableColumn id="4" xr3:uid="{2C5AFCBC-C70F-4ED4-B2A4-639D8B497BAB}" uniqueName="4" name="NIK_KTP" queryTableFieldId="4" dataDxfId="6"/>
    <tableColumn id="12" xr3:uid="{A6DCD957-1B18-4BDE-A620-051F07208D98}" uniqueName="12" name="NIK_KTP_Clean" queryTableFieldId="12" dataDxfId="5"/>
    <tableColumn id="5" xr3:uid="{C4E1ADF5-8B14-4DD6-AFBE-DBCA0624EBB6}" uniqueName="5" name="Count_NIK" queryTableFieldId="5"/>
    <tableColumn id="6" xr3:uid="{E2803DFA-E860-403A-8977-E599C0B13999}" uniqueName="6" name="Department" queryTableFieldId="6" dataDxfId="4"/>
    <tableColumn id="7" xr3:uid="{FA8BB277-8387-4DA6-B485-A630B065DA0E}" uniqueName="7" name="Job_Title" queryTableFieldId="7" dataDxfId="3"/>
    <tableColumn id="8" xr3:uid="{A9230518-0D99-4969-BEB5-DC9902CD012E}" uniqueName="8" name="Base_Salary_IDR" queryTableFieldId="8"/>
    <tableColumn id="9" xr3:uid="{0C21CE5C-D643-4436-BA0F-5C926155BD0A}" uniqueName="9" name="Overtime_Hours" queryTableFieldId="9" dataDxfId="2"/>
    <tableColumn id="10" xr3:uid="{9E70FBB8-02C9-4433-994D-B62704AB2A5B}" uniqueName="10" name="Overtime_Hours_Clean" queryTableFieldId="10"/>
    <tableColumn id="11" xr3:uid="{9F9046E3-A6D4-4088-8AC8-09548D6AC3D7}" uniqueName="11" name="Join_Date" queryTableFieldId="11" dataDxfId="1"/>
    <tableColumn id="13" xr3:uid="{2F7B70B1-3A60-42D1-BDE1-3571EA13248A}" uniqueName="13" name="Status_Audit" queryTableFieldId="13"/>
    <tableColumn id="14" xr3:uid="{6E752577-965A-420A-A32F-CA2CD9F1F3E5}" uniqueName="14" name="Info_Audit" queryTableFieldId="1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E360A-98F8-4251-AC22-156CD7BB6383}">
  <dimension ref="A2:E10"/>
  <sheetViews>
    <sheetView tabSelected="1" workbookViewId="0">
      <selection activeCell="L9" sqref="L9"/>
    </sheetView>
  </sheetViews>
  <sheetFormatPr defaultRowHeight="14.25" x14ac:dyDescent="0.25"/>
  <cols>
    <col min="1" max="1" width="25.7109375" style="2" customWidth="1"/>
    <col min="2" max="2" width="13" style="2" customWidth="1"/>
    <col min="3" max="3" width="25.7109375" style="2" customWidth="1"/>
    <col min="4" max="4" width="9.140625" style="2"/>
    <col min="5" max="5" width="25.7109375" style="2" customWidth="1"/>
    <col min="6" max="16384" width="9.140625" style="2"/>
  </cols>
  <sheetData>
    <row r="2" spans="1:5" ht="36" customHeight="1" x14ac:dyDescent="0.25">
      <c r="A2" s="8" t="s">
        <v>2105</v>
      </c>
      <c r="C2" s="9" t="s">
        <v>2106</v>
      </c>
      <c r="E2" s="8" t="s">
        <v>2107</v>
      </c>
    </row>
    <row r="3" spans="1:5" ht="36" customHeight="1" x14ac:dyDescent="0.25">
      <c r="A3" s="6">
        <f>COUNTIF(HR_Payroll_ReadyUse[Status_Audit],"Valid")</f>
        <v>821</v>
      </c>
      <c r="C3" s="7">
        <f>COUNTIF(HR_Payroll_Defect[Status_Audit],"Defect")</f>
        <v>179</v>
      </c>
      <c r="E3" s="6">
        <f>SUM(A3:C3)</f>
        <v>1000</v>
      </c>
    </row>
    <row r="4" spans="1:5" x14ac:dyDescent="0.25">
      <c r="A4" s="5"/>
      <c r="B4" s="5"/>
      <c r="C4" s="5"/>
    </row>
    <row r="5" spans="1:5" ht="15" x14ac:dyDescent="0.25">
      <c r="A5" s="12" t="s">
        <v>2108</v>
      </c>
      <c r="B5" s="12"/>
      <c r="C5" s="12"/>
    </row>
    <row r="6" spans="1:5" ht="35.25" customHeight="1" x14ac:dyDescent="0.25">
      <c r="A6" s="10" t="s">
        <v>2116</v>
      </c>
      <c r="B6" s="4" t="s">
        <v>2111</v>
      </c>
      <c r="C6" s="4">
        <f>COUNTIF(HR_Payroll_Defect[Employee_ID],"")+(COUNTIF(HR_Payroll_Defect[Count_ID],"&gt;1")-COUNTIF(HR_Payroll_Defect[Employee_ID],""))</f>
        <v>32</v>
      </c>
    </row>
    <row r="7" spans="1:5" ht="35.25" customHeight="1" x14ac:dyDescent="0.25">
      <c r="A7" s="11" t="s">
        <v>2117</v>
      </c>
      <c r="B7" s="3" t="s">
        <v>2111</v>
      </c>
      <c r="C7" s="3">
        <f>SUMPRODUCT(--(LEN(HR_Payroll_Defect[NIK_KTP_Clean])&lt;&gt;16))</f>
        <v>103</v>
      </c>
    </row>
    <row r="8" spans="1:5" ht="35.25" customHeight="1" x14ac:dyDescent="0.25">
      <c r="A8" s="10" t="s">
        <v>2109</v>
      </c>
      <c r="B8" s="4" t="s">
        <v>2111</v>
      </c>
      <c r="C8" s="4">
        <f>COUNTIF(HR_Payroll_Defect[Base_Salary_IDR],"")</f>
        <v>0</v>
      </c>
    </row>
    <row r="9" spans="1:5" ht="35.25" customHeight="1" x14ac:dyDescent="0.25">
      <c r="A9" s="11" t="s">
        <v>2115</v>
      </c>
      <c r="B9" s="3" t="s">
        <v>2111</v>
      </c>
      <c r="C9" s="3">
        <f>COUNTIF(HR_Payroll_Defect[Overtime_Hours_Clean],"")+(COUNTIF(HR_Payroll_Defect[Overtime_Hours],"&lt;0"))</f>
        <v>53</v>
      </c>
    </row>
    <row r="10" spans="1:5" ht="35.25" customHeight="1" x14ac:dyDescent="0.25">
      <c r="A10" s="10" t="s">
        <v>2110</v>
      </c>
      <c r="B10" s="4" t="s">
        <v>2111</v>
      </c>
      <c r="C10" s="4">
        <f>COUNTIF(HR_Payroll_Defect[Join_Date],"")</f>
        <v>0</v>
      </c>
    </row>
  </sheetData>
  <mergeCells count="1">
    <mergeCell ref="A5:C5"/>
  </mergeCell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C3805-9EC6-4C47-9777-A07661F49FBE}">
  <dimension ref="A1:H1001"/>
  <sheetViews>
    <sheetView workbookViewId="0"/>
  </sheetViews>
  <sheetFormatPr defaultRowHeight="15" x14ac:dyDescent="0.25"/>
  <cols>
    <col min="1" max="1" width="15" bestFit="1" customWidth="1"/>
    <col min="2" max="2" width="18.5703125" bestFit="1" customWidth="1"/>
    <col min="3" max="3" width="17.28515625" bestFit="1" customWidth="1"/>
    <col min="4" max="4" width="23.85546875" bestFit="1" customWidth="1"/>
    <col min="5" max="5" width="11.28515625" bestFit="1" customWidth="1"/>
    <col min="6" max="6" width="17.85546875" bestFit="1" customWidth="1"/>
    <col min="7" max="7" width="18" bestFit="1" customWidth="1"/>
    <col min="8" max="8" width="12" bestFit="1" customWidth="1"/>
  </cols>
  <sheetData>
    <row r="1" spans="1:8" x14ac:dyDescent="0.25">
      <c r="A1" t="s">
        <v>0</v>
      </c>
      <c r="B1" t="s">
        <v>2</v>
      </c>
      <c r="C1" t="s">
        <v>3</v>
      </c>
      <c r="D1" t="s">
        <v>5</v>
      </c>
      <c r="E1" t="s">
        <v>6</v>
      </c>
      <c r="F1" t="s">
        <v>7</v>
      </c>
      <c r="G1" t="s">
        <v>8</v>
      </c>
      <c r="H1" t="s">
        <v>10</v>
      </c>
    </row>
    <row r="2" spans="1:8" x14ac:dyDescent="0.25">
      <c r="A2" t="s">
        <v>11</v>
      </c>
      <c r="B2" t="s">
        <v>2118</v>
      </c>
      <c r="C2" t="s">
        <v>13</v>
      </c>
      <c r="D2" t="s">
        <v>2119</v>
      </c>
      <c r="E2" t="s">
        <v>2120</v>
      </c>
      <c r="F2">
        <v>6500000</v>
      </c>
      <c r="G2" t="s">
        <v>2121</v>
      </c>
      <c r="H2" s="1">
        <v>44128</v>
      </c>
    </row>
    <row r="3" spans="1:8" x14ac:dyDescent="0.25">
      <c r="A3" t="s">
        <v>20</v>
      </c>
      <c r="B3" t="s">
        <v>2122</v>
      </c>
      <c r="C3" t="s">
        <v>22</v>
      </c>
      <c r="D3" t="s">
        <v>2123</v>
      </c>
      <c r="E3" t="s">
        <v>2124</v>
      </c>
      <c r="F3">
        <v>5500000</v>
      </c>
      <c r="G3" t="s">
        <v>2125</v>
      </c>
      <c r="H3" s="1">
        <v>43887</v>
      </c>
    </row>
    <row r="4" spans="1:8" x14ac:dyDescent="0.25">
      <c r="A4" t="s">
        <v>25</v>
      </c>
      <c r="B4" t="s">
        <v>2126</v>
      </c>
      <c r="C4" t="s">
        <v>27</v>
      </c>
      <c r="D4" t="s">
        <v>2119</v>
      </c>
      <c r="E4" t="s">
        <v>2124</v>
      </c>
      <c r="F4">
        <v>5500000</v>
      </c>
      <c r="G4" t="s">
        <v>2127</v>
      </c>
      <c r="H4" s="1">
        <v>44269</v>
      </c>
    </row>
    <row r="5" spans="1:8" x14ac:dyDescent="0.25">
      <c r="A5" t="s">
        <v>30</v>
      </c>
      <c r="B5" t="s">
        <v>2128</v>
      </c>
      <c r="C5" t="s">
        <v>32</v>
      </c>
      <c r="D5" t="s">
        <v>2129</v>
      </c>
      <c r="E5" t="s">
        <v>2130</v>
      </c>
      <c r="F5">
        <v>8000000</v>
      </c>
      <c r="G5" t="s">
        <v>2131</v>
      </c>
      <c r="H5" s="1">
        <v>44100</v>
      </c>
    </row>
    <row r="6" spans="1:8" x14ac:dyDescent="0.25">
      <c r="A6" t="s">
        <v>39</v>
      </c>
      <c r="B6" t="s">
        <v>2132</v>
      </c>
      <c r="C6" t="s">
        <v>41</v>
      </c>
      <c r="D6" t="s">
        <v>2133</v>
      </c>
      <c r="E6" t="s">
        <v>2134</v>
      </c>
      <c r="F6">
        <v>5500000</v>
      </c>
      <c r="G6" t="s">
        <v>2135</v>
      </c>
      <c r="H6" s="1">
        <v>45905</v>
      </c>
    </row>
    <row r="7" spans="1:8" x14ac:dyDescent="0.25">
      <c r="A7" t="s">
        <v>45</v>
      </c>
      <c r="B7" t="s">
        <v>2136</v>
      </c>
      <c r="C7" t="s">
        <v>47</v>
      </c>
      <c r="D7" t="s">
        <v>2137</v>
      </c>
      <c r="E7" t="s">
        <v>2120</v>
      </c>
      <c r="F7">
        <v>10500000</v>
      </c>
      <c r="G7" t="s">
        <v>2138</v>
      </c>
      <c r="H7" s="1">
        <v>44612</v>
      </c>
    </row>
    <row r="8" spans="1:8" x14ac:dyDescent="0.25">
      <c r="A8" t="s">
        <v>48</v>
      </c>
      <c r="B8" t="s">
        <v>2139</v>
      </c>
      <c r="C8" t="s">
        <v>50</v>
      </c>
      <c r="D8" t="s">
        <v>2137</v>
      </c>
      <c r="E8" t="s">
        <v>2134</v>
      </c>
      <c r="F8">
        <v>10500000</v>
      </c>
      <c r="G8" t="s">
        <v>2140</v>
      </c>
      <c r="H8" s="1">
        <v>45115</v>
      </c>
    </row>
    <row r="9" spans="1:8" x14ac:dyDescent="0.25">
      <c r="A9" t="s">
        <v>53</v>
      </c>
      <c r="B9" t="s">
        <v>2141</v>
      </c>
      <c r="C9" t="s">
        <v>55</v>
      </c>
      <c r="D9" t="s">
        <v>2119</v>
      </c>
      <c r="E9" t="s">
        <v>2124</v>
      </c>
      <c r="F9">
        <v>13000000</v>
      </c>
      <c r="G9" t="s">
        <v>2142</v>
      </c>
      <c r="H9" s="1">
        <v>44874</v>
      </c>
    </row>
    <row r="10" spans="1:8" x14ac:dyDescent="0.25">
      <c r="A10" t="s">
        <v>56</v>
      </c>
      <c r="B10" t="s">
        <v>2143</v>
      </c>
      <c r="C10" t="s">
        <v>58</v>
      </c>
      <c r="D10" t="s">
        <v>2144</v>
      </c>
      <c r="E10" t="s">
        <v>2124</v>
      </c>
      <c r="F10">
        <v>10500000</v>
      </c>
      <c r="G10" t="s">
        <v>2145</v>
      </c>
      <c r="H10" s="1">
        <v>45000</v>
      </c>
    </row>
    <row r="11" spans="1:8" x14ac:dyDescent="0.25">
      <c r="A11" t="s">
        <v>59</v>
      </c>
      <c r="B11" t="s">
        <v>2146</v>
      </c>
      <c r="C11" t="s">
        <v>61</v>
      </c>
      <c r="D11" t="s">
        <v>2133</v>
      </c>
      <c r="E11" t="s">
        <v>2130</v>
      </c>
      <c r="F11">
        <v>6500000</v>
      </c>
      <c r="G11" t="s">
        <v>2147</v>
      </c>
      <c r="H11" s="1">
        <v>45203</v>
      </c>
    </row>
    <row r="12" spans="1:8" x14ac:dyDescent="0.25">
      <c r="A12" t="s">
        <v>62</v>
      </c>
      <c r="B12" t="s">
        <v>2148</v>
      </c>
      <c r="C12" t="s">
        <v>64</v>
      </c>
      <c r="D12" t="s">
        <v>2133</v>
      </c>
      <c r="E12" t="s">
        <v>2149</v>
      </c>
      <c r="F12">
        <v>10500000</v>
      </c>
      <c r="G12" t="s">
        <v>2125</v>
      </c>
      <c r="H12" s="1">
        <v>43881</v>
      </c>
    </row>
    <row r="13" spans="1:8" x14ac:dyDescent="0.25">
      <c r="A13" t="s">
        <v>65</v>
      </c>
      <c r="B13" t="s">
        <v>2150</v>
      </c>
      <c r="C13" t="s">
        <v>67</v>
      </c>
      <c r="D13" t="s">
        <v>2123</v>
      </c>
      <c r="E13" t="s">
        <v>2149</v>
      </c>
      <c r="F13">
        <v>8000000</v>
      </c>
      <c r="G13" t="s">
        <v>2151</v>
      </c>
      <c r="H13" s="1">
        <v>45095</v>
      </c>
    </row>
    <row r="14" spans="1:8" x14ac:dyDescent="0.25">
      <c r="A14" t="s">
        <v>70</v>
      </c>
      <c r="B14" t="s">
        <v>2152</v>
      </c>
      <c r="C14" t="s">
        <v>72</v>
      </c>
      <c r="D14" t="s">
        <v>2119</v>
      </c>
      <c r="E14" t="s">
        <v>2149</v>
      </c>
      <c r="F14">
        <v>6500000</v>
      </c>
      <c r="G14" t="s">
        <v>2153</v>
      </c>
      <c r="H14" s="1">
        <v>45924</v>
      </c>
    </row>
    <row r="15" spans="1:8" x14ac:dyDescent="0.25">
      <c r="A15" t="s">
        <v>73</v>
      </c>
      <c r="B15" t="s">
        <v>2146</v>
      </c>
      <c r="C15" t="s">
        <v>74</v>
      </c>
      <c r="D15" t="s">
        <v>2137</v>
      </c>
      <c r="E15" t="s">
        <v>2149</v>
      </c>
      <c r="F15">
        <v>6500000</v>
      </c>
      <c r="G15" t="s">
        <v>2154</v>
      </c>
      <c r="H15" s="1">
        <v>45850</v>
      </c>
    </row>
    <row r="16" spans="1:8" x14ac:dyDescent="0.25">
      <c r="A16" t="s">
        <v>77</v>
      </c>
      <c r="B16" t="s">
        <v>2155</v>
      </c>
      <c r="C16" t="s">
        <v>79</v>
      </c>
      <c r="D16" t="s">
        <v>2129</v>
      </c>
      <c r="E16" t="s">
        <v>2120</v>
      </c>
      <c r="F16">
        <v>13000000</v>
      </c>
      <c r="G16" t="s">
        <v>2121</v>
      </c>
      <c r="H16" s="1">
        <v>45894</v>
      </c>
    </row>
    <row r="17" spans="1:8" x14ac:dyDescent="0.25">
      <c r="A17" t="s">
        <v>80</v>
      </c>
      <c r="B17" t="s">
        <v>2156</v>
      </c>
      <c r="C17" t="s">
        <v>82</v>
      </c>
      <c r="D17" t="s">
        <v>2137</v>
      </c>
      <c r="E17" t="s">
        <v>2149</v>
      </c>
      <c r="F17">
        <v>10500000</v>
      </c>
      <c r="G17" t="s">
        <v>2157</v>
      </c>
      <c r="H17" s="1">
        <v>45700</v>
      </c>
    </row>
    <row r="18" spans="1:8" x14ac:dyDescent="0.25">
      <c r="A18" t="s">
        <v>83</v>
      </c>
      <c r="B18" t="s">
        <v>2158</v>
      </c>
      <c r="C18" t="s">
        <v>85</v>
      </c>
      <c r="D18" t="s">
        <v>2119</v>
      </c>
      <c r="E18" t="s">
        <v>2120</v>
      </c>
      <c r="F18">
        <v>13000000</v>
      </c>
      <c r="G18" t="s">
        <v>2159</v>
      </c>
      <c r="H18" s="1">
        <v>44141</v>
      </c>
    </row>
    <row r="19" spans="1:8" x14ac:dyDescent="0.25">
      <c r="A19" t="s">
        <v>88</v>
      </c>
      <c r="B19" t="s">
        <v>2160</v>
      </c>
      <c r="C19" t="s">
        <v>90</v>
      </c>
      <c r="D19" t="s">
        <v>2144</v>
      </c>
      <c r="E19" t="s">
        <v>2120</v>
      </c>
      <c r="F19">
        <v>10500000</v>
      </c>
      <c r="G19" t="s">
        <v>2138</v>
      </c>
      <c r="H19" s="1">
        <v>45368</v>
      </c>
    </row>
    <row r="20" spans="1:8" x14ac:dyDescent="0.25">
      <c r="A20" t="s">
        <v>91</v>
      </c>
      <c r="B20" t="s">
        <v>2161</v>
      </c>
      <c r="C20" t="s">
        <v>93</v>
      </c>
      <c r="D20" t="s">
        <v>2119</v>
      </c>
      <c r="E20" t="s">
        <v>2124</v>
      </c>
      <c r="F20">
        <v>6500000</v>
      </c>
      <c r="G20" t="s">
        <v>2131</v>
      </c>
      <c r="H20" s="1">
        <v>45954</v>
      </c>
    </row>
    <row r="21" spans="1:8" x14ac:dyDescent="0.25">
      <c r="A21" t="s">
        <v>96</v>
      </c>
      <c r="B21" t="s">
        <v>2162</v>
      </c>
      <c r="C21" t="s">
        <v>97</v>
      </c>
      <c r="D21" t="s">
        <v>2129</v>
      </c>
      <c r="E21" t="s">
        <v>2130</v>
      </c>
      <c r="F21">
        <v>6500000</v>
      </c>
      <c r="G21" t="s">
        <v>2163</v>
      </c>
      <c r="H21" s="1">
        <v>45873</v>
      </c>
    </row>
    <row r="22" spans="1:8" x14ac:dyDescent="0.25">
      <c r="A22" t="s">
        <v>98</v>
      </c>
      <c r="B22" t="s">
        <v>2164</v>
      </c>
      <c r="C22" t="s">
        <v>100</v>
      </c>
      <c r="D22" t="s">
        <v>2137</v>
      </c>
      <c r="E22" t="s">
        <v>2120</v>
      </c>
      <c r="F22">
        <v>6500000</v>
      </c>
      <c r="G22" t="s">
        <v>2165</v>
      </c>
      <c r="H22" s="1">
        <v>45391</v>
      </c>
    </row>
    <row r="23" spans="1:8" x14ac:dyDescent="0.25">
      <c r="A23" t="s">
        <v>101</v>
      </c>
      <c r="B23" t="s">
        <v>2166</v>
      </c>
      <c r="C23" t="s">
        <v>103</v>
      </c>
      <c r="D23" t="s">
        <v>2119</v>
      </c>
      <c r="E23" t="s">
        <v>2149</v>
      </c>
      <c r="F23">
        <v>6500000</v>
      </c>
      <c r="G23" t="s">
        <v>2125</v>
      </c>
      <c r="H23" s="1">
        <v>45027</v>
      </c>
    </row>
    <row r="24" spans="1:8" x14ac:dyDescent="0.25">
      <c r="A24" t="s">
        <v>106</v>
      </c>
      <c r="B24" t="s">
        <v>2164</v>
      </c>
      <c r="C24" t="s">
        <v>107</v>
      </c>
      <c r="D24" t="s">
        <v>2133</v>
      </c>
      <c r="E24" t="s">
        <v>2130</v>
      </c>
      <c r="F24">
        <v>10500000</v>
      </c>
      <c r="G24" t="s">
        <v>2131</v>
      </c>
      <c r="H24" s="1">
        <v>45725</v>
      </c>
    </row>
    <row r="25" spans="1:8" x14ac:dyDescent="0.25">
      <c r="A25" t="s">
        <v>112</v>
      </c>
      <c r="B25" t="s">
        <v>2167</v>
      </c>
      <c r="C25" t="s">
        <v>114</v>
      </c>
      <c r="D25" t="s">
        <v>2144</v>
      </c>
      <c r="E25" t="s">
        <v>2124</v>
      </c>
      <c r="F25">
        <v>13000000</v>
      </c>
      <c r="G25" t="s">
        <v>2168</v>
      </c>
      <c r="H25" s="1">
        <v>44185</v>
      </c>
    </row>
    <row r="26" spans="1:8" x14ac:dyDescent="0.25">
      <c r="A26" t="s">
        <v>117</v>
      </c>
      <c r="B26" t="s">
        <v>2169</v>
      </c>
      <c r="C26" t="s">
        <v>119</v>
      </c>
      <c r="D26" t="s">
        <v>33</v>
      </c>
      <c r="E26" t="s">
        <v>2134</v>
      </c>
      <c r="F26">
        <v>6500000</v>
      </c>
      <c r="G26" t="s">
        <v>2170</v>
      </c>
      <c r="H26" s="1">
        <v>44242</v>
      </c>
    </row>
    <row r="27" spans="1:8" x14ac:dyDescent="0.25">
      <c r="A27" t="s">
        <v>120</v>
      </c>
      <c r="B27" t="s">
        <v>2171</v>
      </c>
      <c r="C27" t="s">
        <v>122</v>
      </c>
      <c r="D27" t="s">
        <v>2123</v>
      </c>
      <c r="E27" t="s">
        <v>2120</v>
      </c>
      <c r="F27">
        <v>10500000</v>
      </c>
      <c r="G27" t="s">
        <v>2159</v>
      </c>
      <c r="H27" s="1">
        <v>43990</v>
      </c>
    </row>
    <row r="28" spans="1:8" x14ac:dyDescent="0.25">
      <c r="A28" t="s">
        <v>125</v>
      </c>
      <c r="B28" t="s">
        <v>2166</v>
      </c>
      <c r="C28" t="s">
        <v>126</v>
      </c>
      <c r="D28" t="s">
        <v>2144</v>
      </c>
      <c r="E28" t="s">
        <v>2149</v>
      </c>
      <c r="F28">
        <v>6500000</v>
      </c>
      <c r="G28" t="s">
        <v>2127</v>
      </c>
      <c r="H28" s="1">
        <v>45613</v>
      </c>
    </row>
    <row r="29" spans="1:8" x14ac:dyDescent="0.25">
      <c r="A29" t="s">
        <v>131</v>
      </c>
      <c r="B29" t="s">
        <v>2164</v>
      </c>
      <c r="C29" t="s">
        <v>132</v>
      </c>
      <c r="D29" t="s">
        <v>2123</v>
      </c>
      <c r="E29" t="s">
        <v>2124</v>
      </c>
      <c r="F29">
        <v>5500000</v>
      </c>
      <c r="G29" t="s">
        <v>2172</v>
      </c>
      <c r="H29" s="1">
        <v>43867</v>
      </c>
    </row>
    <row r="30" spans="1:8" x14ac:dyDescent="0.25">
      <c r="A30" t="s">
        <v>137</v>
      </c>
      <c r="B30" t="s">
        <v>2173</v>
      </c>
      <c r="C30" t="s">
        <v>138</v>
      </c>
      <c r="D30" t="s">
        <v>2133</v>
      </c>
      <c r="E30" t="s">
        <v>2130</v>
      </c>
      <c r="F30">
        <v>8000000</v>
      </c>
      <c r="G30" t="s">
        <v>2140</v>
      </c>
      <c r="H30" s="1">
        <v>44375</v>
      </c>
    </row>
    <row r="31" spans="1:8" x14ac:dyDescent="0.25">
      <c r="A31" t="s">
        <v>139</v>
      </c>
      <c r="B31" t="s">
        <v>2174</v>
      </c>
      <c r="C31" t="s">
        <v>140</v>
      </c>
      <c r="D31" t="s">
        <v>2137</v>
      </c>
      <c r="E31" t="s">
        <v>2120</v>
      </c>
      <c r="F31">
        <v>13000000</v>
      </c>
      <c r="G31" t="s">
        <v>2175</v>
      </c>
      <c r="H31" s="1">
        <v>45068</v>
      </c>
    </row>
    <row r="32" spans="1:8" x14ac:dyDescent="0.25">
      <c r="A32" t="s">
        <v>141</v>
      </c>
      <c r="B32" t="s">
        <v>2176</v>
      </c>
      <c r="C32" t="s">
        <v>143</v>
      </c>
      <c r="D32" t="s">
        <v>2133</v>
      </c>
      <c r="E32" t="s">
        <v>2134</v>
      </c>
      <c r="F32">
        <v>10500000</v>
      </c>
      <c r="G32" t="s">
        <v>2177</v>
      </c>
      <c r="H32" s="1">
        <v>44430</v>
      </c>
    </row>
    <row r="33" spans="1:8" x14ac:dyDescent="0.25">
      <c r="A33" t="s">
        <v>144</v>
      </c>
      <c r="B33" t="s">
        <v>2178</v>
      </c>
      <c r="C33" t="s">
        <v>146</v>
      </c>
      <c r="D33" t="s">
        <v>2137</v>
      </c>
      <c r="E33" t="s">
        <v>2149</v>
      </c>
      <c r="F33">
        <v>5500000</v>
      </c>
      <c r="G33" t="s">
        <v>2177</v>
      </c>
      <c r="H33" s="1">
        <v>45797</v>
      </c>
    </row>
    <row r="34" spans="1:8" x14ac:dyDescent="0.25">
      <c r="A34" t="s">
        <v>147</v>
      </c>
      <c r="B34" t="s">
        <v>2179</v>
      </c>
      <c r="C34" t="s">
        <v>149</v>
      </c>
      <c r="D34" t="s">
        <v>2144</v>
      </c>
      <c r="E34" t="s">
        <v>2149</v>
      </c>
      <c r="F34">
        <v>8000000</v>
      </c>
      <c r="G34" t="s">
        <v>2145</v>
      </c>
      <c r="H34" s="1">
        <v>44390</v>
      </c>
    </row>
    <row r="35" spans="1:8" x14ac:dyDescent="0.25">
      <c r="A35" t="s">
        <v>150</v>
      </c>
      <c r="B35" t="s">
        <v>2160</v>
      </c>
      <c r="C35" t="s">
        <v>151</v>
      </c>
      <c r="D35" t="s">
        <v>2144</v>
      </c>
      <c r="E35" t="s">
        <v>2134</v>
      </c>
      <c r="F35">
        <v>8000000</v>
      </c>
      <c r="G35" t="s">
        <v>2180</v>
      </c>
      <c r="H35" s="1">
        <v>45762</v>
      </c>
    </row>
    <row r="36" spans="1:8" x14ac:dyDescent="0.25">
      <c r="A36" t="s">
        <v>152</v>
      </c>
      <c r="B36" t="s">
        <v>2181</v>
      </c>
      <c r="C36" t="s">
        <v>154</v>
      </c>
      <c r="D36" t="s">
        <v>2144</v>
      </c>
      <c r="E36" t="s">
        <v>2149</v>
      </c>
      <c r="F36">
        <v>6500000</v>
      </c>
      <c r="G36" t="s">
        <v>2182</v>
      </c>
      <c r="H36" s="1">
        <v>44296</v>
      </c>
    </row>
    <row r="37" spans="1:8" x14ac:dyDescent="0.25">
      <c r="A37" t="s">
        <v>155</v>
      </c>
      <c r="B37" t="s">
        <v>2181</v>
      </c>
      <c r="C37" t="s">
        <v>156</v>
      </c>
      <c r="D37" t="s">
        <v>23</v>
      </c>
      <c r="E37" t="s">
        <v>2120</v>
      </c>
      <c r="F37">
        <v>8000000</v>
      </c>
      <c r="G37" t="s">
        <v>2172</v>
      </c>
      <c r="H37" s="1">
        <v>44909</v>
      </c>
    </row>
    <row r="38" spans="1:8" x14ac:dyDescent="0.25">
      <c r="A38" t="s">
        <v>157</v>
      </c>
      <c r="B38" t="s">
        <v>2183</v>
      </c>
      <c r="C38" t="s">
        <v>159</v>
      </c>
      <c r="D38" t="s">
        <v>2119</v>
      </c>
      <c r="E38" t="s">
        <v>2120</v>
      </c>
      <c r="F38">
        <v>13000000</v>
      </c>
      <c r="G38" t="s">
        <v>2184</v>
      </c>
      <c r="H38" s="1">
        <v>44687</v>
      </c>
    </row>
    <row r="39" spans="1:8" x14ac:dyDescent="0.25">
      <c r="A39" t="s">
        <v>160</v>
      </c>
      <c r="B39" t="s">
        <v>2185</v>
      </c>
      <c r="C39" t="s">
        <v>162</v>
      </c>
      <c r="D39" t="s">
        <v>23</v>
      </c>
      <c r="E39" t="s">
        <v>2134</v>
      </c>
      <c r="F39">
        <v>10500000</v>
      </c>
      <c r="G39" t="s">
        <v>2145</v>
      </c>
      <c r="H39" s="1">
        <v>44005</v>
      </c>
    </row>
    <row r="40" spans="1:8" x14ac:dyDescent="0.25">
      <c r="A40" t="s">
        <v>163</v>
      </c>
      <c r="B40" t="s">
        <v>2161</v>
      </c>
      <c r="C40" t="s">
        <v>164</v>
      </c>
      <c r="D40" t="s">
        <v>2133</v>
      </c>
      <c r="E40" t="s">
        <v>2134</v>
      </c>
      <c r="F40">
        <v>13000000</v>
      </c>
      <c r="G40" t="s">
        <v>2131</v>
      </c>
      <c r="H40" s="1">
        <v>44482</v>
      </c>
    </row>
    <row r="41" spans="1:8" x14ac:dyDescent="0.25">
      <c r="A41" t="s">
        <v>165</v>
      </c>
      <c r="B41" t="s">
        <v>2186</v>
      </c>
      <c r="C41" t="s">
        <v>167</v>
      </c>
      <c r="D41" t="s">
        <v>2123</v>
      </c>
      <c r="E41" t="s">
        <v>2120</v>
      </c>
      <c r="F41">
        <v>10500000</v>
      </c>
      <c r="G41" t="s">
        <v>2131</v>
      </c>
      <c r="H41" s="1">
        <v>44662</v>
      </c>
    </row>
    <row r="42" spans="1:8" x14ac:dyDescent="0.25">
      <c r="A42" t="s">
        <v>168</v>
      </c>
      <c r="B42" t="s">
        <v>2187</v>
      </c>
      <c r="C42" t="s">
        <v>169</v>
      </c>
      <c r="D42" t="s">
        <v>2129</v>
      </c>
      <c r="E42" t="s">
        <v>2120</v>
      </c>
      <c r="F42">
        <v>8000000</v>
      </c>
      <c r="G42" t="s">
        <v>2188</v>
      </c>
      <c r="H42" s="1">
        <v>44769</v>
      </c>
    </row>
    <row r="43" spans="1:8" x14ac:dyDescent="0.25">
      <c r="A43" t="s">
        <v>170</v>
      </c>
      <c r="B43" t="s">
        <v>2189</v>
      </c>
      <c r="C43" t="s">
        <v>172</v>
      </c>
      <c r="D43" t="s">
        <v>14</v>
      </c>
      <c r="E43" t="s">
        <v>2149</v>
      </c>
      <c r="F43">
        <v>8000000</v>
      </c>
      <c r="G43" t="s">
        <v>2172</v>
      </c>
      <c r="H43" s="1">
        <v>45018</v>
      </c>
    </row>
    <row r="44" spans="1:8" x14ac:dyDescent="0.25">
      <c r="A44" t="s">
        <v>48</v>
      </c>
      <c r="B44" t="s">
        <v>2162</v>
      </c>
      <c r="C44" t="s">
        <v>52</v>
      </c>
      <c r="D44" t="s">
        <v>2119</v>
      </c>
      <c r="E44" t="s">
        <v>2134</v>
      </c>
      <c r="F44">
        <v>10500000</v>
      </c>
      <c r="G44" t="s">
        <v>2127</v>
      </c>
      <c r="H44" s="1">
        <v>44455</v>
      </c>
    </row>
    <row r="45" spans="1:8" x14ac:dyDescent="0.25">
      <c r="A45" t="s">
        <v>173</v>
      </c>
      <c r="B45" t="s">
        <v>2190</v>
      </c>
      <c r="C45" t="s">
        <v>175</v>
      </c>
      <c r="D45" t="s">
        <v>2137</v>
      </c>
      <c r="E45" t="s">
        <v>2124</v>
      </c>
      <c r="F45">
        <v>8000000</v>
      </c>
      <c r="G45" t="s">
        <v>2191</v>
      </c>
      <c r="H45" s="1">
        <v>45031</v>
      </c>
    </row>
    <row r="46" spans="1:8" x14ac:dyDescent="0.25">
      <c r="A46" t="s">
        <v>176</v>
      </c>
      <c r="B46" t="s">
        <v>2192</v>
      </c>
      <c r="C46" t="s">
        <v>178</v>
      </c>
      <c r="D46" t="s">
        <v>2119</v>
      </c>
      <c r="E46" t="s">
        <v>2149</v>
      </c>
      <c r="F46">
        <v>6500000</v>
      </c>
      <c r="G46" t="s">
        <v>2177</v>
      </c>
      <c r="H46" s="1">
        <v>44824</v>
      </c>
    </row>
    <row r="47" spans="1:8" x14ac:dyDescent="0.25">
      <c r="A47" t="s">
        <v>179</v>
      </c>
      <c r="B47" t="s">
        <v>2193</v>
      </c>
      <c r="C47" t="s">
        <v>181</v>
      </c>
      <c r="D47" t="s">
        <v>33</v>
      </c>
      <c r="E47" t="s">
        <v>2130</v>
      </c>
      <c r="F47">
        <v>13000000</v>
      </c>
      <c r="G47" t="s">
        <v>2140</v>
      </c>
      <c r="H47" s="1">
        <v>44155</v>
      </c>
    </row>
    <row r="48" spans="1:8" x14ac:dyDescent="0.25">
      <c r="A48" t="s">
        <v>182</v>
      </c>
      <c r="B48" t="s">
        <v>2194</v>
      </c>
      <c r="C48" t="s">
        <v>183</v>
      </c>
      <c r="D48" t="s">
        <v>2129</v>
      </c>
      <c r="E48" t="s">
        <v>2124</v>
      </c>
      <c r="F48">
        <v>10500000</v>
      </c>
      <c r="G48" t="s">
        <v>2168</v>
      </c>
      <c r="H48" s="1">
        <v>44793</v>
      </c>
    </row>
    <row r="49" spans="1:8" x14ac:dyDescent="0.25">
      <c r="A49" t="s">
        <v>184</v>
      </c>
      <c r="B49" t="s">
        <v>2195</v>
      </c>
      <c r="C49" t="s">
        <v>185</v>
      </c>
      <c r="D49" t="s">
        <v>2137</v>
      </c>
      <c r="E49" t="s">
        <v>2149</v>
      </c>
      <c r="F49">
        <v>5500000</v>
      </c>
      <c r="G49" t="s">
        <v>2196</v>
      </c>
      <c r="H49" s="1">
        <v>44178</v>
      </c>
    </row>
    <row r="50" spans="1:8" x14ac:dyDescent="0.25">
      <c r="A50" t="s">
        <v>186</v>
      </c>
      <c r="B50" t="s">
        <v>2197</v>
      </c>
      <c r="C50" t="s">
        <v>188</v>
      </c>
      <c r="D50" t="s">
        <v>2133</v>
      </c>
      <c r="E50" t="s">
        <v>2130</v>
      </c>
      <c r="F50">
        <v>13000000</v>
      </c>
      <c r="G50" t="s">
        <v>2198</v>
      </c>
      <c r="H50" s="1">
        <v>43947</v>
      </c>
    </row>
    <row r="51" spans="1:8" x14ac:dyDescent="0.25">
      <c r="A51" t="s">
        <v>189</v>
      </c>
      <c r="B51" t="s">
        <v>2199</v>
      </c>
      <c r="C51" t="s">
        <v>191</v>
      </c>
      <c r="D51" t="s">
        <v>2129</v>
      </c>
      <c r="E51" t="s">
        <v>2124</v>
      </c>
      <c r="F51">
        <v>13000000</v>
      </c>
      <c r="G51" t="s">
        <v>2154</v>
      </c>
      <c r="H51" s="1">
        <v>45331</v>
      </c>
    </row>
    <row r="52" spans="1:8" x14ac:dyDescent="0.25">
      <c r="A52" t="s">
        <v>192</v>
      </c>
      <c r="B52" t="s">
        <v>2200</v>
      </c>
      <c r="C52" t="s">
        <v>194</v>
      </c>
      <c r="D52" t="s">
        <v>2137</v>
      </c>
      <c r="E52" t="s">
        <v>2120</v>
      </c>
      <c r="F52">
        <v>5500000</v>
      </c>
      <c r="G52" t="s">
        <v>2201</v>
      </c>
      <c r="H52" s="1">
        <v>45064</v>
      </c>
    </row>
    <row r="53" spans="1:8" x14ac:dyDescent="0.25">
      <c r="A53" t="s">
        <v>195</v>
      </c>
      <c r="B53" t="s">
        <v>2202</v>
      </c>
      <c r="C53" t="s">
        <v>197</v>
      </c>
      <c r="D53" t="s">
        <v>2123</v>
      </c>
      <c r="E53" t="s">
        <v>2134</v>
      </c>
      <c r="F53">
        <v>13000000</v>
      </c>
      <c r="G53" t="s">
        <v>2184</v>
      </c>
      <c r="H53" s="1">
        <v>44558</v>
      </c>
    </row>
    <row r="54" spans="1:8" x14ac:dyDescent="0.25">
      <c r="A54" t="s">
        <v>198</v>
      </c>
      <c r="B54" t="s">
        <v>2166</v>
      </c>
      <c r="C54" t="s">
        <v>199</v>
      </c>
      <c r="D54" t="s">
        <v>2119</v>
      </c>
      <c r="E54" t="s">
        <v>2134</v>
      </c>
      <c r="F54">
        <v>13000000</v>
      </c>
      <c r="G54" t="s">
        <v>2170</v>
      </c>
      <c r="H54" s="1">
        <v>44021</v>
      </c>
    </row>
    <row r="55" spans="1:8" x14ac:dyDescent="0.25">
      <c r="A55" t="s">
        <v>200</v>
      </c>
      <c r="B55" t="s">
        <v>2156</v>
      </c>
      <c r="C55" t="s">
        <v>201</v>
      </c>
      <c r="D55" t="s">
        <v>2119</v>
      </c>
      <c r="E55" t="s">
        <v>2124</v>
      </c>
      <c r="F55">
        <v>5500000</v>
      </c>
      <c r="G55" t="s">
        <v>2203</v>
      </c>
      <c r="H55" s="1">
        <v>45800</v>
      </c>
    </row>
    <row r="56" spans="1:8" x14ac:dyDescent="0.25">
      <c r="A56" t="s">
        <v>237</v>
      </c>
      <c r="B56" t="s">
        <v>2128</v>
      </c>
      <c r="C56" t="s">
        <v>238</v>
      </c>
      <c r="D56" t="s">
        <v>2137</v>
      </c>
      <c r="E56" t="s">
        <v>2149</v>
      </c>
      <c r="F56">
        <v>6500000</v>
      </c>
      <c r="G56" t="s">
        <v>2204</v>
      </c>
      <c r="H56" s="1">
        <v>45575</v>
      </c>
    </row>
    <row r="57" spans="1:8" x14ac:dyDescent="0.25">
      <c r="A57" t="s">
        <v>239</v>
      </c>
      <c r="B57" t="s">
        <v>2205</v>
      </c>
      <c r="C57" t="s">
        <v>240</v>
      </c>
      <c r="D57" t="s">
        <v>2133</v>
      </c>
      <c r="E57" t="s">
        <v>2124</v>
      </c>
      <c r="F57">
        <v>5500000</v>
      </c>
      <c r="G57" t="s">
        <v>2172</v>
      </c>
      <c r="H57" s="1">
        <v>44535</v>
      </c>
    </row>
    <row r="58" spans="1:8" x14ac:dyDescent="0.25">
      <c r="A58" t="s">
        <v>241</v>
      </c>
      <c r="B58" t="s">
        <v>2206</v>
      </c>
      <c r="C58" t="s">
        <v>242</v>
      </c>
      <c r="D58" t="s">
        <v>2123</v>
      </c>
      <c r="E58" t="s">
        <v>2130</v>
      </c>
      <c r="F58">
        <v>6500000</v>
      </c>
      <c r="G58" t="s">
        <v>2207</v>
      </c>
      <c r="H58" s="1">
        <v>44051</v>
      </c>
    </row>
    <row r="59" spans="1:8" x14ac:dyDescent="0.25">
      <c r="A59" t="s">
        <v>243</v>
      </c>
      <c r="B59" t="s">
        <v>2208</v>
      </c>
      <c r="C59" t="s">
        <v>245</v>
      </c>
      <c r="D59" t="s">
        <v>2144</v>
      </c>
      <c r="E59" t="s">
        <v>2134</v>
      </c>
      <c r="F59">
        <v>10500000</v>
      </c>
      <c r="G59" t="s">
        <v>2180</v>
      </c>
      <c r="H59" s="1">
        <v>44149</v>
      </c>
    </row>
    <row r="60" spans="1:8" x14ac:dyDescent="0.25">
      <c r="A60" t="s">
        <v>246</v>
      </c>
      <c r="B60" t="s">
        <v>2209</v>
      </c>
      <c r="C60" t="s">
        <v>247</v>
      </c>
      <c r="D60" t="s">
        <v>14</v>
      </c>
      <c r="E60" t="s">
        <v>2124</v>
      </c>
      <c r="F60">
        <v>6500000</v>
      </c>
      <c r="G60" t="s">
        <v>2210</v>
      </c>
      <c r="H60" s="1">
        <v>44426</v>
      </c>
    </row>
    <row r="61" spans="1:8" x14ac:dyDescent="0.25">
      <c r="A61" t="s">
        <v>248</v>
      </c>
      <c r="B61" t="s">
        <v>2194</v>
      </c>
      <c r="C61" t="s">
        <v>249</v>
      </c>
      <c r="D61" t="s">
        <v>2144</v>
      </c>
      <c r="E61" t="s">
        <v>2149</v>
      </c>
      <c r="F61">
        <v>6500000</v>
      </c>
      <c r="G61" t="s">
        <v>2184</v>
      </c>
      <c r="H61" s="1">
        <v>45831</v>
      </c>
    </row>
    <row r="62" spans="1:8" x14ac:dyDescent="0.25">
      <c r="A62" t="s">
        <v>250</v>
      </c>
      <c r="B62" t="s">
        <v>2174</v>
      </c>
      <c r="C62" t="s">
        <v>251</v>
      </c>
      <c r="D62" t="s">
        <v>2133</v>
      </c>
      <c r="E62" t="s">
        <v>2124</v>
      </c>
      <c r="F62">
        <v>5500000</v>
      </c>
      <c r="G62" t="s">
        <v>2121</v>
      </c>
      <c r="H62" s="1">
        <v>45250</v>
      </c>
    </row>
    <row r="63" spans="1:8" x14ac:dyDescent="0.25">
      <c r="A63" t="s">
        <v>202</v>
      </c>
      <c r="B63" t="s">
        <v>2211</v>
      </c>
      <c r="C63" t="s">
        <v>201</v>
      </c>
      <c r="D63" t="s">
        <v>2119</v>
      </c>
      <c r="E63" t="s">
        <v>2124</v>
      </c>
      <c r="F63">
        <v>6500000</v>
      </c>
      <c r="G63" t="s">
        <v>2204</v>
      </c>
      <c r="H63" s="1">
        <v>44685</v>
      </c>
    </row>
    <row r="64" spans="1:8" x14ac:dyDescent="0.25">
      <c r="A64" t="s">
        <v>252</v>
      </c>
      <c r="B64" t="s">
        <v>2212</v>
      </c>
      <c r="C64" t="s">
        <v>254</v>
      </c>
      <c r="D64" t="s">
        <v>2119</v>
      </c>
      <c r="E64" t="s">
        <v>2130</v>
      </c>
      <c r="F64">
        <v>5500000</v>
      </c>
      <c r="G64" t="s">
        <v>2213</v>
      </c>
      <c r="H64" s="1">
        <v>43850</v>
      </c>
    </row>
    <row r="65" spans="1:8" x14ac:dyDescent="0.25">
      <c r="A65" t="s">
        <v>255</v>
      </c>
      <c r="B65" t="s">
        <v>2186</v>
      </c>
      <c r="C65" t="s">
        <v>256</v>
      </c>
      <c r="D65" t="s">
        <v>2119</v>
      </c>
      <c r="E65" t="s">
        <v>2134</v>
      </c>
      <c r="F65">
        <v>8000000</v>
      </c>
      <c r="G65" t="s">
        <v>2177</v>
      </c>
      <c r="H65" s="1">
        <v>45822</v>
      </c>
    </row>
    <row r="66" spans="1:8" x14ac:dyDescent="0.25">
      <c r="A66" t="s">
        <v>257</v>
      </c>
      <c r="B66" t="s">
        <v>2214</v>
      </c>
      <c r="C66" t="s">
        <v>259</v>
      </c>
      <c r="D66" t="s">
        <v>2123</v>
      </c>
      <c r="E66" t="s">
        <v>2124</v>
      </c>
      <c r="F66">
        <v>13000000</v>
      </c>
      <c r="G66" t="s">
        <v>2153</v>
      </c>
      <c r="H66" s="1">
        <v>45952</v>
      </c>
    </row>
    <row r="67" spans="1:8" x14ac:dyDescent="0.25">
      <c r="A67" t="s">
        <v>260</v>
      </c>
      <c r="B67" t="s">
        <v>2215</v>
      </c>
      <c r="C67" t="s">
        <v>262</v>
      </c>
      <c r="D67" t="s">
        <v>2137</v>
      </c>
      <c r="E67" t="s">
        <v>2124</v>
      </c>
      <c r="F67">
        <v>13000000</v>
      </c>
      <c r="G67" t="s">
        <v>2154</v>
      </c>
      <c r="H67" s="1">
        <v>45841</v>
      </c>
    </row>
    <row r="68" spans="1:8" x14ac:dyDescent="0.25">
      <c r="A68" t="s">
        <v>263</v>
      </c>
      <c r="B68" t="s">
        <v>2216</v>
      </c>
      <c r="C68" t="s">
        <v>265</v>
      </c>
      <c r="D68" t="s">
        <v>37</v>
      </c>
      <c r="E68" t="s">
        <v>2134</v>
      </c>
      <c r="F68">
        <v>8000000</v>
      </c>
      <c r="G68" t="s">
        <v>2147</v>
      </c>
      <c r="H68" s="1">
        <v>45098</v>
      </c>
    </row>
    <row r="69" spans="1:8" x14ac:dyDescent="0.25">
      <c r="A69" t="s">
        <v>266</v>
      </c>
      <c r="B69" t="s">
        <v>2217</v>
      </c>
      <c r="C69" t="s">
        <v>268</v>
      </c>
      <c r="D69" t="s">
        <v>2137</v>
      </c>
      <c r="E69" t="s">
        <v>2120</v>
      </c>
      <c r="F69">
        <v>10500000</v>
      </c>
      <c r="G69" t="s">
        <v>2180</v>
      </c>
      <c r="H69" s="1">
        <v>45134</v>
      </c>
    </row>
    <row r="70" spans="1:8" x14ac:dyDescent="0.25">
      <c r="A70" t="s">
        <v>269</v>
      </c>
      <c r="B70" t="s">
        <v>2218</v>
      </c>
      <c r="C70" t="s">
        <v>271</v>
      </c>
      <c r="D70" t="s">
        <v>37</v>
      </c>
      <c r="E70" t="s">
        <v>2134</v>
      </c>
      <c r="F70">
        <v>13000000</v>
      </c>
      <c r="G70" t="s">
        <v>2219</v>
      </c>
      <c r="H70" s="1">
        <v>43963</v>
      </c>
    </row>
    <row r="71" spans="1:8" x14ac:dyDescent="0.25">
      <c r="A71" t="s">
        <v>272</v>
      </c>
      <c r="B71" t="s">
        <v>2146</v>
      </c>
      <c r="C71" t="s">
        <v>273</v>
      </c>
      <c r="D71" t="s">
        <v>2129</v>
      </c>
      <c r="E71" t="s">
        <v>2134</v>
      </c>
      <c r="F71">
        <v>10500000</v>
      </c>
      <c r="G71" t="s">
        <v>2163</v>
      </c>
      <c r="H71" s="1">
        <v>44481</v>
      </c>
    </row>
    <row r="72" spans="1:8" x14ac:dyDescent="0.25">
      <c r="A72" t="s">
        <v>204</v>
      </c>
      <c r="B72" t="s">
        <v>2176</v>
      </c>
      <c r="C72" t="s">
        <v>201</v>
      </c>
      <c r="D72" t="s">
        <v>2119</v>
      </c>
      <c r="E72" t="s">
        <v>2120</v>
      </c>
      <c r="F72">
        <v>6500000</v>
      </c>
      <c r="G72" t="s">
        <v>2198</v>
      </c>
      <c r="H72" s="1">
        <v>44660</v>
      </c>
    </row>
    <row r="73" spans="1:8" x14ac:dyDescent="0.25">
      <c r="A73" t="s">
        <v>274</v>
      </c>
      <c r="B73" t="s">
        <v>2220</v>
      </c>
      <c r="C73" t="s">
        <v>275</v>
      </c>
      <c r="D73" t="s">
        <v>2129</v>
      </c>
      <c r="E73" t="s">
        <v>2130</v>
      </c>
      <c r="F73">
        <v>8000000</v>
      </c>
      <c r="G73" t="s">
        <v>2219</v>
      </c>
      <c r="H73" s="1">
        <v>44453</v>
      </c>
    </row>
    <row r="74" spans="1:8" x14ac:dyDescent="0.25">
      <c r="A74" t="s">
        <v>276</v>
      </c>
      <c r="B74" t="s">
        <v>2160</v>
      </c>
      <c r="C74" t="s">
        <v>277</v>
      </c>
      <c r="D74" t="s">
        <v>2119</v>
      </c>
      <c r="E74" t="s">
        <v>2124</v>
      </c>
      <c r="F74">
        <v>5500000</v>
      </c>
      <c r="G74" t="s">
        <v>2198</v>
      </c>
      <c r="H74" s="1">
        <v>44132</v>
      </c>
    </row>
    <row r="75" spans="1:8" x14ac:dyDescent="0.25">
      <c r="A75" t="s">
        <v>278</v>
      </c>
      <c r="B75" t="s">
        <v>2187</v>
      </c>
      <c r="C75" t="s">
        <v>279</v>
      </c>
      <c r="D75" t="s">
        <v>2129</v>
      </c>
      <c r="E75" t="s">
        <v>2134</v>
      </c>
      <c r="F75">
        <v>10500000</v>
      </c>
      <c r="G75" t="s">
        <v>2207</v>
      </c>
      <c r="H75" s="1">
        <v>45120</v>
      </c>
    </row>
    <row r="76" spans="1:8" x14ac:dyDescent="0.25">
      <c r="A76" t="s">
        <v>280</v>
      </c>
      <c r="B76" t="s">
        <v>2221</v>
      </c>
      <c r="C76" t="s">
        <v>282</v>
      </c>
      <c r="D76" t="s">
        <v>2119</v>
      </c>
      <c r="E76" t="s">
        <v>2120</v>
      </c>
      <c r="F76">
        <v>8000000</v>
      </c>
      <c r="G76" t="s">
        <v>2170</v>
      </c>
      <c r="H76" s="1">
        <v>45466</v>
      </c>
    </row>
    <row r="77" spans="1:8" x14ac:dyDescent="0.25">
      <c r="A77" t="s">
        <v>283</v>
      </c>
      <c r="B77" t="s">
        <v>2222</v>
      </c>
      <c r="C77" t="s">
        <v>284</v>
      </c>
      <c r="D77" t="s">
        <v>2137</v>
      </c>
      <c r="E77" t="s">
        <v>2124</v>
      </c>
      <c r="F77">
        <v>8000000</v>
      </c>
      <c r="G77" t="s">
        <v>2168</v>
      </c>
      <c r="H77" s="1">
        <v>45628</v>
      </c>
    </row>
    <row r="78" spans="1:8" x14ac:dyDescent="0.25">
      <c r="A78" t="s">
        <v>285</v>
      </c>
      <c r="B78" t="s">
        <v>2223</v>
      </c>
      <c r="C78" t="s">
        <v>286</v>
      </c>
      <c r="D78" t="s">
        <v>2123</v>
      </c>
      <c r="E78" t="s">
        <v>2124</v>
      </c>
      <c r="F78">
        <v>13000000</v>
      </c>
      <c r="G78" t="s">
        <v>2203</v>
      </c>
      <c r="H78" s="1">
        <v>44059</v>
      </c>
    </row>
    <row r="79" spans="1:8" x14ac:dyDescent="0.25">
      <c r="A79" t="s">
        <v>287</v>
      </c>
      <c r="B79" t="s">
        <v>2224</v>
      </c>
      <c r="C79" t="s">
        <v>288</v>
      </c>
      <c r="D79" t="s">
        <v>2133</v>
      </c>
      <c r="E79" t="s">
        <v>2134</v>
      </c>
      <c r="F79">
        <v>13000000</v>
      </c>
      <c r="G79" t="s">
        <v>2142</v>
      </c>
      <c r="H79" s="1">
        <v>45566</v>
      </c>
    </row>
    <row r="80" spans="1:8" x14ac:dyDescent="0.25">
      <c r="A80" t="s">
        <v>205</v>
      </c>
      <c r="B80" t="s">
        <v>2225</v>
      </c>
      <c r="C80" t="s">
        <v>201</v>
      </c>
      <c r="D80" t="s">
        <v>2119</v>
      </c>
      <c r="E80" t="s">
        <v>2120</v>
      </c>
      <c r="F80">
        <v>10500000</v>
      </c>
      <c r="G80" t="s">
        <v>2210</v>
      </c>
      <c r="H80" s="1">
        <v>44735</v>
      </c>
    </row>
    <row r="81" spans="1:8" x14ac:dyDescent="0.25">
      <c r="A81" t="s">
        <v>290</v>
      </c>
      <c r="B81" t="s">
        <v>2217</v>
      </c>
      <c r="C81" t="s">
        <v>291</v>
      </c>
      <c r="D81" t="s">
        <v>2129</v>
      </c>
      <c r="E81" t="s">
        <v>2134</v>
      </c>
      <c r="F81">
        <v>8000000</v>
      </c>
      <c r="G81" t="s">
        <v>2177</v>
      </c>
      <c r="H81" s="1">
        <v>44231</v>
      </c>
    </row>
    <row r="82" spans="1:8" x14ac:dyDescent="0.25">
      <c r="A82" t="s">
        <v>292</v>
      </c>
      <c r="B82" t="s">
        <v>2226</v>
      </c>
      <c r="C82" t="s">
        <v>293</v>
      </c>
      <c r="D82" t="s">
        <v>2137</v>
      </c>
      <c r="E82" t="s">
        <v>2130</v>
      </c>
      <c r="F82">
        <v>8000000</v>
      </c>
      <c r="G82" t="s">
        <v>2170</v>
      </c>
      <c r="H82" s="1">
        <v>45662</v>
      </c>
    </row>
    <row r="83" spans="1:8" x14ac:dyDescent="0.25">
      <c r="A83" t="s">
        <v>294</v>
      </c>
      <c r="B83" t="s">
        <v>2221</v>
      </c>
      <c r="C83" t="s">
        <v>295</v>
      </c>
      <c r="D83" t="s">
        <v>2137</v>
      </c>
      <c r="E83" t="s">
        <v>2134</v>
      </c>
      <c r="F83">
        <v>6500000</v>
      </c>
      <c r="G83" t="s">
        <v>2191</v>
      </c>
      <c r="H83" s="1">
        <v>44418</v>
      </c>
    </row>
    <row r="84" spans="1:8" x14ac:dyDescent="0.25">
      <c r="A84" t="s">
        <v>296</v>
      </c>
      <c r="B84" t="s">
        <v>2185</v>
      </c>
      <c r="C84" t="s">
        <v>297</v>
      </c>
      <c r="D84" t="s">
        <v>2129</v>
      </c>
      <c r="E84" t="s">
        <v>2134</v>
      </c>
      <c r="F84">
        <v>13000000</v>
      </c>
      <c r="G84" t="s">
        <v>2165</v>
      </c>
      <c r="H84" s="1">
        <v>43900</v>
      </c>
    </row>
    <row r="85" spans="1:8" x14ac:dyDescent="0.25">
      <c r="A85" t="s">
        <v>207</v>
      </c>
      <c r="B85" t="s">
        <v>2223</v>
      </c>
      <c r="C85" t="s">
        <v>201</v>
      </c>
      <c r="D85" t="s">
        <v>23</v>
      </c>
      <c r="E85" t="s">
        <v>2149</v>
      </c>
      <c r="F85">
        <v>6500000</v>
      </c>
      <c r="G85" t="s">
        <v>2227</v>
      </c>
      <c r="H85" s="1">
        <v>44462</v>
      </c>
    </row>
    <row r="86" spans="1:8" x14ac:dyDescent="0.25">
      <c r="A86" t="s">
        <v>298</v>
      </c>
      <c r="B86" t="s">
        <v>2228</v>
      </c>
      <c r="C86" t="s">
        <v>300</v>
      </c>
      <c r="D86" t="s">
        <v>2144</v>
      </c>
      <c r="E86" t="s">
        <v>2149</v>
      </c>
      <c r="F86">
        <v>5500000</v>
      </c>
      <c r="G86" t="s">
        <v>2140</v>
      </c>
      <c r="H86" s="1">
        <v>44912</v>
      </c>
    </row>
    <row r="87" spans="1:8" x14ac:dyDescent="0.25">
      <c r="A87" t="s">
        <v>301</v>
      </c>
      <c r="B87" t="s">
        <v>2223</v>
      </c>
      <c r="C87" t="s">
        <v>302</v>
      </c>
      <c r="D87" t="s">
        <v>2133</v>
      </c>
      <c r="E87" t="s">
        <v>2149</v>
      </c>
      <c r="F87">
        <v>8000000</v>
      </c>
      <c r="G87" t="s">
        <v>2229</v>
      </c>
      <c r="H87" s="1">
        <v>44695</v>
      </c>
    </row>
    <row r="88" spans="1:8" x14ac:dyDescent="0.25">
      <c r="A88" t="s">
        <v>303</v>
      </c>
      <c r="B88" t="s">
        <v>2230</v>
      </c>
      <c r="C88" t="s">
        <v>304</v>
      </c>
      <c r="D88" t="s">
        <v>2133</v>
      </c>
      <c r="E88" t="s">
        <v>2124</v>
      </c>
      <c r="F88">
        <v>13000000</v>
      </c>
      <c r="G88" t="s">
        <v>2170</v>
      </c>
      <c r="H88" s="1">
        <v>44775</v>
      </c>
    </row>
    <row r="89" spans="1:8" x14ac:dyDescent="0.25">
      <c r="A89" t="s">
        <v>305</v>
      </c>
      <c r="B89" t="s">
        <v>2197</v>
      </c>
      <c r="C89" t="s">
        <v>306</v>
      </c>
      <c r="D89" t="s">
        <v>37</v>
      </c>
      <c r="E89" t="s">
        <v>2134</v>
      </c>
      <c r="F89">
        <v>10500000</v>
      </c>
      <c r="G89" t="s">
        <v>2198</v>
      </c>
      <c r="H89" s="1">
        <v>44623</v>
      </c>
    </row>
    <row r="90" spans="1:8" x14ac:dyDescent="0.25">
      <c r="A90" t="s">
        <v>307</v>
      </c>
      <c r="B90" t="s">
        <v>2231</v>
      </c>
      <c r="C90" t="s">
        <v>309</v>
      </c>
      <c r="D90" t="s">
        <v>2119</v>
      </c>
      <c r="E90" t="s">
        <v>2124</v>
      </c>
      <c r="F90">
        <v>5500000</v>
      </c>
      <c r="G90" t="s">
        <v>2170</v>
      </c>
      <c r="H90" s="1">
        <v>45630</v>
      </c>
    </row>
    <row r="91" spans="1:8" x14ac:dyDescent="0.25">
      <c r="A91" t="s">
        <v>310</v>
      </c>
      <c r="B91" t="s">
        <v>2232</v>
      </c>
      <c r="C91" t="s">
        <v>312</v>
      </c>
      <c r="D91" t="s">
        <v>2133</v>
      </c>
      <c r="E91" t="s">
        <v>2124</v>
      </c>
      <c r="F91">
        <v>5500000</v>
      </c>
      <c r="G91" t="s">
        <v>2204</v>
      </c>
      <c r="H91" s="1">
        <v>44579</v>
      </c>
    </row>
    <row r="92" spans="1:8" x14ac:dyDescent="0.25">
      <c r="A92" t="s">
        <v>313</v>
      </c>
      <c r="B92" t="s">
        <v>2211</v>
      </c>
      <c r="C92" t="s">
        <v>314</v>
      </c>
      <c r="D92" t="s">
        <v>2137</v>
      </c>
      <c r="E92" t="s">
        <v>2124</v>
      </c>
      <c r="F92">
        <v>6500000</v>
      </c>
      <c r="G92" t="s">
        <v>2182</v>
      </c>
      <c r="H92" s="1">
        <v>44630</v>
      </c>
    </row>
    <row r="93" spans="1:8" x14ac:dyDescent="0.25">
      <c r="A93" t="s">
        <v>315</v>
      </c>
      <c r="B93" t="s">
        <v>2233</v>
      </c>
      <c r="C93" t="s">
        <v>317</v>
      </c>
      <c r="D93" t="s">
        <v>2123</v>
      </c>
      <c r="E93" t="s">
        <v>2124</v>
      </c>
      <c r="F93">
        <v>8000000</v>
      </c>
      <c r="G93" t="s">
        <v>2210</v>
      </c>
      <c r="H93" s="1">
        <v>45469</v>
      </c>
    </row>
    <row r="94" spans="1:8" x14ac:dyDescent="0.25">
      <c r="A94" t="s">
        <v>318</v>
      </c>
      <c r="B94" t="s">
        <v>2174</v>
      </c>
      <c r="C94" t="s">
        <v>319</v>
      </c>
      <c r="D94" t="s">
        <v>2123</v>
      </c>
      <c r="E94" t="s">
        <v>2134</v>
      </c>
      <c r="F94">
        <v>5500000</v>
      </c>
      <c r="G94" t="s">
        <v>2170</v>
      </c>
      <c r="H94" s="1">
        <v>44335</v>
      </c>
    </row>
    <row r="95" spans="1:8" x14ac:dyDescent="0.25">
      <c r="A95" t="s">
        <v>320</v>
      </c>
      <c r="B95" t="s">
        <v>2161</v>
      </c>
      <c r="C95" t="s">
        <v>321</v>
      </c>
      <c r="D95" t="s">
        <v>33</v>
      </c>
      <c r="E95" t="s">
        <v>2130</v>
      </c>
      <c r="F95">
        <v>10500000</v>
      </c>
      <c r="G95" t="s">
        <v>2234</v>
      </c>
      <c r="H95" s="1">
        <v>45797</v>
      </c>
    </row>
    <row r="96" spans="1:8" x14ac:dyDescent="0.25">
      <c r="A96" t="s">
        <v>322</v>
      </c>
      <c r="B96" t="s">
        <v>2194</v>
      </c>
      <c r="C96" t="s">
        <v>323</v>
      </c>
      <c r="D96" t="s">
        <v>37</v>
      </c>
      <c r="E96" t="s">
        <v>2120</v>
      </c>
      <c r="F96">
        <v>13000000</v>
      </c>
      <c r="G96" t="s">
        <v>2153</v>
      </c>
      <c r="H96" s="1">
        <v>44763</v>
      </c>
    </row>
    <row r="97" spans="1:8" x14ac:dyDescent="0.25">
      <c r="A97" t="s">
        <v>324</v>
      </c>
      <c r="B97" t="s">
        <v>2208</v>
      </c>
      <c r="C97" t="s">
        <v>325</v>
      </c>
      <c r="D97" t="s">
        <v>2129</v>
      </c>
      <c r="E97" t="s">
        <v>2130</v>
      </c>
      <c r="F97">
        <v>6500000</v>
      </c>
      <c r="G97" t="s">
        <v>2235</v>
      </c>
      <c r="H97" s="1">
        <v>45553</v>
      </c>
    </row>
    <row r="98" spans="1:8" x14ac:dyDescent="0.25">
      <c r="A98" t="s">
        <v>326</v>
      </c>
      <c r="B98" t="s">
        <v>2236</v>
      </c>
      <c r="C98" t="s">
        <v>328</v>
      </c>
      <c r="D98" t="s">
        <v>2144</v>
      </c>
      <c r="E98" t="s">
        <v>2124</v>
      </c>
      <c r="F98">
        <v>8000000</v>
      </c>
      <c r="G98" t="s">
        <v>2154</v>
      </c>
      <c r="H98" s="1">
        <v>44969</v>
      </c>
    </row>
    <row r="99" spans="1:8" x14ac:dyDescent="0.25">
      <c r="A99" t="s">
        <v>125</v>
      </c>
      <c r="B99" t="s">
        <v>2237</v>
      </c>
      <c r="C99" t="s">
        <v>128</v>
      </c>
      <c r="D99" t="s">
        <v>2123</v>
      </c>
      <c r="E99" t="s">
        <v>2120</v>
      </c>
      <c r="F99">
        <v>5500000</v>
      </c>
      <c r="G99" t="s">
        <v>2157</v>
      </c>
      <c r="H99" s="1">
        <v>45858</v>
      </c>
    </row>
    <row r="100" spans="1:8" x14ac:dyDescent="0.25">
      <c r="A100" t="s">
        <v>329</v>
      </c>
      <c r="B100" t="s">
        <v>2238</v>
      </c>
      <c r="C100" t="s">
        <v>330</v>
      </c>
      <c r="D100" t="s">
        <v>2144</v>
      </c>
      <c r="E100" t="s">
        <v>2134</v>
      </c>
      <c r="F100">
        <v>13000000</v>
      </c>
      <c r="G100" t="s">
        <v>2239</v>
      </c>
      <c r="H100" s="1">
        <v>45213</v>
      </c>
    </row>
    <row r="101" spans="1:8" x14ac:dyDescent="0.25">
      <c r="A101" t="s">
        <v>331</v>
      </c>
      <c r="B101" t="s">
        <v>2225</v>
      </c>
      <c r="C101" t="s">
        <v>332</v>
      </c>
      <c r="D101" t="s">
        <v>2119</v>
      </c>
      <c r="E101" t="s">
        <v>2130</v>
      </c>
      <c r="F101">
        <v>5500000</v>
      </c>
      <c r="G101" t="s">
        <v>2240</v>
      </c>
      <c r="H101" s="1">
        <v>43974</v>
      </c>
    </row>
    <row r="102" spans="1:8" x14ac:dyDescent="0.25">
      <c r="A102" t="s">
        <v>333</v>
      </c>
      <c r="B102" t="s">
        <v>2128</v>
      </c>
      <c r="C102" t="s">
        <v>334</v>
      </c>
      <c r="D102" t="s">
        <v>2137</v>
      </c>
      <c r="E102" t="s">
        <v>2130</v>
      </c>
      <c r="F102">
        <v>8000000</v>
      </c>
      <c r="G102" t="s">
        <v>2196</v>
      </c>
      <c r="H102" s="1">
        <v>44155</v>
      </c>
    </row>
    <row r="103" spans="1:8" x14ac:dyDescent="0.25">
      <c r="A103" t="s">
        <v>335</v>
      </c>
      <c r="B103" t="s">
        <v>2174</v>
      </c>
      <c r="C103" t="s">
        <v>336</v>
      </c>
      <c r="D103" t="s">
        <v>18</v>
      </c>
      <c r="E103" t="s">
        <v>2134</v>
      </c>
      <c r="F103">
        <v>6500000</v>
      </c>
      <c r="G103" t="s">
        <v>2239</v>
      </c>
      <c r="H103" s="1">
        <v>45402</v>
      </c>
    </row>
    <row r="104" spans="1:8" x14ac:dyDescent="0.25">
      <c r="A104" t="s">
        <v>337</v>
      </c>
      <c r="B104" t="s">
        <v>2222</v>
      </c>
      <c r="C104" t="s">
        <v>338</v>
      </c>
      <c r="D104" t="s">
        <v>2123</v>
      </c>
      <c r="E104" t="s">
        <v>2130</v>
      </c>
      <c r="F104">
        <v>6500000</v>
      </c>
      <c r="G104" t="s">
        <v>2151</v>
      </c>
      <c r="H104" s="1">
        <v>44202</v>
      </c>
    </row>
    <row r="105" spans="1:8" x14ac:dyDescent="0.25">
      <c r="A105" t="s">
        <v>339</v>
      </c>
      <c r="B105" t="s">
        <v>2241</v>
      </c>
      <c r="C105" t="s">
        <v>341</v>
      </c>
      <c r="D105" t="s">
        <v>2137</v>
      </c>
      <c r="E105" t="s">
        <v>2120</v>
      </c>
      <c r="F105">
        <v>10500000</v>
      </c>
      <c r="G105" t="s">
        <v>2191</v>
      </c>
      <c r="H105" s="1">
        <v>46019</v>
      </c>
    </row>
    <row r="106" spans="1:8" x14ac:dyDescent="0.25">
      <c r="A106" t="s">
        <v>342</v>
      </c>
      <c r="B106" t="s">
        <v>2242</v>
      </c>
      <c r="C106" t="s">
        <v>343</v>
      </c>
      <c r="D106" t="s">
        <v>2133</v>
      </c>
      <c r="E106" t="s">
        <v>2120</v>
      </c>
      <c r="F106">
        <v>13000000</v>
      </c>
      <c r="G106" t="s">
        <v>2191</v>
      </c>
      <c r="H106" s="1">
        <v>45233</v>
      </c>
    </row>
    <row r="107" spans="1:8" x14ac:dyDescent="0.25">
      <c r="A107" t="s">
        <v>344</v>
      </c>
      <c r="B107" t="s">
        <v>2243</v>
      </c>
      <c r="C107" t="s">
        <v>346</v>
      </c>
      <c r="D107" t="s">
        <v>2129</v>
      </c>
      <c r="E107" t="s">
        <v>2124</v>
      </c>
      <c r="F107">
        <v>10500000</v>
      </c>
      <c r="G107" t="s">
        <v>2180</v>
      </c>
      <c r="H107" s="1">
        <v>44525</v>
      </c>
    </row>
    <row r="108" spans="1:8" x14ac:dyDescent="0.25">
      <c r="A108" t="s">
        <v>347</v>
      </c>
      <c r="B108" t="s">
        <v>2244</v>
      </c>
      <c r="C108" t="s">
        <v>349</v>
      </c>
      <c r="D108" t="s">
        <v>2129</v>
      </c>
      <c r="E108" t="s">
        <v>2120</v>
      </c>
      <c r="F108">
        <v>6500000</v>
      </c>
      <c r="G108" t="s">
        <v>2157</v>
      </c>
      <c r="H108" s="1">
        <v>43972</v>
      </c>
    </row>
    <row r="109" spans="1:8" x14ac:dyDescent="0.25">
      <c r="A109" t="s">
        <v>350</v>
      </c>
      <c r="B109" t="s">
        <v>2245</v>
      </c>
      <c r="C109" t="s">
        <v>352</v>
      </c>
      <c r="D109" t="s">
        <v>2133</v>
      </c>
      <c r="E109" t="s">
        <v>2120</v>
      </c>
      <c r="F109">
        <v>13000000</v>
      </c>
      <c r="G109" t="s">
        <v>2163</v>
      </c>
      <c r="H109" s="1">
        <v>45921</v>
      </c>
    </row>
    <row r="110" spans="1:8" x14ac:dyDescent="0.25">
      <c r="A110" t="s">
        <v>353</v>
      </c>
      <c r="B110" t="s">
        <v>2162</v>
      </c>
      <c r="C110" t="s">
        <v>354</v>
      </c>
      <c r="D110" t="s">
        <v>2137</v>
      </c>
      <c r="E110" t="s">
        <v>2149</v>
      </c>
      <c r="F110">
        <v>10500000</v>
      </c>
      <c r="G110" t="s">
        <v>2180</v>
      </c>
      <c r="H110" s="1">
        <v>44424</v>
      </c>
    </row>
    <row r="111" spans="1:8" x14ac:dyDescent="0.25">
      <c r="A111" t="s">
        <v>355</v>
      </c>
      <c r="B111" t="s">
        <v>2216</v>
      </c>
      <c r="C111" t="s">
        <v>356</v>
      </c>
      <c r="D111" t="s">
        <v>2133</v>
      </c>
      <c r="E111" t="s">
        <v>2134</v>
      </c>
      <c r="F111">
        <v>13000000</v>
      </c>
      <c r="G111" t="s">
        <v>2246</v>
      </c>
      <c r="H111" s="1">
        <v>44883</v>
      </c>
    </row>
    <row r="112" spans="1:8" x14ac:dyDescent="0.25">
      <c r="A112" t="s">
        <v>357</v>
      </c>
      <c r="B112" t="s">
        <v>2169</v>
      </c>
      <c r="C112" t="s">
        <v>358</v>
      </c>
      <c r="D112" t="s">
        <v>23</v>
      </c>
      <c r="E112" t="s">
        <v>2130</v>
      </c>
      <c r="F112">
        <v>6500000</v>
      </c>
      <c r="G112" t="s">
        <v>2121</v>
      </c>
      <c r="H112" s="1">
        <v>44003</v>
      </c>
    </row>
    <row r="113" spans="1:8" x14ac:dyDescent="0.25">
      <c r="A113" t="s">
        <v>359</v>
      </c>
      <c r="B113" t="s">
        <v>2247</v>
      </c>
      <c r="C113" t="s">
        <v>361</v>
      </c>
      <c r="D113" t="s">
        <v>2133</v>
      </c>
      <c r="E113" t="s">
        <v>2120</v>
      </c>
      <c r="F113">
        <v>8000000</v>
      </c>
      <c r="G113" t="s">
        <v>2184</v>
      </c>
      <c r="H113" s="1">
        <v>45845</v>
      </c>
    </row>
    <row r="114" spans="1:8" x14ac:dyDescent="0.25">
      <c r="A114" t="s">
        <v>362</v>
      </c>
      <c r="B114" t="s">
        <v>2209</v>
      </c>
      <c r="C114" t="s">
        <v>363</v>
      </c>
      <c r="D114" t="s">
        <v>2129</v>
      </c>
      <c r="E114" t="s">
        <v>2130</v>
      </c>
      <c r="F114">
        <v>8000000</v>
      </c>
      <c r="G114" t="s">
        <v>2121</v>
      </c>
      <c r="H114" s="1">
        <v>45850</v>
      </c>
    </row>
    <row r="115" spans="1:8" x14ac:dyDescent="0.25">
      <c r="A115" t="s">
        <v>364</v>
      </c>
      <c r="B115" t="s">
        <v>2162</v>
      </c>
      <c r="C115" t="s">
        <v>365</v>
      </c>
      <c r="D115" t="s">
        <v>2133</v>
      </c>
      <c r="E115" t="s">
        <v>2124</v>
      </c>
      <c r="F115">
        <v>5500000</v>
      </c>
      <c r="G115" t="s">
        <v>2203</v>
      </c>
      <c r="H115" s="1">
        <v>45628</v>
      </c>
    </row>
    <row r="116" spans="1:8" x14ac:dyDescent="0.25">
      <c r="A116" t="s">
        <v>366</v>
      </c>
      <c r="B116" t="s">
        <v>2148</v>
      </c>
      <c r="C116" t="s">
        <v>367</v>
      </c>
      <c r="D116" t="s">
        <v>2137</v>
      </c>
      <c r="E116" t="s">
        <v>2120</v>
      </c>
      <c r="F116">
        <v>13000000</v>
      </c>
      <c r="G116" t="s">
        <v>2191</v>
      </c>
      <c r="H116" s="1">
        <v>45660</v>
      </c>
    </row>
    <row r="117" spans="1:8" x14ac:dyDescent="0.25">
      <c r="A117" t="s">
        <v>368</v>
      </c>
      <c r="B117" t="s">
        <v>2248</v>
      </c>
      <c r="C117" t="s">
        <v>370</v>
      </c>
      <c r="D117" t="s">
        <v>2129</v>
      </c>
      <c r="E117" t="s">
        <v>2120</v>
      </c>
      <c r="F117">
        <v>10500000</v>
      </c>
      <c r="G117" t="s">
        <v>2163</v>
      </c>
      <c r="H117" s="1">
        <v>44702</v>
      </c>
    </row>
    <row r="118" spans="1:8" x14ac:dyDescent="0.25">
      <c r="A118" t="s">
        <v>209</v>
      </c>
      <c r="B118" t="s">
        <v>2152</v>
      </c>
      <c r="C118" t="s">
        <v>201</v>
      </c>
      <c r="D118" t="s">
        <v>2129</v>
      </c>
      <c r="E118" t="s">
        <v>2130</v>
      </c>
      <c r="F118">
        <v>8000000</v>
      </c>
      <c r="G118" t="s">
        <v>2196</v>
      </c>
      <c r="H118" s="1">
        <v>44941</v>
      </c>
    </row>
    <row r="119" spans="1:8" x14ac:dyDescent="0.25">
      <c r="A119" t="s">
        <v>371</v>
      </c>
      <c r="B119" t="s">
        <v>2194</v>
      </c>
      <c r="C119" t="s">
        <v>372</v>
      </c>
      <c r="D119" t="s">
        <v>2144</v>
      </c>
      <c r="E119" t="s">
        <v>2124</v>
      </c>
      <c r="F119">
        <v>8000000</v>
      </c>
      <c r="G119" t="s">
        <v>2140</v>
      </c>
      <c r="H119" s="1">
        <v>45928</v>
      </c>
    </row>
    <row r="120" spans="1:8" x14ac:dyDescent="0.25">
      <c r="A120" t="s">
        <v>373</v>
      </c>
      <c r="B120" t="s">
        <v>2249</v>
      </c>
      <c r="C120" t="s">
        <v>374</v>
      </c>
      <c r="D120" t="s">
        <v>2119</v>
      </c>
      <c r="E120" t="s">
        <v>2134</v>
      </c>
      <c r="F120">
        <v>8000000</v>
      </c>
      <c r="G120" t="s">
        <v>2142</v>
      </c>
      <c r="H120" s="1">
        <v>44435</v>
      </c>
    </row>
    <row r="121" spans="1:8" x14ac:dyDescent="0.25">
      <c r="A121" t="s">
        <v>375</v>
      </c>
      <c r="B121" t="s">
        <v>2181</v>
      </c>
      <c r="C121" t="s">
        <v>376</v>
      </c>
      <c r="D121" t="s">
        <v>2123</v>
      </c>
      <c r="E121" t="s">
        <v>2134</v>
      </c>
      <c r="F121">
        <v>5500000</v>
      </c>
      <c r="G121" t="s">
        <v>2127</v>
      </c>
      <c r="H121" s="1">
        <v>44627</v>
      </c>
    </row>
    <row r="122" spans="1:8" x14ac:dyDescent="0.25">
      <c r="A122" t="s">
        <v>377</v>
      </c>
      <c r="B122" t="s">
        <v>2218</v>
      </c>
      <c r="C122" t="s">
        <v>378</v>
      </c>
      <c r="D122" t="s">
        <v>2123</v>
      </c>
      <c r="E122" t="s">
        <v>2130</v>
      </c>
      <c r="F122">
        <v>6500000</v>
      </c>
      <c r="G122" t="s">
        <v>2250</v>
      </c>
      <c r="H122" s="1">
        <v>43947</v>
      </c>
    </row>
    <row r="123" spans="1:8" x14ac:dyDescent="0.25">
      <c r="A123" t="s">
        <v>379</v>
      </c>
      <c r="B123" t="s">
        <v>2251</v>
      </c>
      <c r="C123" t="s">
        <v>381</v>
      </c>
      <c r="D123" t="s">
        <v>2137</v>
      </c>
      <c r="E123" t="s">
        <v>2124</v>
      </c>
      <c r="F123">
        <v>6500000</v>
      </c>
      <c r="G123" t="s">
        <v>2246</v>
      </c>
      <c r="H123" s="1">
        <v>43934</v>
      </c>
    </row>
    <row r="124" spans="1:8" x14ac:dyDescent="0.25">
      <c r="A124" t="s">
        <v>382</v>
      </c>
      <c r="B124" t="s">
        <v>2224</v>
      </c>
      <c r="C124" t="s">
        <v>383</v>
      </c>
      <c r="D124" t="s">
        <v>2144</v>
      </c>
      <c r="E124" t="s">
        <v>2124</v>
      </c>
      <c r="F124">
        <v>8000000</v>
      </c>
      <c r="G124" t="s">
        <v>2191</v>
      </c>
      <c r="H124" s="1">
        <v>44290</v>
      </c>
    </row>
    <row r="125" spans="1:8" x14ac:dyDescent="0.25">
      <c r="A125" t="s">
        <v>384</v>
      </c>
      <c r="B125" t="s">
        <v>2183</v>
      </c>
      <c r="C125" t="s">
        <v>385</v>
      </c>
      <c r="D125" t="s">
        <v>2133</v>
      </c>
      <c r="E125" t="s">
        <v>2134</v>
      </c>
      <c r="F125">
        <v>6500000</v>
      </c>
      <c r="G125" t="s">
        <v>2145</v>
      </c>
      <c r="H125" s="1">
        <v>44818</v>
      </c>
    </row>
    <row r="126" spans="1:8" x14ac:dyDescent="0.25">
      <c r="A126" t="s">
        <v>386</v>
      </c>
      <c r="B126" t="s">
        <v>2209</v>
      </c>
      <c r="C126" t="s">
        <v>387</v>
      </c>
      <c r="D126" t="s">
        <v>2133</v>
      </c>
      <c r="E126" t="s">
        <v>2124</v>
      </c>
      <c r="F126">
        <v>10500000</v>
      </c>
      <c r="G126" t="s">
        <v>2252</v>
      </c>
      <c r="H126" s="1">
        <v>43879</v>
      </c>
    </row>
    <row r="127" spans="1:8" x14ac:dyDescent="0.25">
      <c r="A127" t="s">
        <v>388</v>
      </c>
      <c r="B127" t="s">
        <v>2162</v>
      </c>
      <c r="C127" t="s">
        <v>389</v>
      </c>
      <c r="D127" t="s">
        <v>2144</v>
      </c>
      <c r="E127" t="s">
        <v>2124</v>
      </c>
      <c r="F127">
        <v>10500000</v>
      </c>
      <c r="G127" t="s">
        <v>2121</v>
      </c>
      <c r="H127" s="1">
        <v>45821</v>
      </c>
    </row>
    <row r="128" spans="1:8" x14ac:dyDescent="0.25">
      <c r="A128" t="s">
        <v>390</v>
      </c>
      <c r="B128" t="s">
        <v>2167</v>
      </c>
      <c r="C128" t="s">
        <v>391</v>
      </c>
      <c r="D128" t="s">
        <v>2119</v>
      </c>
      <c r="E128" t="s">
        <v>2130</v>
      </c>
      <c r="F128">
        <v>6500000</v>
      </c>
      <c r="G128" t="s">
        <v>2121</v>
      </c>
      <c r="H128" s="1">
        <v>45677</v>
      </c>
    </row>
    <row r="129" spans="1:8" x14ac:dyDescent="0.25">
      <c r="A129" t="s">
        <v>392</v>
      </c>
      <c r="B129" t="s">
        <v>2156</v>
      </c>
      <c r="C129" t="s">
        <v>393</v>
      </c>
      <c r="D129" t="s">
        <v>2144</v>
      </c>
      <c r="E129" t="s">
        <v>2120</v>
      </c>
      <c r="F129">
        <v>13000000</v>
      </c>
      <c r="G129" t="s">
        <v>2188</v>
      </c>
      <c r="H129" s="1">
        <v>45671</v>
      </c>
    </row>
    <row r="130" spans="1:8" x14ac:dyDescent="0.25">
      <c r="A130" t="s">
        <v>394</v>
      </c>
      <c r="B130" t="s">
        <v>2220</v>
      </c>
      <c r="C130" t="s">
        <v>395</v>
      </c>
      <c r="D130" t="s">
        <v>2144</v>
      </c>
      <c r="E130" t="s">
        <v>2134</v>
      </c>
      <c r="F130">
        <v>13000000</v>
      </c>
      <c r="G130" t="s">
        <v>2131</v>
      </c>
      <c r="H130" s="1">
        <v>44099</v>
      </c>
    </row>
    <row r="131" spans="1:8" x14ac:dyDescent="0.25">
      <c r="A131" t="s">
        <v>396</v>
      </c>
      <c r="B131" t="s">
        <v>2223</v>
      </c>
      <c r="C131" t="s">
        <v>397</v>
      </c>
      <c r="D131" t="s">
        <v>2137</v>
      </c>
      <c r="E131" t="s">
        <v>2149</v>
      </c>
      <c r="F131">
        <v>8000000</v>
      </c>
      <c r="G131" t="s">
        <v>2172</v>
      </c>
      <c r="H131" s="1">
        <v>44748</v>
      </c>
    </row>
    <row r="132" spans="1:8" x14ac:dyDescent="0.25">
      <c r="A132" t="s">
        <v>399</v>
      </c>
      <c r="B132" t="s">
        <v>2253</v>
      </c>
      <c r="C132" t="s">
        <v>401</v>
      </c>
      <c r="D132" t="s">
        <v>2133</v>
      </c>
      <c r="E132" t="s">
        <v>2134</v>
      </c>
      <c r="F132">
        <v>10500000</v>
      </c>
      <c r="G132" t="s">
        <v>2153</v>
      </c>
      <c r="H132" s="1">
        <v>43958</v>
      </c>
    </row>
    <row r="133" spans="1:8" x14ac:dyDescent="0.25">
      <c r="A133" t="s">
        <v>402</v>
      </c>
      <c r="B133" t="s">
        <v>2254</v>
      </c>
      <c r="C133" t="s">
        <v>403</v>
      </c>
      <c r="D133" t="s">
        <v>2144</v>
      </c>
      <c r="E133" t="s">
        <v>2124</v>
      </c>
      <c r="F133">
        <v>6500000</v>
      </c>
      <c r="G133" t="s">
        <v>2170</v>
      </c>
      <c r="H133" s="1">
        <v>44141</v>
      </c>
    </row>
    <row r="134" spans="1:8" x14ac:dyDescent="0.25">
      <c r="A134" t="s">
        <v>404</v>
      </c>
      <c r="B134" t="s">
        <v>2185</v>
      </c>
      <c r="C134" t="s">
        <v>405</v>
      </c>
      <c r="D134" t="s">
        <v>2144</v>
      </c>
      <c r="E134" t="s">
        <v>2124</v>
      </c>
      <c r="F134">
        <v>5500000</v>
      </c>
      <c r="G134" t="s">
        <v>2201</v>
      </c>
      <c r="H134" s="1">
        <v>45247</v>
      </c>
    </row>
    <row r="135" spans="1:8" x14ac:dyDescent="0.25">
      <c r="A135" t="s">
        <v>406</v>
      </c>
      <c r="B135" t="s">
        <v>2223</v>
      </c>
      <c r="C135" t="s">
        <v>407</v>
      </c>
      <c r="D135" t="s">
        <v>2119</v>
      </c>
      <c r="E135" t="s">
        <v>2134</v>
      </c>
      <c r="F135">
        <v>5500000</v>
      </c>
      <c r="G135" t="s">
        <v>2125</v>
      </c>
      <c r="H135" s="1">
        <v>44202</v>
      </c>
    </row>
    <row r="136" spans="1:8" x14ac:dyDescent="0.25">
      <c r="A136" t="s">
        <v>408</v>
      </c>
      <c r="B136" t="s">
        <v>2209</v>
      </c>
      <c r="C136" t="s">
        <v>409</v>
      </c>
      <c r="D136" t="s">
        <v>14</v>
      </c>
      <c r="E136" t="s">
        <v>2134</v>
      </c>
      <c r="F136">
        <v>8000000</v>
      </c>
      <c r="G136" t="s">
        <v>2198</v>
      </c>
      <c r="H136" s="1">
        <v>44594</v>
      </c>
    </row>
    <row r="137" spans="1:8" x14ac:dyDescent="0.25">
      <c r="A137" t="s">
        <v>410</v>
      </c>
      <c r="B137" t="s">
        <v>2224</v>
      </c>
      <c r="C137" t="s">
        <v>411</v>
      </c>
      <c r="D137" t="s">
        <v>2144</v>
      </c>
      <c r="E137" t="s">
        <v>2124</v>
      </c>
      <c r="F137">
        <v>13000000</v>
      </c>
      <c r="G137" t="s">
        <v>2131</v>
      </c>
      <c r="H137" s="1">
        <v>45287</v>
      </c>
    </row>
    <row r="138" spans="1:8" x14ac:dyDescent="0.25">
      <c r="A138" t="s">
        <v>412</v>
      </c>
      <c r="B138" t="s">
        <v>2185</v>
      </c>
      <c r="C138" t="s">
        <v>413</v>
      </c>
      <c r="D138" t="s">
        <v>2144</v>
      </c>
      <c r="E138" t="s">
        <v>2124</v>
      </c>
      <c r="F138">
        <v>13000000</v>
      </c>
      <c r="G138" t="s">
        <v>2138</v>
      </c>
      <c r="H138" s="1">
        <v>44988</v>
      </c>
    </row>
    <row r="139" spans="1:8" x14ac:dyDescent="0.25">
      <c r="A139" t="s">
        <v>414</v>
      </c>
      <c r="B139" t="s">
        <v>2217</v>
      </c>
      <c r="C139" t="s">
        <v>415</v>
      </c>
      <c r="D139" t="s">
        <v>2123</v>
      </c>
      <c r="E139" t="s">
        <v>2149</v>
      </c>
      <c r="F139">
        <v>10500000</v>
      </c>
      <c r="G139" t="s">
        <v>2182</v>
      </c>
      <c r="H139" s="1">
        <v>44039</v>
      </c>
    </row>
    <row r="140" spans="1:8" x14ac:dyDescent="0.25">
      <c r="A140" t="s">
        <v>416</v>
      </c>
      <c r="B140" t="s">
        <v>2255</v>
      </c>
      <c r="C140" t="s">
        <v>417</v>
      </c>
      <c r="D140" t="s">
        <v>2133</v>
      </c>
      <c r="E140" t="s">
        <v>2149</v>
      </c>
      <c r="F140">
        <v>10500000</v>
      </c>
      <c r="G140" t="s">
        <v>2168</v>
      </c>
      <c r="H140" s="1">
        <v>45761</v>
      </c>
    </row>
    <row r="141" spans="1:8" x14ac:dyDescent="0.25">
      <c r="A141" t="s">
        <v>418</v>
      </c>
      <c r="B141" t="s">
        <v>2199</v>
      </c>
      <c r="C141" t="s">
        <v>419</v>
      </c>
      <c r="D141" t="s">
        <v>23</v>
      </c>
      <c r="E141" t="s">
        <v>2120</v>
      </c>
      <c r="F141">
        <v>5500000</v>
      </c>
      <c r="G141" t="s">
        <v>2157</v>
      </c>
      <c r="H141" s="1">
        <v>45999</v>
      </c>
    </row>
    <row r="142" spans="1:8" x14ac:dyDescent="0.25">
      <c r="A142" t="s">
        <v>25</v>
      </c>
      <c r="B142" t="s">
        <v>2256</v>
      </c>
      <c r="C142" t="s">
        <v>29</v>
      </c>
      <c r="D142" t="s">
        <v>2119</v>
      </c>
      <c r="E142" t="s">
        <v>2149</v>
      </c>
      <c r="F142">
        <v>10500000</v>
      </c>
      <c r="G142" t="s">
        <v>2153</v>
      </c>
      <c r="H142" s="1">
        <v>44639</v>
      </c>
    </row>
    <row r="143" spans="1:8" x14ac:dyDescent="0.25">
      <c r="A143" t="s">
        <v>420</v>
      </c>
      <c r="B143" t="s">
        <v>2205</v>
      </c>
      <c r="C143" t="s">
        <v>421</v>
      </c>
      <c r="D143" t="s">
        <v>2137</v>
      </c>
      <c r="E143" t="s">
        <v>2134</v>
      </c>
      <c r="F143">
        <v>13000000</v>
      </c>
      <c r="G143" t="s">
        <v>2138</v>
      </c>
      <c r="H143" s="1">
        <v>44153</v>
      </c>
    </row>
    <row r="144" spans="1:8" x14ac:dyDescent="0.25">
      <c r="A144" t="s">
        <v>422</v>
      </c>
      <c r="B144" t="s">
        <v>2143</v>
      </c>
      <c r="C144" t="s">
        <v>423</v>
      </c>
      <c r="D144" t="s">
        <v>2144</v>
      </c>
      <c r="E144" t="s">
        <v>2130</v>
      </c>
      <c r="F144">
        <v>5500000</v>
      </c>
      <c r="G144" t="s">
        <v>2154</v>
      </c>
      <c r="H144" s="1">
        <v>44927</v>
      </c>
    </row>
    <row r="145" spans="1:8" x14ac:dyDescent="0.25">
      <c r="A145" t="s">
        <v>424</v>
      </c>
      <c r="B145" t="s">
        <v>2257</v>
      </c>
      <c r="C145" t="s">
        <v>426</v>
      </c>
      <c r="D145" t="s">
        <v>2137</v>
      </c>
      <c r="E145" t="s">
        <v>2130</v>
      </c>
      <c r="F145">
        <v>13000000</v>
      </c>
      <c r="G145" t="s">
        <v>2157</v>
      </c>
      <c r="H145" s="1">
        <v>45963</v>
      </c>
    </row>
    <row r="146" spans="1:8" x14ac:dyDescent="0.25">
      <c r="A146" t="s">
        <v>427</v>
      </c>
      <c r="B146" t="s">
        <v>2128</v>
      </c>
      <c r="C146" t="s">
        <v>428</v>
      </c>
      <c r="D146" t="s">
        <v>2119</v>
      </c>
      <c r="E146" t="s">
        <v>2120</v>
      </c>
      <c r="F146">
        <v>13000000</v>
      </c>
      <c r="G146" t="s">
        <v>2219</v>
      </c>
      <c r="H146" s="1">
        <v>44258</v>
      </c>
    </row>
    <row r="147" spans="1:8" x14ac:dyDescent="0.25">
      <c r="A147" t="s">
        <v>429</v>
      </c>
      <c r="B147" t="s">
        <v>2258</v>
      </c>
      <c r="C147" t="s">
        <v>431</v>
      </c>
      <c r="D147" t="s">
        <v>2123</v>
      </c>
      <c r="E147" t="s">
        <v>2124</v>
      </c>
      <c r="F147">
        <v>13000000</v>
      </c>
      <c r="G147" t="s">
        <v>2154</v>
      </c>
      <c r="H147" s="1">
        <v>45418</v>
      </c>
    </row>
    <row r="148" spans="1:8" x14ac:dyDescent="0.25">
      <c r="A148" t="s">
        <v>432</v>
      </c>
      <c r="B148" t="s">
        <v>2189</v>
      </c>
      <c r="C148" t="s">
        <v>433</v>
      </c>
      <c r="D148" t="s">
        <v>2137</v>
      </c>
      <c r="E148" t="s">
        <v>2124</v>
      </c>
      <c r="F148">
        <v>6500000</v>
      </c>
      <c r="G148" t="s">
        <v>2138</v>
      </c>
      <c r="H148" s="1">
        <v>44390</v>
      </c>
    </row>
    <row r="149" spans="1:8" x14ac:dyDescent="0.25">
      <c r="A149" t="s">
        <v>434</v>
      </c>
      <c r="B149" t="s">
        <v>2171</v>
      </c>
      <c r="C149" t="s">
        <v>435</v>
      </c>
      <c r="D149" t="s">
        <v>2137</v>
      </c>
      <c r="E149" t="s">
        <v>2120</v>
      </c>
      <c r="F149">
        <v>5500000</v>
      </c>
      <c r="G149" t="s">
        <v>2140</v>
      </c>
      <c r="H149" s="1">
        <v>43903</v>
      </c>
    </row>
    <row r="150" spans="1:8" x14ac:dyDescent="0.25">
      <c r="A150" t="s">
        <v>436</v>
      </c>
      <c r="B150" t="s">
        <v>2217</v>
      </c>
      <c r="C150" t="s">
        <v>437</v>
      </c>
      <c r="D150" t="s">
        <v>2123</v>
      </c>
      <c r="E150" t="s">
        <v>2134</v>
      </c>
      <c r="F150">
        <v>8000000</v>
      </c>
      <c r="G150" t="s">
        <v>2138</v>
      </c>
      <c r="H150" s="1">
        <v>45618</v>
      </c>
    </row>
    <row r="151" spans="1:8" x14ac:dyDescent="0.25">
      <c r="A151" t="s">
        <v>438</v>
      </c>
      <c r="B151" t="s">
        <v>2259</v>
      </c>
      <c r="C151" t="s">
        <v>440</v>
      </c>
      <c r="D151" t="s">
        <v>2129</v>
      </c>
      <c r="E151" t="s">
        <v>2134</v>
      </c>
      <c r="F151">
        <v>6500000</v>
      </c>
      <c r="G151" t="s">
        <v>2142</v>
      </c>
      <c r="H151" s="1">
        <v>44454</v>
      </c>
    </row>
    <row r="152" spans="1:8" x14ac:dyDescent="0.25">
      <c r="A152" t="s">
        <v>441</v>
      </c>
      <c r="B152" t="s">
        <v>2185</v>
      </c>
      <c r="C152" t="s">
        <v>442</v>
      </c>
      <c r="D152" t="s">
        <v>2129</v>
      </c>
      <c r="E152" t="s">
        <v>2124</v>
      </c>
      <c r="F152">
        <v>13000000</v>
      </c>
      <c r="G152" t="s">
        <v>2127</v>
      </c>
      <c r="H152" s="1">
        <v>45135</v>
      </c>
    </row>
    <row r="153" spans="1:8" x14ac:dyDescent="0.25">
      <c r="A153" t="s">
        <v>443</v>
      </c>
      <c r="B153" t="s">
        <v>2260</v>
      </c>
      <c r="C153" t="s">
        <v>445</v>
      </c>
      <c r="D153" t="s">
        <v>14</v>
      </c>
      <c r="E153" t="s">
        <v>2130</v>
      </c>
      <c r="F153">
        <v>10500000</v>
      </c>
      <c r="G153" t="s">
        <v>2188</v>
      </c>
      <c r="H153" s="1">
        <v>44922</v>
      </c>
    </row>
    <row r="154" spans="1:8" x14ac:dyDescent="0.25">
      <c r="A154" t="s">
        <v>446</v>
      </c>
      <c r="B154" t="s">
        <v>2261</v>
      </c>
      <c r="C154" t="s">
        <v>448</v>
      </c>
      <c r="D154" t="s">
        <v>2144</v>
      </c>
      <c r="E154" t="s">
        <v>2124</v>
      </c>
      <c r="F154">
        <v>13000000</v>
      </c>
      <c r="G154" t="s">
        <v>2204</v>
      </c>
      <c r="H154" s="1">
        <v>45813</v>
      </c>
    </row>
    <row r="155" spans="1:8" x14ac:dyDescent="0.25">
      <c r="A155" t="s">
        <v>449</v>
      </c>
      <c r="B155" t="s">
        <v>2262</v>
      </c>
      <c r="C155" t="s">
        <v>451</v>
      </c>
      <c r="D155" t="s">
        <v>33</v>
      </c>
      <c r="E155" t="s">
        <v>2149</v>
      </c>
      <c r="F155">
        <v>8000000</v>
      </c>
      <c r="G155" t="s">
        <v>2121</v>
      </c>
      <c r="H155" s="1">
        <v>44907</v>
      </c>
    </row>
    <row r="156" spans="1:8" x14ac:dyDescent="0.25">
      <c r="A156" t="s">
        <v>452</v>
      </c>
      <c r="B156" t="s">
        <v>2162</v>
      </c>
      <c r="C156" t="s">
        <v>453</v>
      </c>
      <c r="D156" t="s">
        <v>23</v>
      </c>
      <c r="E156" t="s">
        <v>2130</v>
      </c>
      <c r="F156">
        <v>13000000</v>
      </c>
      <c r="G156" t="s">
        <v>2184</v>
      </c>
      <c r="H156" s="1">
        <v>44855</v>
      </c>
    </row>
    <row r="157" spans="1:8" x14ac:dyDescent="0.25">
      <c r="A157" t="s">
        <v>454</v>
      </c>
      <c r="B157" t="s">
        <v>2162</v>
      </c>
      <c r="C157" t="s">
        <v>455</v>
      </c>
      <c r="D157" t="s">
        <v>2144</v>
      </c>
      <c r="E157" t="s">
        <v>2130</v>
      </c>
      <c r="F157">
        <v>5500000</v>
      </c>
      <c r="G157" t="s">
        <v>2191</v>
      </c>
      <c r="H157" s="1">
        <v>44204</v>
      </c>
    </row>
    <row r="158" spans="1:8" x14ac:dyDescent="0.25">
      <c r="A158" t="s">
        <v>456</v>
      </c>
      <c r="B158" t="s">
        <v>2263</v>
      </c>
      <c r="C158" t="s">
        <v>458</v>
      </c>
      <c r="D158" t="s">
        <v>2123</v>
      </c>
      <c r="E158" t="s">
        <v>2149</v>
      </c>
      <c r="F158">
        <v>8000000</v>
      </c>
      <c r="G158" t="s">
        <v>2196</v>
      </c>
      <c r="H158" s="1">
        <v>44093</v>
      </c>
    </row>
    <row r="159" spans="1:8" x14ac:dyDescent="0.25">
      <c r="A159" t="s">
        <v>131</v>
      </c>
      <c r="B159" t="s">
        <v>2166</v>
      </c>
      <c r="C159" t="s">
        <v>133</v>
      </c>
      <c r="D159" t="s">
        <v>2119</v>
      </c>
      <c r="E159" t="s">
        <v>2124</v>
      </c>
      <c r="F159">
        <v>6500000</v>
      </c>
      <c r="G159" t="s">
        <v>2168</v>
      </c>
      <c r="H159" s="1">
        <v>45547</v>
      </c>
    </row>
    <row r="160" spans="1:8" x14ac:dyDescent="0.25">
      <c r="A160" t="s">
        <v>459</v>
      </c>
      <c r="B160" t="s">
        <v>2194</v>
      </c>
      <c r="C160" t="s">
        <v>460</v>
      </c>
      <c r="D160" t="s">
        <v>37</v>
      </c>
      <c r="E160" t="s">
        <v>2120</v>
      </c>
      <c r="F160">
        <v>6500000</v>
      </c>
      <c r="G160" t="s">
        <v>2168</v>
      </c>
      <c r="H160" s="1">
        <v>45981</v>
      </c>
    </row>
    <row r="161" spans="1:8" x14ac:dyDescent="0.25">
      <c r="A161" t="s">
        <v>461</v>
      </c>
      <c r="B161" t="s">
        <v>2225</v>
      </c>
      <c r="C161" t="s">
        <v>462</v>
      </c>
      <c r="D161" t="s">
        <v>42</v>
      </c>
      <c r="E161" t="s">
        <v>2120</v>
      </c>
      <c r="F161">
        <v>5500000</v>
      </c>
      <c r="G161" t="s">
        <v>2165</v>
      </c>
      <c r="H161" s="1">
        <v>45437</v>
      </c>
    </row>
    <row r="162" spans="1:8" x14ac:dyDescent="0.25">
      <c r="A162" t="s">
        <v>463</v>
      </c>
      <c r="B162" t="s">
        <v>2264</v>
      </c>
      <c r="C162" t="s">
        <v>465</v>
      </c>
      <c r="D162" t="s">
        <v>2119</v>
      </c>
      <c r="E162" t="s">
        <v>2124</v>
      </c>
      <c r="F162">
        <v>6500000</v>
      </c>
      <c r="G162" t="s">
        <v>2246</v>
      </c>
      <c r="H162" s="1">
        <v>43957</v>
      </c>
    </row>
    <row r="163" spans="1:8" x14ac:dyDescent="0.25">
      <c r="A163" t="s">
        <v>466</v>
      </c>
      <c r="B163" t="s">
        <v>2143</v>
      </c>
      <c r="C163" t="s">
        <v>467</v>
      </c>
      <c r="D163" t="s">
        <v>2133</v>
      </c>
      <c r="E163" t="s">
        <v>2120</v>
      </c>
      <c r="F163">
        <v>6500000</v>
      </c>
      <c r="G163" t="s">
        <v>2265</v>
      </c>
      <c r="H163" s="1">
        <v>45480</v>
      </c>
    </row>
    <row r="164" spans="1:8" x14ac:dyDescent="0.25">
      <c r="A164" t="s">
        <v>468</v>
      </c>
      <c r="B164" t="s">
        <v>2214</v>
      </c>
      <c r="C164" t="s">
        <v>469</v>
      </c>
      <c r="D164" t="s">
        <v>2144</v>
      </c>
      <c r="E164" t="s">
        <v>2120</v>
      </c>
      <c r="F164">
        <v>5500000</v>
      </c>
      <c r="G164" t="s">
        <v>2121</v>
      </c>
      <c r="H164" s="1">
        <v>45652</v>
      </c>
    </row>
    <row r="165" spans="1:8" x14ac:dyDescent="0.25">
      <c r="A165" t="s">
        <v>470</v>
      </c>
      <c r="B165" t="s">
        <v>2249</v>
      </c>
      <c r="C165" t="s">
        <v>471</v>
      </c>
      <c r="D165" t="s">
        <v>2133</v>
      </c>
      <c r="E165" t="s">
        <v>2120</v>
      </c>
      <c r="F165">
        <v>10500000</v>
      </c>
      <c r="G165" t="s">
        <v>2227</v>
      </c>
      <c r="H165" s="1">
        <v>44162</v>
      </c>
    </row>
    <row r="166" spans="1:8" x14ac:dyDescent="0.25">
      <c r="A166" t="s">
        <v>472</v>
      </c>
      <c r="B166" t="s">
        <v>2189</v>
      </c>
      <c r="C166" t="s">
        <v>473</v>
      </c>
      <c r="D166" t="s">
        <v>2133</v>
      </c>
      <c r="E166" t="s">
        <v>2120</v>
      </c>
      <c r="F166">
        <v>5500000</v>
      </c>
      <c r="G166" t="s">
        <v>2196</v>
      </c>
      <c r="H166" s="1">
        <v>44576</v>
      </c>
    </row>
    <row r="167" spans="1:8" x14ac:dyDescent="0.25">
      <c r="A167" t="s">
        <v>474</v>
      </c>
      <c r="B167" t="s">
        <v>2187</v>
      </c>
      <c r="C167" t="s">
        <v>475</v>
      </c>
      <c r="D167" t="s">
        <v>2133</v>
      </c>
      <c r="E167" t="s">
        <v>2149</v>
      </c>
      <c r="F167">
        <v>13000000</v>
      </c>
      <c r="G167" t="s">
        <v>2219</v>
      </c>
      <c r="H167" s="1">
        <v>43838</v>
      </c>
    </row>
    <row r="168" spans="1:8" x14ac:dyDescent="0.25">
      <c r="A168" t="s">
        <v>476</v>
      </c>
      <c r="B168" t="s">
        <v>2158</v>
      </c>
      <c r="C168" t="s">
        <v>477</v>
      </c>
      <c r="D168" t="s">
        <v>2137</v>
      </c>
      <c r="E168" t="s">
        <v>2149</v>
      </c>
      <c r="F168">
        <v>8000000</v>
      </c>
      <c r="G168" t="s">
        <v>2266</v>
      </c>
      <c r="H168" s="1">
        <v>45897</v>
      </c>
    </row>
    <row r="169" spans="1:8" x14ac:dyDescent="0.25">
      <c r="A169" t="s">
        <v>65</v>
      </c>
      <c r="B169" t="s">
        <v>2174</v>
      </c>
      <c r="C169" t="s">
        <v>69</v>
      </c>
      <c r="D169" t="s">
        <v>2123</v>
      </c>
      <c r="E169" t="s">
        <v>2120</v>
      </c>
      <c r="F169">
        <v>13000000</v>
      </c>
      <c r="G169" t="s">
        <v>2145</v>
      </c>
      <c r="H169" s="1">
        <v>44999</v>
      </c>
    </row>
    <row r="170" spans="1:8" x14ac:dyDescent="0.25">
      <c r="A170" t="s">
        <v>478</v>
      </c>
      <c r="B170" t="s">
        <v>2220</v>
      </c>
      <c r="C170" t="s">
        <v>479</v>
      </c>
      <c r="D170" t="s">
        <v>2119</v>
      </c>
      <c r="E170" t="s">
        <v>2149</v>
      </c>
      <c r="F170">
        <v>8000000</v>
      </c>
      <c r="G170" t="s">
        <v>2138</v>
      </c>
      <c r="H170" s="1">
        <v>44740</v>
      </c>
    </row>
    <row r="171" spans="1:8" x14ac:dyDescent="0.25">
      <c r="A171" t="s">
        <v>480</v>
      </c>
      <c r="B171" t="s">
        <v>2267</v>
      </c>
      <c r="C171" t="s">
        <v>481</v>
      </c>
      <c r="D171" t="s">
        <v>2133</v>
      </c>
      <c r="E171" t="s">
        <v>2124</v>
      </c>
      <c r="F171">
        <v>13000000</v>
      </c>
      <c r="G171" t="s">
        <v>2127</v>
      </c>
      <c r="H171" s="1">
        <v>44308</v>
      </c>
    </row>
    <row r="172" spans="1:8" x14ac:dyDescent="0.25">
      <c r="A172" t="s">
        <v>482</v>
      </c>
      <c r="B172" t="s">
        <v>2268</v>
      </c>
      <c r="C172" t="s">
        <v>484</v>
      </c>
      <c r="D172" t="s">
        <v>2129</v>
      </c>
      <c r="E172" t="s">
        <v>2130</v>
      </c>
      <c r="F172">
        <v>13000000</v>
      </c>
      <c r="G172" t="s">
        <v>2239</v>
      </c>
      <c r="H172" s="1">
        <v>45572</v>
      </c>
    </row>
    <row r="173" spans="1:8" x14ac:dyDescent="0.25">
      <c r="A173" t="s">
        <v>485</v>
      </c>
      <c r="B173" t="s">
        <v>2257</v>
      </c>
      <c r="C173" t="s">
        <v>486</v>
      </c>
      <c r="D173" t="s">
        <v>2123</v>
      </c>
      <c r="E173" t="s">
        <v>2149</v>
      </c>
      <c r="F173">
        <v>10500000</v>
      </c>
      <c r="G173" t="s">
        <v>2163</v>
      </c>
      <c r="H173" s="1">
        <v>44807</v>
      </c>
    </row>
    <row r="174" spans="1:8" x14ac:dyDescent="0.25">
      <c r="A174" t="s">
        <v>487</v>
      </c>
      <c r="B174" t="s">
        <v>2261</v>
      </c>
      <c r="C174" t="s">
        <v>488</v>
      </c>
      <c r="D174" t="s">
        <v>2123</v>
      </c>
      <c r="E174" t="s">
        <v>2134</v>
      </c>
      <c r="F174">
        <v>5500000</v>
      </c>
      <c r="G174" t="s">
        <v>2196</v>
      </c>
      <c r="H174" s="1">
        <v>45986</v>
      </c>
    </row>
    <row r="175" spans="1:8" x14ac:dyDescent="0.25">
      <c r="A175" t="s">
        <v>489</v>
      </c>
      <c r="B175" t="s">
        <v>2269</v>
      </c>
      <c r="C175" t="s">
        <v>490</v>
      </c>
      <c r="D175" t="s">
        <v>2129</v>
      </c>
      <c r="E175" t="s">
        <v>2149</v>
      </c>
      <c r="F175">
        <v>10500000</v>
      </c>
      <c r="G175" t="s">
        <v>2203</v>
      </c>
      <c r="H175" s="1">
        <v>44953</v>
      </c>
    </row>
    <row r="176" spans="1:8" x14ac:dyDescent="0.25">
      <c r="A176" t="s">
        <v>491</v>
      </c>
      <c r="B176" t="s">
        <v>2270</v>
      </c>
      <c r="C176" t="s">
        <v>493</v>
      </c>
      <c r="D176" t="s">
        <v>2129</v>
      </c>
      <c r="E176" t="s">
        <v>2149</v>
      </c>
      <c r="F176">
        <v>8000000</v>
      </c>
      <c r="G176" t="s">
        <v>2271</v>
      </c>
      <c r="H176" s="1">
        <v>44357</v>
      </c>
    </row>
    <row r="177" spans="1:8" x14ac:dyDescent="0.25">
      <c r="A177" t="s">
        <v>494</v>
      </c>
      <c r="B177" t="s">
        <v>2272</v>
      </c>
      <c r="C177" t="s">
        <v>495</v>
      </c>
      <c r="D177" t="s">
        <v>2123</v>
      </c>
      <c r="E177" t="s">
        <v>2134</v>
      </c>
      <c r="F177">
        <v>8000000</v>
      </c>
      <c r="G177" t="s">
        <v>2250</v>
      </c>
      <c r="H177" s="1">
        <v>44158</v>
      </c>
    </row>
    <row r="178" spans="1:8" x14ac:dyDescent="0.25">
      <c r="A178" t="s">
        <v>496</v>
      </c>
      <c r="B178" t="s">
        <v>2258</v>
      </c>
      <c r="C178" t="s">
        <v>497</v>
      </c>
      <c r="D178" t="s">
        <v>2133</v>
      </c>
      <c r="E178" t="s">
        <v>2124</v>
      </c>
      <c r="F178">
        <v>10500000</v>
      </c>
      <c r="G178" t="s">
        <v>2121</v>
      </c>
      <c r="H178" s="1">
        <v>44850</v>
      </c>
    </row>
    <row r="179" spans="1:8" x14ac:dyDescent="0.25">
      <c r="A179" t="s">
        <v>498</v>
      </c>
      <c r="B179" t="s">
        <v>2259</v>
      </c>
      <c r="C179" t="s">
        <v>499</v>
      </c>
      <c r="D179" t="s">
        <v>2123</v>
      </c>
      <c r="E179" t="s">
        <v>2149</v>
      </c>
      <c r="F179">
        <v>13000000</v>
      </c>
      <c r="G179" t="s">
        <v>2184</v>
      </c>
      <c r="H179" s="1">
        <v>44369</v>
      </c>
    </row>
    <row r="180" spans="1:8" x14ac:dyDescent="0.25">
      <c r="A180" t="s">
        <v>500</v>
      </c>
      <c r="B180" t="s">
        <v>2199</v>
      </c>
      <c r="C180" t="s">
        <v>501</v>
      </c>
      <c r="D180" t="s">
        <v>37</v>
      </c>
      <c r="E180" t="s">
        <v>2134</v>
      </c>
      <c r="F180">
        <v>6500000</v>
      </c>
      <c r="G180" t="s">
        <v>2142</v>
      </c>
      <c r="H180" s="1">
        <v>45001</v>
      </c>
    </row>
    <row r="181" spans="1:8" x14ac:dyDescent="0.25">
      <c r="A181" t="s">
        <v>502</v>
      </c>
      <c r="B181" t="s">
        <v>2255</v>
      </c>
      <c r="C181" t="s">
        <v>503</v>
      </c>
      <c r="D181" t="s">
        <v>2133</v>
      </c>
      <c r="E181" t="s">
        <v>2124</v>
      </c>
      <c r="F181">
        <v>10500000</v>
      </c>
      <c r="G181" t="s">
        <v>2154</v>
      </c>
      <c r="H181" s="1">
        <v>45010</v>
      </c>
    </row>
    <row r="182" spans="1:8" x14ac:dyDescent="0.25">
      <c r="A182" t="s">
        <v>504</v>
      </c>
      <c r="B182" t="s">
        <v>2176</v>
      </c>
      <c r="C182" t="s">
        <v>505</v>
      </c>
      <c r="D182" t="s">
        <v>2119</v>
      </c>
      <c r="E182" t="s">
        <v>2149</v>
      </c>
      <c r="F182">
        <v>8000000</v>
      </c>
      <c r="G182" t="s">
        <v>2151</v>
      </c>
      <c r="H182" s="1">
        <v>43835</v>
      </c>
    </row>
    <row r="183" spans="1:8" x14ac:dyDescent="0.25">
      <c r="A183" t="s">
        <v>506</v>
      </c>
      <c r="B183" t="s">
        <v>2273</v>
      </c>
      <c r="C183" t="s">
        <v>508</v>
      </c>
      <c r="D183" t="s">
        <v>2119</v>
      </c>
      <c r="E183" t="s">
        <v>2130</v>
      </c>
      <c r="F183">
        <v>5500000</v>
      </c>
      <c r="G183" t="s">
        <v>2191</v>
      </c>
      <c r="H183" s="1">
        <v>45170</v>
      </c>
    </row>
    <row r="184" spans="1:8" x14ac:dyDescent="0.25">
      <c r="A184" t="s">
        <v>509</v>
      </c>
      <c r="B184" t="s">
        <v>2274</v>
      </c>
      <c r="C184" t="s">
        <v>510</v>
      </c>
      <c r="D184" t="s">
        <v>2137</v>
      </c>
      <c r="E184" t="s">
        <v>2124</v>
      </c>
      <c r="F184">
        <v>13000000</v>
      </c>
      <c r="G184" t="s">
        <v>2142</v>
      </c>
      <c r="H184" s="1">
        <v>45459</v>
      </c>
    </row>
    <row r="185" spans="1:8" x14ac:dyDescent="0.25">
      <c r="A185" t="s">
        <v>511</v>
      </c>
      <c r="B185" t="s">
        <v>2205</v>
      </c>
      <c r="C185" t="s">
        <v>512</v>
      </c>
      <c r="D185" t="s">
        <v>2119</v>
      </c>
      <c r="E185" t="s">
        <v>2130</v>
      </c>
      <c r="F185">
        <v>6500000</v>
      </c>
      <c r="G185" t="s">
        <v>2165</v>
      </c>
      <c r="H185" s="1">
        <v>44183</v>
      </c>
    </row>
    <row r="186" spans="1:8" x14ac:dyDescent="0.25">
      <c r="A186" t="s">
        <v>513</v>
      </c>
      <c r="B186" t="s">
        <v>2183</v>
      </c>
      <c r="C186" t="s">
        <v>514</v>
      </c>
      <c r="D186" t="s">
        <v>2123</v>
      </c>
      <c r="E186" t="s">
        <v>2149</v>
      </c>
      <c r="F186">
        <v>6500000</v>
      </c>
      <c r="G186" t="s">
        <v>2145</v>
      </c>
      <c r="H186" s="1">
        <v>43883</v>
      </c>
    </row>
    <row r="187" spans="1:8" x14ac:dyDescent="0.25">
      <c r="A187" t="s">
        <v>515</v>
      </c>
      <c r="B187" t="s">
        <v>2212</v>
      </c>
      <c r="C187" t="s">
        <v>516</v>
      </c>
      <c r="D187" t="s">
        <v>2144</v>
      </c>
      <c r="E187" t="s">
        <v>2124</v>
      </c>
      <c r="F187">
        <v>6500000</v>
      </c>
      <c r="G187" t="s">
        <v>2121</v>
      </c>
      <c r="H187" s="1">
        <v>45032</v>
      </c>
    </row>
    <row r="188" spans="1:8" x14ac:dyDescent="0.25">
      <c r="A188" t="s">
        <v>517</v>
      </c>
      <c r="B188" t="s">
        <v>2162</v>
      </c>
      <c r="C188" t="s">
        <v>518</v>
      </c>
      <c r="D188" t="s">
        <v>2129</v>
      </c>
      <c r="E188" t="s">
        <v>2124</v>
      </c>
      <c r="F188">
        <v>8000000</v>
      </c>
      <c r="G188" t="s">
        <v>2271</v>
      </c>
      <c r="H188" s="1">
        <v>45712</v>
      </c>
    </row>
    <row r="189" spans="1:8" x14ac:dyDescent="0.25">
      <c r="A189" t="s">
        <v>519</v>
      </c>
      <c r="B189" t="s">
        <v>2199</v>
      </c>
      <c r="C189" t="s">
        <v>520</v>
      </c>
      <c r="D189" t="s">
        <v>2123</v>
      </c>
      <c r="E189" t="s">
        <v>2134</v>
      </c>
      <c r="F189">
        <v>10500000</v>
      </c>
      <c r="G189" t="s">
        <v>2210</v>
      </c>
      <c r="H189" s="1">
        <v>45723</v>
      </c>
    </row>
    <row r="190" spans="1:8" x14ac:dyDescent="0.25">
      <c r="A190" t="s">
        <v>521</v>
      </c>
      <c r="B190" t="s">
        <v>2275</v>
      </c>
      <c r="C190" t="s">
        <v>523</v>
      </c>
      <c r="D190" t="s">
        <v>2119</v>
      </c>
      <c r="E190" t="s">
        <v>2134</v>
      </c>
      <c r="F190">
        <v>8000000</v>
      </c>
      <c r="G190" t="s">
        <v>2121</v>
      </c>
      <c r="H190" s="1">
        <v>44340</v>
      </c>
    </row>
    <row r="191" spans="1:8" x14ac:dyDescent="0.25">
      <c r="A191" t="s">
        <v>524</v>
      </c>
      <c r="B191" t="s">
        <v>2197</v>
      </c>
      <c r="C191" t="s">
        <v>525</v>
      </c>
      <c r="D191" t="s">
        <v>2144</v>
      </c>
      <c r="E191" t="s">
        <v>2120</v>
      </c>
      <c r="F191">
        <v>8000000</v>
      </c>
      <c r="G191" t="s">
        <v>2125</v>
      </c>
      <c r="H191" s="1">
        <v>45820</v>
      </c>
    </row>
    <row r="192" spans="1:8" x14ac:dyDescent="0.25">
      <c r="A192" t="s">
        <v>526</v>
      </c>
      <c r="B192" t="s">
        <v>2276</v>
      </c>
      <c r="C192" t="s">
        <v>527</v>
      </c>
      <c r="D192" t="s">
        <v>42</v>
      </c>
      <c r="E192" t="s">
        <v>2124</v>
      </c>
      <c r="F192">
        <v>10500000</v>
      </c>
      <c r="G192" t="s">
        <v>2175</v>
      </c>
      <c r="H192" s="1">
        <v>45583</v>
      </c>
    </row>
    <row r="193" spans="1:8" x14ac:dyDescent="0.25">
      <c r="A193" t="s">
        <v>528</v>
      </c>
      <c r="B193" t="s">
        <v>2264</v>
      </c>
      <c r="C193" t="s">
        <v>529</v>
      </c>
      <c r="D193" t="s">
        <v>23</v>
      </c>
      <c r="E193" t="s">
        <v>2149</v>
      </c>
      <c r="F193">
        <v>8000000</v>
      </c>
      <c r="G193" t="s">
        <v>2277</v>
      </c>
      <c r="H193" s="1">
        <v>45988</v>
      </c>
    </row>
    <row r="194" spans="1:8" x14ac:dyDescent="0.25">
      <c r="A194" t="s">
        <v>530</v>
      </c>
      <c r="B194" t="s">
        <v>2267</v>
      </c>
      <c r="C194" t="s">
        <v>531</v>
      </c>
      <c r="D194" t="s">
        <v>2137</v>
      </c>
      <c r="E194" t="s">
        <v>2120</v>
      </c>
      <c r="F194">
        <v>10500000</v>
      </c>
      <c r="G194" t="s">
        <v>2188</v>
      </c>
      <c r="H194" s="1">
        <v>45974</v>
      </c>
    </row>
    <row r="195" spans="1:8" x14ac:dyDescent="0.25">
      <c r="A195" t="s">
        <v>532</v>
      </c>
      <c r="B195" t="s">
        <v>2278</v>
      </c>
      <c r="C195" t="s">
        <v>533</v>
      </c>
      <c r="D195" t="s">
        <v>2137</v>
      </c>
      <c r="E195" t="s">
        <v>2149</v>
      </c>
      <c r="F195">
        <v>5500000</v>
      </c>
      <c r="G195" t="s">
        <v>2240</v>
      </c>
      <c r="H195" s="1">
        <v>45528</v>
      </c>
    </row>
    <row r="196" spans="1:8" x14ac:dyDescent="0.25">
      <c r="A196" t="s">
        <v>534</v>
      </c>
      <c r="B196" t="s">
        <v>2268</v>
      </c>
      <c r="C196" t="s">
        <v>535</v>
      </c>
      <c r="D196" t="s">
        <v>2123</v>
      </c>
      <c r="E196" t="s">
        <v>2149</v>
      </c>
      <c r="F196">
        <v>13000000</v>
      </c>
      <c r="G196" t="s">
        <v>2159</v>
      </c>
      <c r="H196" s="1">
        <v>44705</v>
      </c>
    </row>
    <row r="197" spans="1:8" x14ac:dyDescent="0.25">
      <c r="A197" t="s">
        <v>536</v>
      </c>
      <c r="B197" t="s">
        <v>2225</v>
      </c>
      <c r="C197" t="s">
        <v>537</v>
      </c>
      <c r="D197" t="s">
        <v>2123</v>
      </c>
      <c r="E197" t="s">
        <v>2149</v>
      </c>
      <c r="F197">
        <v>10500000</v>
      </c>
      <c r="G197" t="s">
        <v>2204</v>
      </c>
      <c r="H197" s="1">
        <v>45873</v>
      </c>
    </row>
    <row r="198" spans="1:8" x14ac:dyDescent="0.25">
      <c r="A198" t="s">
        <v>538</v>
      </c>
      <c r="B198" t="s">
        <v>2279</v>
      </c>
      <c r="C198" t="s">
        <v>540</v>
      </c>
      <c r="D198" t="s">
        <v>2119</v>
      </c>
      <c r="E198" t="s">
        <v>2120</v>
      </c>
      <c r="F198">
        <v>13000000</v>
      </c>
      <c r="G198" t="s">
        <v>2280</v>
      </c>
      <c r="H198" s="1">
        <v>45112</v>
      </c>
    </row>
    <row r="199" spans="1:8" x14ac:dyDescent="0.25">
      <c r="A199" t="s">
        <v>541</v>
      </c>
      <c r="B199" t="s">
        <v>2281</v>
      </c>
      <c r="C199" t="s">
        <v>542</v>
      </c>
      <c r="D199" t="s">
        <v>2133</v>
      </c>
      <c r="E199" t="s">
        <v>2134</v>
      </c>
      <c r="F199">
        <v>13000000</v>
      </c>
      <c r="G199" t="s">
        <v>2265</v>
      </c>
      <c r="H199" s="1">
        <v>44758</v>
      </c>
    </row>
    <row r="200" spans="1:8" x14ac:dyDescent="0.25">
      <c r="A200" t="s">
        <v>543</v>
      </c>
      <c r="B200" t="s">
        <v>2282</v>
      </c>
      <c r="C200" t="s">
        <v>544</v>
      </c>
      <c r="D200" t="s">
        <v>2137</v>
      </c>
      <c r="E200" t="s">
        <v>2130</v>
      </c>
      <c r="F200">
        <v>8000000</v>
      </c>
      <c r="G200" t="s">
        <v>2165</v>
      </c>
      <c r="H200" s="1">
        <v>44536</v>
      </c>
    </row>
    <row r="201" spans="1:8" x14ac:dyDescent="0.25">
      <c r="A201" t="s">
        <v>545</v>
      </c>
      <c r="B201" t="s">
        <v>2259</v>
      </c>
      <c r="C201" t="s">
        <v>546</v>
      </c>
      <c r="D201" t="s">
        <v>2129</v>
      </c>
      <c r="E201" t="s">
        <v>2124</v>
      </c>
      <c r="F201">
        <v>5500000</v>
      </c>
      <c r="G201" t="s">
        <v>2131</v>
      </c>
      <c r="H201" s="1">
        <v>45164</v>
      </c>
    </row>
    <row r="202" spans="1:8" x14ac:dyDescent="0.25">
      <c r="A202" t="s">
        <v>547</v>
      </c>
      <c r="B202" t="s">
        <v>2283</v>
      </c>
      <c r="C202" t="s">
        <v>548</v>
      </c>
      <c r="D202" t="s">
        <v>18</v>
      </c>
      <c r="E202" t="s">
        <v>2130</v>
      </c>
      <c r="F202">
        <v>6500000</v>
      </c>
      <c r="G202" t="s">
        <v>2265</v>
      </c>
      <c r="H202" s="1">
        <v>44260</v>
      </c>
    </row>
    <row r="203" spans="1:8" x14ac:dyDescent="0.25">
      <c r="A203" t="s">
        <v>549</v>
      </c>
      <c r="B203" t="s">
        <v>2186</v>
      </c>
      <c r="C203" t="s">
        <v>550</v>
      </c>
      <c r="D203" t="s">
        <v>2137</v>
      </c>
      <c r="E203" t="s">
        <v>2130</v>
      </c>
      <c r="F203">
        <v>6500000</v>
      </c>
      <c r="G203" t="s">
        <v>2201</v>
      </c>
      <c r="H203" s="1">
        <v>44552</v>
      </c>
    </row>
    <row r="204" spans="1:8" x14ac:dyDescent="0.25">
      <c r="A204" t="s">
        <v>551</v>
      </c>
      <c r="B204" t="s">
        <v>2221</v>
      </c>
      <c r="C204" t="s">
        <v>552</v>
      </c>
      <c r="D204" t="s">
        <v>2119</v>
      </c>
      <c r="E204" t="s">
        <v>2149</v>
      </c>
      <c r="F204">
        <v>8000000</v>
      </c>
      <c r="G204" t="s">
        <v>2127</v>
      </c>
      <c r="H204" s="1">
        <v>45633</v>
      </c>
    </row>
    <row r="205" spans="1:8" x14ac:dyDescent="0.25">
      <c r="A205" t="s">
        <v>553</v>
      </c>
      <c r="B205" t="s">
        <v>2284</v>
      </c>
      <c r="C205" t="s">
        <v>554</v>
      </c>
      <c r="D205" t="s">
        <v>37</v>
      </c>
      <c r="E205" t="s">
        <v>2130</v>
      </c>
      <c r="F205">
        <v>10500000</v>
      </c>
      <c r="G205" t="s">
        <v>2207</v>
      </c>
      <c r="H205" s="1">
        <v>44945</v>
      </c>
    </row>
    <row r="206" spans="1:8" x14ac:dyDescent="0.25">
      <c r="A206" t="s">
        <v>555</v>
      </c>
      <c r="B206" t="s">
        <v>2167</v>
      </c>
      <c r="C206" t="s">
        <v>556</v>
      </c>
      <c r="D206" t="s">
        <v>2144</v>
      </c>
      <c r="E206" t="s">
        <v>2120</v>
      </c>
      <c r="F206">
        <v>10500000</v>
      </c>
      <c r="G206" t="s">
        <v>2135</v>
      </c>
      <c r="H206" s="1">
        <v>45922</v>
      </c>
    </row>
    <row r="207" spans="1:8" x14ac:dyDescent="0.25">
      <c r="A207" t="s">
        <v>39</v>
      </c>
      <c r="B207" t="s">
        <v>2272</v>
      </c>
      <c r="C207" t="s">
        <v>44</v>
      </c>
      <c r="D207" t="s">
        <v>2133</v>
      </c>
      <c r="E207" t="s">
        <v>2124</v>
      </c>
      <c r="F207">
        <v>6500000</v>
      </c>
      <c r="G207" t="s">
        <v>2127</v>
      </c>
      <c r="H207" s="1">
        <v>44317</v>
      </c>
    </row>
    <row r="208" spans="1:8" x14ac:dyDescent="0.25">
      <c r="A208" t="s">
        <v>557</v>
      </c>
      <c r="B208" t="s">
        <v>2179</v>
      </c>
      <c r="C208" t="s">
        <v>558</v>
      </c>
      <c r="D208" t="s">
        <v>2137</v>
      </c>
      <c r="E208" t="s">
        <v>2120</v>
      </c>
      <c r="F208">
        <v>10500000</v>
      </c>
      <c r="G208" t="s">
        <v>2191</v>
      </c>
      <c r="H208" s="1">
        <v>45292</v>
      </c>
    </row>
    <row r="209" spans="1:8" x14ac:dyDescent="0.25">
      <c r="A209" t="s">
        <v>559</v>
      </c>
      <c r="B209" t="s">
        <v>2237</v>
      </c>
      <c r="C209" t="s">
        <v>560</v>
      </c>
      <c r="D209" t="s">
        <v>2129</v>
      </c>
      <c r="E209" t="s">
        <v>2149</v>
      </c>
      <c r="F209">
        <v>8000000</v>
      </c>
      <c r="G209" t="s">
        <v>2172</v>
      </c>
      <c r="H209" s="1">
        <v>44830</v>
      </c>
    </row>
    <row r="210" spans="1:8" x14ac:dyDescent="0.25">
      <c r="A210" t="s">
        <v>561</v>
      </c>
      <c r="B210" t="s">
        <v>2267</v>
      </c>
      <c r="C210" t="s">
        <v>562</v>
      </c>
      <c r="D210" t="s">
        <v>37</v>
      </c>
      <c r="E210" t="s">
        <v>2124</v>
      </c>
      <c r="F210">
        <v>10500000</v>
      </c>
      <c r="G210" t="s">
        <v>2170</v>
      </c>
      <c r="H210" s="1">
        <v>44328</v>
      </c>
    </row>
    <row r="211" spans="1:8" x14ac:dyDescent="0.25">
      <c r="A211" t="s">
        <v>563</v>
      </c>
      <c r="B211" t="s">
        <v>2285</v>
      </c>
      <c r="C211" t="s">
        <v>564</v>
      </c>
      <c r="D211" t="s">
        <v>2129</v>
      </c>
      <c r="E211" t="s">
        <v>2134</v>
      </c>
      <c r="F211">
        <v>10500000</v>
      </c>
      <c r="G211" t="s">
        <v>2201</v>
      </c>
      <c r="H211" s="1">
        <v>45558</v>
      </c>
    </row>
    <row r="212" spans="1:8" x14ac:dyDescent="0.25">
      <c r="A212" t="s">
        <v>565</v>
      </c>
      <c r="B212" t="s">
        <v>2263</v>
      </c>
      <c r="C212" t="s">
        <v>566</v>
      </c>
      <c r="D212" t="s">
        <v>2129</v>
      </c>
      <c r="E212" t="s">
        <v>2134</v>
      </c>
      <c r="F212">
        <v>13000000</v>
      </c>
      <c r="G212" t="s">
        <v>2184</v>
      </c>
      <c r="H212" s="1">
        <v>43881</v>
      </c>
    </row>
    <row r="213" spans="1:8" x14ac:dyDescent="0.25">
      <c r="A213" t="s">
        <v>567</v>
      </c>
      <c r="B213" t="s">
        <v>2286</v>
      </c>
      <c r="C213" t="s">
        <v>568</v>
      </c>
      <c r="D213" t="s">
        <v>2133</v>
      </c>
      <c r="E213" t="s">
        <v>2124</v>
      </c>
      <c r="F213">
        <v>13000000</v>
      </c>
      <c r="G213" t="s">
        <v>2239</v>
      </c>
      <c r="H213" s="1">
        <v>44587</v>
      </c>
    </row>
    <row r="214" spans="1:8" x14ac:dyDescent="0.25">
      <c r="A214" t="s">
        <v>569</v>
      </c>
      <c r="B214" t="s">
        <v>2195</v>
      </c>
      <c r="C214" t="s">
        <v>570</v>
      </c>
      <c r="D214" t="s">
        <v>2119</v>
      </c>
      <c r="E214" t="s">
        <v>2124</v>
      </c>
      <c r="F214">
        <v>13000000</v>
      </c>
      <c r="G214" t="s">
        <v>2157</v>
      </c>
      <c r="H214" s="1">
        <v>44399</v>
      </c>
    </row>
    <row r="215" spans="1:8" x14ac:dyDescent="0.25">
      <c r="A215" t="s">
        <v>571</v>
      </c>
      <c r="B215" t="s">
        <v>2254</v>
      </c>
      <c r="C215" t="s">
        <v>572</v>
      </c>
      <c r="D215" t="s">
        <v>2129</v>
      </c>
      <c r="E215" t="s">
        <v>2149</v>
      </c>
      <c r="F215">
        <v>6500000</v>
      </c>
      <c r="G215" t="s">
        <v>2131</v>
      </c>
      <c r="H215" s="1">
        <v>44110</v>
      </c>
    </row>
    <row r="216" spans="1:8" x14ac:dyDescent="0.25">
      <c r="A216" t="s">
        <v>573</v>
      </c>
      <c r="B216" t="s">
        <v>2171</v>
      </c>
      <c r="C216" t="s">
        <v>574</v>
      </c>
      <c r="D216" t="s">
        <v>2123</v>
      </c>
      <c r="E216" t="s">
        <v>2134</v>
      </c>
      <c r="F216">
        <v>6500000</v>
      </c>
      <c r="G216" t="s">
        <v>2265</v>
      </c>
      <c r="H216" s="1">
        <v>44297</v>
      </c>
    </row>
    <row r="217" spans="1:8" x14ac:dyDescent="0.25">
      <c r="A217" t="s">
        <v>575</v>
      </c>
      <c r="B217" t="s">
        <v>2287</v>
      </c>
      <c r="C217" t="s">
        <v>576</v>
      </c>
      <c r="D217" t="s">
        <v>2144</v>
      </c>
      <c r="E217" t="s">
        <v>2134</v>
      </c>
      <c r="F217">
        <v>13000000</v>
      </c>
      <c r="G217" t="s">
        <v>2127</v>
      </c>
      <c r="H217" s="1">
        <v>45607</v>
      </c>
    </row>
    <row r="218" spans="1:8" x14ac:dyDescent="0.25">
      <c r="A218" t="s">
        <v>577</v>
      </c>
      <c r="B218" t="s">
        <v>2260</v>
      </c>
      <c r="C218" t="s">
        <v>578</v>
      </c>
      <c r="D218" t="s">
        <v>37</v>
      </c>
      <c r="E218" t="s">
        <v>2149</v>
      </c>
      <c r="F218">
        <v>5500000</v>
      </c>
      <c r="G218" t="s">
        <v>2135</v>
      </c>
      <c r="H218" s="1">
        <v>44880</v>
      </c>
    </row>
    <row r="219" spans="1:8" x14ac:dyDescent="0.25">
      <c r="A219" t="s">
        <v>579</v>
      </c>
      <c r="B219" t="s">
        <v>2288</v>
      </c>
      <c r="C219" t="s">
        <v>580</v>
      </c>
      <c r="D219" t="s">
        <v>14</v>
      </c>
      <c r="E219" t="s">
        <v>2130</v>
      </c>
      <c r="F219">
        <v>8000000</v>
      </c>
      <c r="G219" t="s">
        <v>2201</v>
      </c>
      <c r="H219" s="1">
        <v>45541</v>
      </c>
    </row>
    <row r="220" spans="1:8" x14ac:dyDescent="0.25">
      <c r="A220" t="s">
        <v>581</v>
      </c>
      <c r="B220" t="s">
        <v>2228</v>
      </c>
      <c r="C220" t="s">
        <v>582</v>
      </c>
      <c r="D220" t="s">
        <v>2129</v>
      </c>
      <c r="E220" t="s">
        <v>2149</v>
      </c>
      <c r="F220">
        <v>6500000</v>
      </c>
      <c r="G220" t="s">
        <v>2142</v>
      </c>
      <c r="H220" s="1">
        <v>44578</v>
      </c>
    </row>
    <row r="221" spans="1:8" x14ac:dyDescent="0.25">
      <c r="A221" t="s">
        <v>583</v>
      </c>
      <c r="B221" t="s">
        <v>2289</v>
      </c>
      <c r="C221" t="s">
        <v>584</v>
      </c>
      <c r="D221" t="s">
        <v>2133</v>
      </c>
      <c r="E221" t="s">
        <v>2124</v>
      </c>
      <c r="F221">
        <v>8000000</v>
      </c>
      <c r="G221" t="s">
        <v>2246</v>
      </c>
      <c r="H221" s="1">
        <v>45261</v>
      </c>
    </row>
    <row r="222" spans="1:8" x14ac:dyDescent="0.25">
      <c r="A222" t="s">
        <v>585</v>
      </c>
      <c r="B222" t="s">
        <v>2217</v>
      </c>
      <c r="C222" t="s">
        <v>586</v>
      </c>
      <c r="D222" t="s">
        <v>2129</v>
      </c>
      <c r="E222" t="s">
        <v>2130</v>
      </c>
      <c r="F222">
        <v>8000000</v>
      </c>
      <c r="G222" t="s">
        <v>2210</v>
      </c>
      <c r="H222" s="1">
        <v>45735</v>
      </c>
    </row>
    <row r="223" spans="1:8" x14ac:dyDescent="0.25">
      <c r="A223" t="s">
        <v>587</v>
      </c>
      <c r="B223" t="s">
        <v>2262</v>
      </c>
      <c r="C223" t="s">
        <v>588</v>
      </c>
      <c r="D223" t="s">
        <v>2144</v>
      </c>
      <c r="E223" t="s">
        <v>2134</v>
      </c>
      <c r="F223">
        <v>5500000</v>
      </c>
      <c r="G223" t="s">
        <v>2250</v>
      </c>
      <c r="H223" s="1">
        <v>44856</v>
      </c>
    </row>
    <row r="224" spans="1:8" x14ac:dyDescent="0.25">
      <c r="A224" t="s">
        <v>589</v>
      </c>
      <c r="B224" t="s">
        <v>2274</v>
      </c>
      <c r="C224" t="s">
        <v>590</v>
      </c>
      <c r="D224" t="s">
        <v>2129</v>
      </c>
      <c r="E224" t="s">
        <v>2130</v>
      </c>
      <c r="F224">
        <v>10500000</v>
      </c>
      <c r="G224" t="s">
        <v>2265</v>
      </c>
      <c r="H224" s="1">
        <v>44846</v>
      </c>
    </row>
    <row r="225" spans="1:8" x14ac:dyDescent="0.25">
      <c r="A225" t="s">
        <v>591</v>
      </c>
      <c r="B225" t="s">
        <v>2290</v>
      </c>
      <c r="C225" t="s">
        <v>592</v>
      </c>
      <c r="D225" t="s">
        <v>2123</v>
      </c>
      <c r="E225" t="s">
        <v>2120</v>
      </c>
      <c r="F225">
        <v>5500000</v>
      </c>
      <c r="G225" t="s">
        <v>2121</v>
      </c>
      <c r="H225" s="1">
        <v>44903</v>
      </c>
    </row>
    <row r="226" spans="1:8" x14ac:dyDescent="0.25">
      <c r="A226" t="s">
        <v>593</v>
      </c>
      <c r="B226" t="s">
        <v>2291</v>
      </c>
      <c r="C226" t="s">
        <v>594</v>
      </c>
      <c r="D226" t="s">
        <v>2123</v>
      </c>
      <c r="E226" t="s">
        <v>2120</v>
      </c>
      <c r="F226">
        <v>13000000</v>
      </c>
      <c r="G226" t="s">
        <v>2198</v>
      </c>
      <c r="H226" s="1">
        <v>45434</v>
      </c>
    </row>
    <row r="227" spans="1:8" x14ac:dyDescent="0.25">
      <c r="A227" t="s">
        <v>595</v>
      </c>
      <c r="B227" t="s">
        <v>2185</v>
      </c>
      <c r="C227" t="s">
        <v>596</v>
      </c>
      <c r="D227" t="s">
        <v>2144</v>
      </c>
      <c r="E227" t="s">
        <v>2149</v>
      </c>
      <c r="F227">
        <v>5500000</v>
      </c>
      <c r="G227" t="s">
        <v>2250</v>
      </c>
      <c r="H227" s="1">
        <v>45957</v>
      </c>
    </row>
    <row r="228" spans="1:8" x14ac:dyDescent="0.25">
      <c r="A228" t="s">
        <v>597</v>
      </c>
      <c r="B228" t="s">
        <v>2270</v>
      </c>
      <c r="C228" t="s">
        <v>598</v>
      </c>
      <c r="D228" t="s">
        <v>2129</v>
      </c>
      <c r="E228" t="s">
        <v>2130</v>
      </c>
      <c r="F228">
        <v>13000000</v>
      </c>
      <c r="G228" t="s">
        <v>2138</v>
      </c>
      <c r="H228" s="1">
        <v>45903</v>
      </c>
    </row>
    <row r="229" spans="1:8" x14ac:dyDescent="0.25">
      <c r="A229" t="s">
        <v>599</v>
      </c>
      <c r="B229" t="s">
        <v>2126</v>
      </c>
      <c r="C229" t="s">
        <v>600</v>
      </c>
      <c r="D229" t="s">
        <v>2137</v>
      </c>
      <c r="E229" t="s">
        <v>2124</v>
      </c>
      <c r="F229">
        <v>5500000</v>
      </c>
      <c r="G229" t="s">
        <v>2163</v>
      </c>
      <c r="H229" s="1">
        <v>44014</v>
      </c>
    </row>
    <row r="230" spans="1:8" x14ac:dyDescent="0.25">
      <c r="A230" t="s">
        <v>601</v>
      </c>
      <c r="B230" t="s">
        <v>2222</v>
      </c>
      <c r="C230" t="s">
        <v>602</v>
      </c>
      <c r="D230" t="s">
        <v>2123</v>
      </c>
      <c r="E230" t="s">
        <v>2124</v>
      </c>
      <c r="F230">
        <v>13000000</v>
      </c>
      <c r="G230" t="s">
        <v>2165</v>
      </c>
      <c r="H230" s="1">
        <v>45839</v>
      </c>
    </row>
    <row r="231" spans="1:8" x14ac:dyDescent="0.25">
      <c r="A231" t="s">
        <v>603</v>
      </c>
      <c r="B231" t="s">
        <v>2189</v>
      </c>
      <c r="C231" t="s">
        <v>604</v>
      </c>
      <c r="D231" t="s">
        <v>2133</v>
      </c>
      <c r="E231" t="s">
        <v>2134</v>
      </c>
      <c r="F231">
        <v>8000000</v>
      </c>
      <c r="G231" t="s">
        <v>2165</v>
      </c>
      <c r="H231" s="1">
        <v>45683</v>
      </c>
    </row>
    <row r="232" spans="1:8" x14ac:dyDescent="0.25">
      <c r="A232" t="s">
        <v>605</v>
      </c>
      <c r="B232" t="s">
        <v>2221</v>
      </c>
      <c r="C232" t="s">
        <v>606</v>
      </c>
      <c r="D232" t="s">
        <v>23</v>
      </c>
      <c r="E232" t="s">
        <v>2120</v>
      </c>
      <c r="F232">
        <v>10500000</v>
      </c>
      <c r="G232" t="s">
        <v>2172</v>
      </c>
      <c r="H232" s="1">
        <v>45826</v>
      </c>
    </row>
    <row r="233" spans="1:8" x14ac:dyDescent="0.25">
      <c r="A233" t="s">
        <v>607</v>
      </c>
      <c r="B233" t="s">
        <v>2192</v>
      </c>
      <c r="C233" t="s">
        <v>608</v>
      </c>
      <c r="D233" t="s">
        <v>2119</v>
      </c>
      <c r="E233" t="s">
        <v>2149</v>
      </c>
      <c r="F233">
        <v>10500000</v>
      </c>
      <c r="G233" t="s">
        <v>2157</v>
      </c>
      <c r="H233" s="1">
        <v>43955</v>
      </c>
    </row>
    <row r="234" spans="1:8" x14ac:dyDescent="0.25">
      <c r="A234" t="s">
        <v>609</v>
      </c>
      <c r="B234" t="s">
        <v>2292</v>
      </c>
      <c r="C234" t="s">
        <v>610</v>
      </c>
      <c r="D234" t="s">
        <v>18</v>
      </c>
      <c r="E234" t="s">
        <v>2149</v>
      </c>
      <c r="F234">
        <v>13000000</v>
      </c>
      <c r="G234" t="s">
        <v>2198</v>
      </c>
      <c r="H234" s="1">
        <v>45191</v>
      </c>
    </row>
    <row r="235" spans="1:8" x14ac:dyDescent="0.25">
      <c r="A235" t="s">
        <v>611</v>
      </c>
      <c r="B235" t="s">
        <v>2238</v>
      </c>
      <c r="C235" t="s">
        <v>612</v>
      </c>
      <c r="D235" t="s">
        <v>2137</v>
      </c>
      <c r="E235" t="s">
        <v>2130</v>
      </c>
      <c r="F235">
        <v>13000000</v>
      </c>
      <c r="G235" t="s">
        <v>2153</v>
      </c>
      <c r="H235" s="1">
        <v>44722</v>
      </c>
    </row>
    <row r="236" spans="1:8" x14ac:dyDescent="0.25">
      <c r="A236" t="s">
        <v>613</v>
      </c>
      <c r="B236" t="s">
        <v>2132</v>
      </c>
      <c r="C236" t="s">
        <v>614</v>
      </c>
      <c r="D236" t="s">
        <v>2137</v>
      </c>
      <c r="E236" t="s">
        <v>2149</v>
      </c>
      <c r="F236">
        <v>5500000</v>
      </c>
      <c r="G236" t="s">
        <v>2151</v>
      </c>
      <c r="H236" s="1">
        <v>43839</v>
      </c>
    </row>
    <row r="237" spans="1:8" x14ac:dyDescent="0.25">
      <c r="A237" t="s">
        <v>615</v>
      </c>
      <c r="B237" t="s">
        <v>2247</v>
      </c>
      <c r="C237" t="s">
        <v>616</v>
      </c>
      <c r="D237" t="s">
        <v>2137</v>
      </c>
      <c r="E237" t="s">
        <v>2149</v>
      </c>
      <c r="F237">
        <v>6500000</v>
      </c>
      <c r="G237" t="s">
        <v>2191</v>
      </c>
      <c r="H237" s="1">
        <v>44879</v>
      </c>
    </row>
    <row r="238" spans="1:8" x14ac:dyDescent="0.25">
      <c r="A238" t="s">
        <v>617</v>
      </c>
      <c r="B238" t="s">
        <v>2118</v>
      </c>
      <c r="C238" t="s">
        <v>618</v>
      </c>
      <c r="D238" t="s">
        <v>2119</v>
      </c>
      <c r="E238" t="s">
        <v>2149</v>
      </c>
      <c r="F238">
        <v>13000000</v>
      </c>
      <c r="G238" t="s">
        <v>2125</v>
      </c>
      <c r="H238" s="1">
        <v>45171</v>
      </c>
    </row>
    <row r="239" spans="1:8" x14ac:dyDescent="0.25">
      <c r="A239" t="s">
        <v>619</v>
      </c>
      <c r="B239" t="s">
        <v>2179</v>
      </c>
      <c r="C239" t="s">
        <v>620</v>
      </c>
      <c r="D239" t="s">
        <v>42</v>
      </c>
      <c r="E239" t="s">
        <v>2124</v>
      </c>
      <c r="F239">
        <v>8000000</v>
      </c>
      <c r="G239" t="s">
        <v>2153</v>
      </c>
      <c r="H239" s="1">
        <v>45754</v>
      </c>
    </row>
    <row r="240" spans="1:8" x14ac:dyDescent="0.25">
      <c r="A240" t="s">
        <v>621</v>
      </c>
      <c r="B240" t="s">
        <v>2237</v>
      </c>
      <c r="C240" t="s">
        <v>622</v>
      </c>
      <c r="D240" t="s">
        <v>14</v>
      </c>
      <c r="E240" t="s">
        <v>2149</v>
      </c>
      <c r="F240">
        <v>13000000</v>
      </c>
      <c r="G240" t="s">
        <v>2170</v>
      </c>
      <c r="H240" s="1">
        <v>45189</v>
      </c>
    </row>
    <row r="241" spans="1:8" x14ac:dyDescent="0.25">
      <c r="A241" t="s">
        <v>623</v>
      </c>
      <c r="B241" t="s">
        <v>2243</v>
      </c>
      <c r="C241" t="s">
        <v>624</v>
      </c>
      <c r="D241" t="s">
        <v>2144</v>
      </c>
      <c r="E241" t="s">
        <v>2124</v>
      </c>
      <c r="F241">
        <v>10500000</v>
      </c>
      <c r="G241" t="s">
        <v>2121</v>
      </c>
      <c r="H241" s="1">
        <v>44918</v>
      </c>
    </row>
    <row r="242" spans="1:8" x14ac:dyDescent="0.25">
      <c r="A242" t="s">
        <v>625</v>
      </c>
      <c r="B242" t="s">
        <v>2224</v>
      </c>
      <c r="C242" t="s">
        <v>626</v>
      </c>
      <c r="D242" t="s">
        <v>2137</v>
      </c>
      <c r="E242" t="s">
        <v>2149</v>
      </c>
      <c r="F242">
        <v>13000000</v>
      </c>
      <c r="G242" t="s">
        <v>2175</v>
      </c>
      <c r="H242" s="1">
        <v>44583</v>
      </c>
    </row>
    <row r="243" spans="1:8" x14ac:dyDescent="0.25">
      <c r="A243" t="s">
        <v>627</v>
      </c>
      <c r="B243" t="s">
        <v>2187</v>
      </c>
      <c r="C243" t="s">
        <v>628</v>
      </c>
      <c r="D243" t="s">
        <v>2119</v>
      </c>
      <c r="E243" t="s">
        <v>2120</v>
      </c>
      <c r="F243">
        <v>13000000</v>
      </c>
      <c r="G243" t="s">
        <v>2213</v>
      </c>
      <c r="H243" s="1">
        <v>45086</v>
      </c>
    </row>
    <row r="244" spans="1:8" x14ac:dyDescent="0.25">
      <c r="A244" t="s">
        <v>629</v>
      </c>
      <c r="B244" t="s">
        <v>2293</v>
      </c>
      <c r="C244" t="s">
        <v>631</v>
      </c>
      <c r="D244" t="s">
        <v>2129</v>
      </c>
      <c r="E244" t="s">
        <v>2130</v>
      </c>
      <c r="F244">
        <v>8000000</v>
      </c>
      <c r="G244" t="s">
        <v>2153</v>
      </c>
      <c r="H244" s="1">
        <v>45850</v>
      </c>
    </row>
    <row r="245" spans="1:8" x14ac:dyDescent="0.25">
      <c r="A245" t="s">
        <v>632</v>
      </c>
      <c r="B245" t="s">
        <v>2222</v>
      </c>
      <c r="C245" t="s">
        <v>633</v>
      </c>
      <c r="D245" t="s">
        <v>2129</v>
      </c>
      <c r="E245" t="s">
        <v>2130</v>
      </c>
      <c r="F245">
        <v>8000000</v>
      </c>
      <c r="G245" t="s">
        <v>2198</v>
      </c>
      <c r="H245" s="1">
        <v>44702</v>
      </c>
    </row>
    <row r="246" spans="1:8" x14ac:dyDescent="0.25">
      <c r="A246" t="s">
        <v>634</v>
      </c>
      <c r="B246" t="s">
        <v>2192</v>
      </c>
      <c r="C246" t="s">
        <v>635</v>
      </c>
      <c r="D246" t="s">
        <v>2123</v>
      </c>
      <c r="E246" t="s">
        <v>2130</v>
      </c>
      <c r="F246">
        <v>8000000</v>
      </c>
      <c r="G246" t="s">
        <v>2198</v>
      </c>
      <c r="H246" s="1">
        <v>45827</v>
      </c>
    </row>
    <row r="247" spans="1:8" x14ac:dyDescent="0.25">
      <c r="A247" t="s">
        <v>210</v>
      </c>
      <c r="B247" t="s">
        <v>2169</v>
      </c>
      <c r="C247" t="s">
        <v>201</v>
      </c>
      <c r="D247" t="s">
        <v>2119</v>
      </c>
      <c r="E247" t="s">
        <v>2120</v>
      </c>
      <c r="F247">
        <v>10500000</v>
      </c>
      <c r="G247" t="s">
        <v>2138</v>
      </c>
      <c r="H247" s="1">
        <v>45693</v>
      </c>
    </row>
    <row r="248" spans="1:8" x14ac:dyDescent="0.25">
      <c r="A248" t="s">
        <v>636</v>
      </c>
      <c r="B248" t="s">
        <v>2225</v>
      </c>
      <c r="C248" t="s">
        <v>637</v>
      </c>
      <c r="D248" t="s">
        <v>2129</v>
      </c>
      <c r="E248" t="s">
        <v>2149</v>
      </c>
      <c r="F248">
        <v>8000000</v>
      </c>
      <c r="G248" t="s">
        <v>2151</v>
      </c>
      <c r="H248" s="1">
        <v>44365</v>
      </c>
    </row>
    <row r="249" spans="1:8" x14ac:dyDescent="0.25">
      <c r="A249" t="s">
        <v>638</v>
      </c>
      <c r="B249" t="s">
        <v>2288</v>
      </c>
      <c r="C249" t="s">
        <v>639</v>
      </c>
      <c r="D249" t="s">
        <v>2119</v>
      </c>
      <c r="E249" t="s">
        <v>2149</v>
      </c>
      <c r="F249">
        <v>8000000</v>
      </c>
      <c r="G249" t="s">
        <v>2154</v>
      </c>
      <c r="H249" s="1">
        <v>44719</v>
      </c>
    </row>
    <row r="250" spans="1:8" x14ac:dyDescent="0.25">
      <c r="A250" t="s">
        <v>640</v>
      </c>
      <c r="B250" t="s">
        <v>2258</v>
      </c>
      <c r="C250" t="s">
        <v>641</v>
      </c>
      <c r="D250" t="s">
        <v>2123</v>
      </c>
      <c r="E250" t="s">
        <v>2120</v>
      </c>
      <c r="F250">
        <v>13000000</v>
      </c>
      <c r="G250" t="s">
        <v>2277</v>
      </c>
      <c r="H250" s="1">
        <v>44660</v>
      </c>
    </row>
    <row r="251" spans="1:8" x14ac:dyDescent="0.25">
      <c r="A251" t="s">
        <v>642</v>
      </c>
      <c r="B251" t="s">
        <v>2294</v>
      </c>
      <c r="C251" t="s">
        <v>644</v>
      </c>
      <c r="D251" t="s">
        <v>2144</v>
      </c>
      <c r="E251" t="s">
        <v>2124</v>
      </c>
      <c r="F251">
        <v>10500000</v>
      </c>
      <c r="G251" t="s">
        <v>2219</v>
      </c>
      <c r="H251" s="1">
        <v>43960</v>
      </c>
    </row>
    <row r="252" spans="1:8" x14ac:dyDescent="0.25">
      <c r="A252" t="s">
        <v>645</v>
      </c>
      <c r="B252" t="s">
        <v>2267</v>
      </c>
      <c r="C252" t="s">
        <v>646</v>
      </c>
      <c r="D252" t="s">
        <v>2144</v>
      </c>
      <c r="E252" t="s">
        <v>2134</v>
      </c>
      <c r="F252">
        <v>10500000</v>
      </c>
      <c r="G252" t="s">
        <v>2177</v>
      </c>
      <c r="H252" s="1">
        <v>45310</v>
      </c>
    </row>
    <row r="253" spans="1:8" x14ac:dyDescent="0.25">
      <c r="A253" t="s">
        <v>647</v>
      </c>
      <c r="B253" t="s">
        <v>2171</v>
      </c>
      <c r="C253" t="s">
        <v>648</v>
      </c>
      <c r="D253" t="s">
        <v>2144</v>
      </c>
      <c r="E253" t="s">
        <v>2149</v>
      </c>
      <c r="F253">
        <v>6500000</v>
      </c>
      <c r="G253" t="s">
        <v>2157</v>
      </c>
      <c r="H253" s="1">
        <v>45674</v>
      </c>
    </row>
    <row r="254" spans="1:8" x14ac:dyDescent="0.25">
      <c r="A254" t="s">
        <v>649</v>
      </c>
      <c r="B254" t="s">
        <v>2128</v>
      </c>
      <c r="C254" t="s">
        <v>650</v>
      </c>
      <c r="D254" t="s">
        <v>2137</v>
      </c>
      <c r="E254" t="s">
        <v>2120</v>
      </c>
      <c r="F254">
        <v>10500000</v>
      </c>
      <c r="G254" t="s">
        <v>2145</v>
      </c>
      <c r="H254" s="1">
        <v>44428</v>
      </c>
    </row>
    <row r="255" spans="1:8" x14ac:dyDescent="0.25">
      <c r="A255" t="s">
        <v>651</v>
      </c>
      <c r="B255" t="s">
        <v>2148</v>
      </c>
      <c r="C255" t="s">
        <v>652</v>
      </c>
      <c r="D255" t="s">
        <v>23</v>
      </c>
      <c r="E255" t="s">
        <v>2149</v>
      </c>
      <c r="F255">
        <v>6500000</v>
      </c>
      <c r="G255" t="s">
        <v>2172</v>
      </c>
      <c r="H255" s="1">
        <v>44268</v>
      </c>
    </row>
    <row r="256" spans="1:8" x14ac:dyDescent="0.25">
      <c r="A256" t="s">
        <v>653</v>
      </c>
      <c r="B256" t="s">
        <v>2295</v>
      </c>
      <c r="C256" t="s">
        <v>654</v>
      </c>
      <c r="D256" t="s">
        <v>2119</v>
      </c>
      <c r="E256" t="s">
        <v>2120</v>
      </c>
      <c r="F256">
        <v>5500000</v>
      </c>
      <c r="G256" t="s">
        <v>2168</v>
      </c>
      <c r="H256" s="1">
        <v>44189</v>
      </c>
    </row>
    <row r="257" spans="1:8" x14ac:dyDescent="0.25">
      <c r="A257" t="s">
        <v>655</v>
      </c>
      <c r="B257" t="s">
        <v>2231</v>
      </c>
      <c r="C257" t="s">
        <v>656</v>
      </c>
      <c r="D257" t="s">
        <v>2144</v>
      </c>
      <c r="E257" t="s">
        <v>2124</v>
      </c>
      <c r="F257">
        <v>8000000</v>
      </c>
      <c r="G257" t="s">
        <v>2145</v>
      </c>
      <c r="H257" s="1">
        <v>45719</v>
      </c>
    </row>
    <row r="258" spans="1:8" x14ac:dyDescent="0.25">
      <c r="A258" t="s">
        <v>657</v>
      </c>
      <c r="B258" t="s">
        <v>2181</v>
      </c>
      <c r="C258" t="s">
        <v>658</v>
      </c>
      <c r="D258" t="s">
        <v>2133</v>
      </c>
      <c r="E258" t="s">
        <v>2124</v>
      </c>
      <c r="F258">
        <v>8000000</v>
      </c>
      <c r="G258" t="s">
        <v>2201</v>
      </c>
      <c r="H258" s="1">
        <v>45037</v>
      </c>
    </row>
    <row r="259" spans="1:8" x14ac:dyDescent="0.25">
      <c r="A259" t="s">
        <v>659</v>
      </c>
      <c r="B259" t="s">
        <v>2158</v>
      </c>
      <c r="C259" t="s">
        <v>660</v>
      </c>
      <c r="D259" t="s">
        <v>2129</v>
      </c>
      <c r="E259" t="s">
        <v>2120</v>
      </c>
      <c r="F259">
        <v>10500000</v>
      </c>
      <c r="G259" t="s">
        <v>2204</v>
      </c>
      <c r="H259" s="1">
        <v>46006</v>
      </c>
    </row>
    <row r="260" spans="1:8" x14ac:dyDescent="0.25">
      <c r="A260" t="s">
        <v>661</v>
      </c>
      <c r="B260" t="s">
        <v>2166</v>
      </c>
      <c r="C260" t="s">
        <v>662</v>
      </c>
      <c r="D260" t="s">
        <v>2144</v>
      </c>
      <c r="E260" t="s">
        <v>2134</v>
      </c>
      <c r="F260">
        <v>8000000</v>
      </c>
      <c r="G260" t="s">
        <v>2168</v>
      </c>
      <c r="H260" s="1">
        <v>44703</v>
      </c>
    </row>
    <row r="261" spans="1:8" x14ac:dyDescent="0.25">
      <c r="A261" t="s">
        <v>663</v>
      </c>
      <c r="B261" t="s">
        <v>2272</v>
      </c>
      <c r="C261" t="s">
        <v>664</v>
      </c>
      <c r="D261" t="s">
        <v>2144</v>
      </c>
      <c r="E261" t="s">
        <v>2134</v>
      </c>
      <c r="F261">
        <v>6500000</v>
      </c>
      <c r="G261" t="s">
        <v>2121</v>
      </c>
      <c r="H261" s="1">
        <v>45543</v>
      </c>
    </row>
    <row r="262" spans="1:8" x14ac:dyDescent="0.25">
      <c r="A262" t="s">
        <v>665</v>
      </c>
      <c r="B262" t="s">
        <v>2183</v>
      </c>
      <c r="C262" t="s">
        <v>666</v>
      </c>
      <c r="D262" t="s">
        <v>2129</v>
      </c>
      <c r="E262" t="s">
        <v>2120</v>
      </c>
      <c r="F262">
        <v>5500000</v>
      </c>
      <c r="G262" t="s">
        <v>2191</v>
      </c>
      <c r="H262" s="1">
        <v>45632</v>
      </c>
    </row>
    <row r="263" spans="1:8" x14ac:dyDescent="0.25">
      <c r="A263" t="s">
        <v>667</v>
      </c>
      <c r="B263" t="s">
        <v>2128</v>
      </c>
      <c r="C263" t="s">
        <v>668</v>
      </c>
      <c r="D263" t="s">
        <v>2129</v>
      </c>
      <c r="E263" t="s">
        <v>2130</v>
      </c>
      <c r="F263">
        <v>10500000</v>
      </c>
      <c r="G263" t="s">
        <v>2154</v>
      </c>
      <c r="H263" s="1">
        <v>44058</v>
      </c>
    </row>
    <row r="264" spans="1:8" x14ac:dyDescent="0.25">
      <c r="A264" t="s">
        <v>669</v>
      </c>
      <c r="B264" t="s">
        <v>2294</v>
      </c>
      <c r="C264" t="s">
        <v>670</v>
      </c>
      <c r="D264" t="s">
        <v>2129</v>
      </c>
      <c r="E264" t="s">
        <v>2124</v>
      </c>
      <c r="F264">
        <v>10500000</v>
      </c>
      <c r="G264" t="s">
        <v>2135</v>
      </c>
      <c r="H264" s="1">
        <v>45693</v>
      </c>
    </row>
    <row r="265" spans="1:8" x14ac:dyDescent="0.25">
      <c r="A265" t="s">
        <v>671</v>
      </c>
      <c r="B265" t="s">
        <v>2267</v>
      </c>
      <c r="C265" t="s">
        <v>672</v>
      </c>
      <c r="D265" t="s">
        <v>2129</v>
      </c>
      <c r="E265" t="s">
        <v>2134</v>
      </c>
      <c r="F265">
        <v>6500000</v>
      </c>
      <c r="G265" t="s">
        <v>2277</v>
      </c>
      <c r="H265" s="1">
        <v>43984</v>
      </c>
    </row>
    <row r="266" spans="1:8" x14ac:dyDescent="0.25">
      <c r="A266" t="s">
        <v>673</v>
      </c>
      <c r="B266" t="s">
        <v>2146</v>
      </c>
      <c r="C266" t="s">
        <v>674</v>
      </c>
      <c r="D266" t="s">
        <v>2144</v>
      </c>
      <c r="E266" t="s">
        <v>2124</v>
      </c>
      <c r="F266">
        <v>8000000</v>
      </c>
      <c r="G266" t="s">
        <v>2240</v>
      </c>
      <c r="H266" s="1">
        <v>45645</v>
      </c>
    </row>
    <row r="267" spans="1:8" x14ac:dyDescent="0.25">
      <c r="A267" t="s">
        <v>675</v>
      </c>
      <c r="B267" t="s">
        <v>2296</v>
      </c>
      <c r="C267" t="s">
        <v>676</v>
      </c>
      <c r="D267" t="s">
        <v>2137</v>
      </c>
      <c r="E267" t="s">
        <v>2124</v>
      </c>
      <c r="F267">
        <v>6500000</v>
      </c>
      <c r="G267" t="s">
        <v>2180</v>
      </c>
      <c r="H267" s="1">
        <v>44757</v>
      </c>
    </row>
    <row r="268" spans="1:8" x14ac:dyDescent="0.25">
      <c r="A268" t="s">
        <v>677</v>
      </c>
      <c r="B268" t="s">
        <v>2230</v>
      </c>
      <c r="C268" t="s">
        <v>678</v>
      </c>
      <c r="D268" t="s">
        <v>23</v>
      </c>
      <c r="E268" t="s">
        <v>2130</v>
      </c>
      <c r="F268">
        <v>6500000</v>
      </c>
      <c r="G268" t="s">
        <v>2154</v>
      </c>
      <c r="H268" s="1">
        <v>45004</v>
      </c>
    </row>
    <row r="269" spans="1:8" x14ac:dyDescent="0.25">
      <c r="A269" t="s">
        <v>679</v>
      </c>
      <c r="B269" t="s">
        <v>2224</v>
      </c>
      <c r="C269" t="s">
        <v>680</v>
      </c>
      <c r="D269" t="s">
        <v>2123</v>
      </c>
      <c r="E269" t="s">
        <v>2134</v>
      </c>
      <c r="F269">
        <v>10500000</v>
      </c>
      <c r="G269" t="s">
        <v>2170</v>
      </c>
      <c r="H269" s="1">
        <v>45204</v>
      </c>
    </row>
    <row r="270" spans="1:8" x14ac:dyDescent="0.25">
      <c r="A270" t="s">
        <v>681</v>
      </c>
      <c r="B270" t="s">
        <v>2197</v>
      </c>
      <c r="C270" t="s">
        <v>682</v>
      </c>
      <c r="D270" t="s">
        <v>2129</v>
      </c>
      <c r="E270" t="s">
        <v>2149</v>
      </c>
      <c r="F270">
        <v>8000000</v>
      </c>
      <c r="G270" t="s">
        <v>2177</v>
      </c>
      <c r="H270" s="1">
        <v>44587</v>
      </c>
    </row>
    <row r="271" spans="1:8" x14ac:dyDescent="0.25">
      <c r="A271" t="s">
        <v>683</v>
      </c>
      <c r="B271" t="s">
        <v>2226</v>
      </c>
      <c r="C271" t="s">
        <v>684</v>
      </c>
      <c r="D271" t="s">
        <v>2137</v>
      </c>
      <c r="E271" t="s">
        <v>2134</v>
      </c>
      <c r="F271">
        <v>8000000</v>
      </c>
      <c r="G271" t="s">
        <v>2250</v>
      </c>
      <c r="H271" s="1">
        <v>44745</v>
      </c>
    </row>
    <row r="272" spans="1:8" x14ac:dyDescent="0.25">
      <c r="A272" t="s">
        <v>685</v>
      </c>
      <c r="B272" t="s">
        <v>2148</v>
      </c>
      <c r="C272" t="s">
        <v>686</v>
      </c>
      <c r="D272" t="s">
        <v>2144</v>
      </c>
      <c r="E272" t="s">
        <v>2124</v>
      </c>
      <c r="F272">
        <v>6500000</v>
      </c>
      <c r="G272" t="s">
        <v>2184</v>
      </c>
      <c r="H272" s="1">
        <v>44056</v>
      </c>
    </row>
    <row r="273" spans="1:8" x14ac:dyDescent="0.25">
      <c r="A273" t="s">
        <v>687</v>
      </c>
      <c r="B273" t="s">
        <v>2244</v>
      </c>
      <c r="C273" t="s">
        <v>688</v>
      </c>
      <c r="D273" t="s">
        <v>2144</v>
      </c>
      <c r="E273" t="s">
        <v>2120</v>
      </c>
      <c r="F273">
        <v>6500000</v>
      </c>
      <c r="G273" t="s">
        <v>2198</v>
      </c>
      <c r="H273" s="1">
        <v>44766</v>
      </c>
    </row>
    <row r="274" spans="1:8" x14ac:dyDescent="0.25">
      <c r="A274" t="s">
        <v>689</v>
      </c>
      <c r="B274" t="s">
        <v>2176</v>
      </c>
      <c r="C274" t="s">
        <v>690</v>
      </c>
      <c r="D274" t="s">
        <v>23</v>
      </c>
      <c r="E274" t="s">
        <v>2120</v>
      </c>
      <c r="F274">
        <v>6500000</v>
      </c>
      <c r="G274" t="s">
        <v>2121</v>
      </c>
      <c r="H274" s="1">
        <v>45782</v>
      </c>
    </row>
    <row r="275" spans="1:8" x14ac:dyDescent="0.25">
      <c r="A275" t="s">
        <v>691</v>
      </c>
      <c r="B275" t="s">
        <v>2297</v>
      </c>
      <c r="C275" t="s">
        <v>692</v>
      </c>
      <c r="D275" t="s">
        <v>2129</v>
      </c>
      <c r="E275" t="s">
        <v>2124</v>
      </c>
      <c r="F275">
        <v>13000000</v>
      </c>
      <c r="G275" t="s">
        <v>2151</v>
      </c>
      <c r="H275" s="1">
        <v>45083</v>
      </c>
    </row>
    <row r="276" spans="1:8" x14ac:dyDescent="0.25">
      <c r="A276" t="s">
        <v>693</v>
      </c>
      <c r="B276" t="s">
        <v>2126</v>
      </c>
      <c r="C276" t="s">
        <v>694</v>
      </c>
      <c r="D276" t="s">
        <v>2144</v>
      </c>
      <c r="E276" t="s">
        <v>2124</v>
      </c>
      <c r="F276">
        <v>8000000</v>
      </c>
      <c r="G276" t="s">
        <v>2121</v>
      </c>
      <c r="H276" s="1">
        <v>45205</v>
      </c>
    </row>
    <row r="277" spans="1:8" x14ac:dyDescent="0.25">
      <c r="A277" t="s">
        <v>695</v>
      </c>
      <c r="B277" t="s">
        <v>2298</v>
      </c>
      <c r="C277" t="s">
        <v>697</v>
      </c>
      <c r="D277" t="s">
        <v>2119</v>
      </c>
      <c r="E277" t="s">
        <v>2120</v>
      </c>
      <c r="F277">
        <v>10500000</v>
      </c>
      <c r="G277" t="s">
        <v>2210</v>
      </c>
      <c r="H277" s="1">
        <v>44512</v>
      </c>
    </row>
    <row r="278" spans="1:8" x14ac:dyDescent="0.25">
      <c r="A278" t="s">
        <v>698</v>
      </c>
      <c r="B278" t="s">
        <v>2272</v>
      </c>
      <c r="C278" t="s">
        <v>699</v>
      </c>
      <c r="D278" t="s">
        <v>2129</v>
      </c>
      <c r="E278" t="s">
        <v>2149</v>
      </c>
      <c r="F278">
        <v>6500000</v>
      </c>
      <c r="G278" t="s">
        <v>2127</v>
      </c>
      <c r="H278" s="1">
        <v>44959</v>
      </c>
    </row>
    <row r="279" spans="1:8" x14ac:dyDescent="0.25">
      <c r="A279" t="s">
        <v>700</v>
      </c>
      <c r="B279" t="s">
        <v>2298</v>
      </c>
      <c r="C279" t="s">
        <v>701</v>
      </c>
      <c r="D279" t="s">
        <v>2123</v>
      </c>
      <c r="E279" t="s">
        <v>2120</v>
      </c>
      <c r="F279">
        <v>10500000</v>
      </c>
      <c r="G279" t="s">
        <v>2131</v>
      </c>
      <c r="H279" s="1">
        <v>45787</v>
      </c>
    </row>
    <row r="280" spans="1:8" x14ac:dyDescent="0.25">
      <c r="A280" t="s">
        <v>702</v>
      </c>
      <c r="B280" t="s">
        <v>2278</v>
      </c>
      <c r="C280" t="s">
        <v>703</v>
      </c>
      <c r="D280" t="s">
        <v>18</v>
      </c>
      <c r="E280" t="s">
        <v>2124</v>
      </c>
      <c r="F280">
        <v>13000000</v>
      </c>
      <c r="G280" t="s">
        <v>2204</v>
      </c>
      <c r="H280" s="1">
        <v>44132</v>
      </c>
    </row>
    <row r="281" spans="1:8" x14ac:dyDescent="0.25">
      <c r="A281" t="s">
        <v>704</v>
      </c>
      <c r="B281" t="s">
        <v>2260</v>
      </c>
      <c r="C281" t="s">
        <v>705</v>
      </c>
      <c r="D281" t="s">
        <v>2144</v>
      </c>
      <c r="E281" t="s">
        <v>2149</v>
      </c>
      <c r="F281">
        <v>8000000</v>
      </c>
      <c r="G281" t="s">
        <v>2177</v>
      </c>
      <c r="H281" s="1">
        <v>44520</v>
      </c>
    </row>
    <row r="282" spans="1:8" x14ac:dyDescent="0.25">
      <c r="A282" t="s">
        <v>706</v>
      </c>
      <c r="B282" t="s">
        <v>2286</v>
      </c>
      <c r="C282" t="s">
        <v>707</v>
      </c>
      <c r="D282" t="s">
        <v>2129</v>
      </c>
      <c r="E282" t="s">
        <v>2124</v>
      </c>
      <c r="F282">
        <v>13000000</v>
      </c>
      <c r="G282" t="s">
        <v>2184</v>
      </c>
      <c r="H282" s="1">
        <v>45749</v>
      </c>
    </row>
    <row r="283" spans="1:8" x14ac:dyDescent="0.25">
      <c r="A283" t="s">
        <v>708</v>
      </c>
      <c r="B283" t="s">
        <v>2136</v>
      </c>
      <c r="C283" t="s">
        <v>709</v>
      </c>
      <c r="D283" t="s">
        <v>2137</v>
      </c>
      <c r="E283" t="s">
        <v>2130</v>
      </c>
      <c r="F283">
        <v>6500000</v>
      </c>
      <c r="G283" t="s">
        <v>2265</v>
      </c>
      <c r="H283" s="1">
        <v>44914</v>
      </c>
    </row>
    <row r="284" spans="1:8" x14ac:dyDescent="0.25">
      <c r="A284" t="s">
        <v>710</v>
      </c>
      <c r="B284" t="s">
        <v>2263</v>
      </c>
      <c r="C284" t="s">
        <v>711</v>
      </c>
      <c r="D284" t="s">
        <v>2137</v>
      </c>
      <c r="E284" t="s">
        <v>2130</v>
      </c>
      <c r="F284">
        <v>8000000</v>
      </c>
      <c r="G284" t="s">
        <v>2159</v>
      </c>
      <c r="H284" s="1">
        <v>44966</v>
      </c>
    </row>
    <row r="285" spans="1:8" x14ac:dyDescent="0.25">
      <c r="A285" t="s">
        <v>712</v>
      </c>
      <c r="B285" t="s">
        <v>2283</v>
      </c>
      <c r="C285" t="s">
        <v>713</v>
      </c>
      <c r="D285" t="s">
        <v>2133</v>
      </c>
      <c r="E285" t="s">
        <v>2149</v>
      </c>
      <c r="F285">
        <v>6500000</v>
      </c>
      <c r="G285" t="s">
        <v>2239</v>
      </c>
      <c r="H285" s="1">
        <v>44314</v>
      </c>
    </row>
    <row r="286" spans="1:8" x14ac:dyDescent="0.25">
      <c r="A286" t="s">
        <v>714</v>
      </c>
      <c r="B286" t="s">
        <v>2139</v>
      </c>
      <c r="C286" t="s">
        <v>715</v>
      </c>
      <c r="D286" t="s">
        <v>2123</v>
      </c>
      <c r="E286" t="s">
        <v>2120</v>
      </c>
      <c r="F286">
        <v>13000000</v>
      </c>
      <c r="G286" t="s">
        <v>2157</v>
      </c>
      <c r="H286" s="1">
        <v>44988</v>
      </c>
    </row>
    <row r="287" spans="1:8" x14ac:dyDescent="0.25">
      <c r="A287" t="s">
        <v>716</v>
      </c>
      <c r="B287" t="s">
        <v>2287</v>
      </c>
      <c r="C287" t="s">
        <v>717</v>
      </c>
      <c r="D287" t="s">
        <v>2137</v>
      </c>
      <c r="E287" t="s">
        <v>2130</v>
      </c>
      <c r="F287">
        <v>10500000</v>
      </c>
      <c r="G287" t="s">
        <v>2121</v>
      </c>
      <c r="H287" s="1">
        <v>45798</v>
      </c>
    </row>
    <row r="288" spans="1:8" x14ac:dyDescent="0.25">
      <c r="A288" t="s">
        <v>73</v>
      </c>
      <c r="B288" t="s">
        <v>2269</v>
      </c>
      <c r="C288" t="s">
        <v>76</v>
      </c>
      <c r="D288" t="s">
        <v>2144</v>
      </c>
      <c r="E288" t="s">
        <v>2130</v>
      </c>
      <c r="F288">
        <v>5500000</v>
      </c>
      <c r="G288" t="s">
        <v>2151</v>
      </c>
      <c r="H288" s="1">
        <v>44908</v>
      </c>
    </row>
    <row r="289" spans="1:8" x14ac:dyDescent="0.25">
      <c r="A289" t="s">
        <v>718</v>
      </c>
      <c r="B289" t="s">
        <v>2299</v>
      </c>
      <c r="C289" t="s">
        <v>720</v>
      </c>
      <c r="D289" t="s">
        <v>2137</v>
      </c>
      <c r="E289" t="s">
        <v>2124</v>
      </c>
      <c r="F289">
        <v>6500000</v>
      </c>
      <c r="G289" t="s">
        <v>2180</v>
      </c>
      <c r="H289" s="1">
        <v>45231</v>
      </c>
    </row>
    <row r="290" spans="1:8" x14ac:dyDescent="0.25">
      <c r="A290" t="s">
        <v>721</v>
      </c>
      <c r="B290" t="s">
        <v>2164</v>
      </c>
      <c r="C290" t="s">
        <v>722</v>
      </c>
      <c r="D290" t="s">
        <v>14</v>
      </c>
      <c r="E290" t="s">
        <v>2124</v>
      </c>
      <c r="F290">
        <v>6500000</v>
      </c>
      <c r="G290" t="s">
        <v>2182</v>
      </c>
      <c r="H290" s="1">
        <v>44422</v>
      </c>
    </row>
    <row r="291" spans="1:8" x14ac:dyDescent="0.25">
      <c r="A291" t="s">
        <v>723</v>
      </c>
      <c r="B291" t="s">
        <v>2253</v>
      </c>
      <c r="C291" t="s">
        <v>724</v>
      </c>
      <c r="D291" t="s">
        <v>2137</v>
      </c>
      <c r="E291" t="s">
        <v>2124</v>
      </c>
      <c r="F291">
        <v>5500000</v>
      </c>
      <c r="G291" t="s">
        <v>2131</v>
      </c>
      <c r="H291" s="1">
        <v>44112</v>
      </c>
    </row>
    <row r="292" spans="1:8" x14ac:dyDescent="0.25">
      <c r="A292" t="s">
        <v>725</v>
      </c>
      <c r="B292" t="s">
        <v>2146</v>
      </c>
      <c r="C292" t="s">
        <v>726</v>
      </c>
      <c r="D292" t="s">
        <v>2137</v>
      </c>
      <c r="E292" t="s">
        <v>2124</v>
      </c>
      <c r="F292">
        <v>8000000</v>
      </c>
      <c r="G292" t="s">
        <v>2131</v>
      </c>
      <c r="H292" s="1">
        <v>44412</v>
      </c>
    </row>
    <row r="293" spans="1:8" x14ac:dyDescent="0.25">
      <c r="A293" t="s">
        <v>727</v>
      </c>
      <c r="B293" t="s">
        <v>2300</v>
      </c>
      <c r="C293" t="s">
        <v>728</v>
      </c>
      <c r="D293" t="s">
        <v>2144</v>
      </c>
      <c r="E293" t="s">
        <v>2120</v>
      </c>
      <c r="F293">
        <v>5500000</v>
      </c>
      <c r="G293" t="s">
        <v>2168</v>
      </c>
      <c r="H293" s="1">
        <v>45743</v>
      </c>
    </row>
    <row r="294" spans="1:8" x14ac:dyDescent="0.25">
      <c r="A294" t="s">
        <v>729</v>
      </c>
      <c r="B294" t="s">
        <v>2260</v>
      </c>
      <c r="C294" t="s">
        <v>730</v>
      </c>
      <c r="D294" t="s">
        <v>2133</v>
      </c>
      <c r="E294" t="s">
        <v>2149</v>
      </c>
      <c r="F294">
        <v>8000000</v>
      </c>
      <c r="G294" t="s">
        <v>2265</v>
      </c>
      <c r="H294" s="1">
        <v>45749</v>
      </c>
    </row>
    <row r="295" spans="1:8" x14ac:dyDescent="0.25">
      <c r="A295" t="s">
        <v>731</v>
      </c>
      <c r="B295" t="s">
        <v>2293</v>
      </c>
      <c r="C295" t="s">
        <v>732</v>
      </c>
      <c r="D295" t="s">
        <v>2123</v>
      </c>
      <c r="E295" t="s">
        <v>2124</v>
      </c>
      <c r="F295">
        <v>10500000</v>
      </c>
      <c r="G295" t="s">
        <v>2180</v>
      </c>
      <c r="H295" s="1">
        <v>44365</v>
      </c>
    </row>
    <row r="296" spans="1:8" x14ac:dyDescent="0.25">
      <c r="A296" t="s">
        <v>733</v>
      </c>
      <c r="B296" t="s">
        <v>2301</v>
      </c>
      <c r="C296" t="s">
        <v>734</v>
      </c>
      <c r="D296" t="s">
        <v>42</v>
      </c>
      <c r="E296" t="s">
        <v>2134</v>
      </c>
      <c r="F296">
        <v>6500000</v>
      </c>
      <c r="G296" t="s">
        <v>2121</v>
      </c>
      <c r="H296" s="1">
        <v>45592</v>
      </c>
    </row>
    <row r="297" spans="1:8" x14ac:dyDescent="0.25">
      <c r="A297" t="s">
        <v>737</v>
      </c>
      <c r="B297" t="s">
        <v>2274</v>
      </c>
      <c r="C297" t="s">
        <v>738</v>
      </c>
      <c r="D297" t="s">
        <v>23</v>
      </c>
      <c r="E297" t="s">
        <v>2149</v>
      </c>
      <c r="F297">
        <v>13000000</v>
      </c>
      <c r="G297" t="s">
        <v>2121</v>
      </c>
      <c r="H297" s="1">
        <v>45637</v>
      </c>
    </row>
    <row r="298" spans="1:8" x14ac:dyDescent="0.25">
      <c r="A298" t="s">
        <v>739</v>
      </c>
      <c r="B298" t="s">
        <v>2218</v>
      </c>
      <c r="C298" t="s">
        <v>740</v>
      </c>
      <c r="D298" t="s">
        <v>2137</v>
      </c>
      <c r="E298" t="s">
        <v>2124</v>
      </c>
      <c r="F298">
        <v>5500000</v>
      </c>
      <c r="G298" t="s">
        <v>2138</v>
      </c>
      <c r="H298" s="1">
        <v>43994</v>
      </c>
    </row>
    <row r="299" spans="1:8" x14ac:dyDescent="0.25">
      <c r="A299" t="s">
        <v>741</v>
      </c>
      <c r="B299" t="s">
        <v>2259</v>
      </c>
      <c r="C299" t="s">
        <v>742</v>
      </c>
      <c r="D299" t="s">
        <v>14</v>
      </c>
      <c r="E299" t="s">
        <v>2149</v>
      </c>
      <c r="F299">
        <v>10500000</v>
      </c>
      <c r="G299" t="s">
        <v>2145</v>
      </c>
      <c r="H299" s="1">
        <v>44676</v>
      </c>
    </row>
    <row r="300" spans="1:8" x14ac:dyDescent="0.25">
      <c r="A300" t="s">
        <v>743</v>
      </c>
      <c r="B300" t="s">
        <v>2192</v>
      </c>
      <c r="C300" t="s">
        <v>744</v>
      </c>
      <c r="D300" t="s">
        <v>2133</v>
      </c>
      <c r="E300" t="s">
        <v>2149</v>
      </c>
      <c r="F300">
        <v>6500000</v>
      </c>
      <c r="G300" t="s">
        <v>2201</v>
      </c>
      <c r="H300" s="1">
        <v>45148</v>
      </c>
    </row>
    <row r="301" spans="1:8" x14ac:dyDescent="0.25">
      <c r="A301" t="s">
        <v>745</v>
      </c>
      <c r="B301" t="s">
        <v>2194</v>
      </c>
      <c r="C301" t="s">
        <v>746</v>
      </c>
      <c r="D301" t="s">
        <v>2123</v>
      </c>
      <c r="E301" t="s">
        <v>2149</v>
      </c>
      <c r="F301">
        <v>10500000</v>
      </c>
      <c r="G301" t="s">
        <v>2153</v>
      </c>
      <c r="H301" s="1">
        <v>45965</v>
      </c>
    </row>
    <row r="302" spans="1:8" x14ac:dyDescent="0.25">
      <c r="A302" t="s">
        <v>747</v>
      </c>
      <c r="B302" t="s">
        <v>2267</v>
      </c>
      <c r="C302" t="s">
        <v>748</v>
      </c>
      <c r="D302" t="s">
        <v>2123</v>
      </c>
      <c r="E302" t="s">
        <v>2120</v>
      </c>
      <c r="F302">
        <v>13000000</v>
      </c>
      <c r="G302" t="s">
        <v>2170</v>
      </c>
      <c r="H302" s="1">
        <v>44551</v>
      </c>
    </row>
    <row r="303" spans="1:8" x14ac:dyDescent="0.25">
      <c r="A303" t="s">
        <v>749</v>
      </c>
      <c r="B303" t="s">
        <v>2173</v>
      </c>
      <c r="C303" t="s">
        <v>750</v>
      </c>
      <c r="D303" t="s">
        <v>2144</v>
      </c>
      <c r="E303" t="s">
        <v>2124</v>
      </c>
      <c r="F303">
        <v>6500000</v>
      </c>
      <c r="G303" t="s">
        <v>2151</v>
      </c>
      <c r="H303" s="1">
        <v>45623</v>
      </c>
    </row>
    <row r="304" spans="1:8" x14ac:dyDescent="0.25">
      <c r="A304" t="s">
        <v>751</v>
      </c>
      <c r="B304" t="s">
        <v>2139</v>
      </c>
      <c r="C304" t="s">
        <v>752</v>
      </c>
      <c r="D304" t="s">
        <v>2133</v>
      </c>
      <c r="E304" t="s">
        <v>2130</v>
      </c>
      <c r="F304">
        <v>5500000</v>
      </c>
      <c r="G304" t="s">
        <v>2229</v>
      </c>
      <c r="H304" s="1">
        <v>44039</v>
      </c>
    </row>
    <row r="305" spans="1:8" x14ac:dyDescent="0.25">
      <c r="A305" t="s">
        <v>753</v>
      </c>
      <c r="B305" t="s">
        <v>2209</v>
      </c>
      <c r="C305" t="s">
        <v>754</v>
      </c>
      <c r="D305" t="s">
        <v>2137</v>
      </c>
      <c r="E305" t="s">
        <v>2149</v>
      </c>
      <c r="F305">
        <v>5500000</v>
      </c>
      <c r="G305" t="s">
        <v>2239</v>
      </c>
      <c r="H305" s="1">
        <v>45709</v>
      </c>
    </row>
    <row r="306" spans="1:8" x14ac:dyDescent="0.25">
      <c r="A306" t="s">
        <v>755</v>
      </c>
      <c r="B306" t="s">
        <v>2302</v>
      </c>
      <c r="C306" t="s">
        <v>756</v>
      </c>
      <c r="D306" t="s">
        <v>2129</v>
      </c>
      <c r="E306" t="s">
        <v>2149</v>
      </c>
      <c r="F306">
        <v>13000000</v>
      </c>
      <c r="G306" t="s">
        <v>2182</v>
      </c>
      <c r="H306" s="1">
        <v>44509</v>
      </c>
    </row>
    <row r="307" spans="1:8" x14ac:dyDescent="0.25">
      <c r="A307" t="s">
        <v>757</v>
      </c>
      <c r="B307" t="s">
        <v>2187</v>
      </c>
      <c r="C307" t="s">
        <v>758</v>
      </c>
      <c r="D307" t="s">
        <v>2137</v>
      </c>
      <c r="E307" t="s">
        <v>2120</v>
      </c>
      <c r="F307">
        <v>6500000</v>
      </c>
      <c r="G307" t="s">
        <v>2151</v>
      </c>
      <c r="H307" s="1">
        <v>45740</v>
      </c>
    </row>
    <row r="308" spans="1:8" x14ac:dyDescent="0.25">
      <c r="A308" t="s">
        <v>759</v>
      </c>
      <c r="B308" t="s">
        <v>2185</v>
      </c>
      <c r="C308" t="s">
        <v>760</v>
      </c>
      <c r="D308" t="s">
        <v>2133</v>
      </c>
      <c r="E308" t="s">
        <v>2134</v>
      </c>
      <c r="F308">
        <v>5500000</v>
      </c>
      <c r="G308" t="s">
        <v>2191</v>
      </c>
      <c r="H308" s="1">
        <v>45757</v>
      </c>
    </row>
    <row r="309" spans="1:8" x14ac:dyDescent="0.25">
      <c r="A309" t="s">
        <v>761</v>
      </c>
      <c r="B309" t="s">
        <v>2171</v>
      </c>
      <c r="C309" t="s">
        <v>762</v>
      </c>
      <c r="D309" t="s">
        <v>2123</v>
      </c>
      <c r="E309" t="s">
        <v>2124</v>
      </c>
      <c r="F309">
        <v>13000000</v>
      </c>
      <c r="G309" t="s">
        <v>2227</v>
      </c>
      <c r="H309" s="1">
        <v>43887</v>
      </c>
    </row>
    <row r="310" spans="1:8" x14ac:dyDescent="0.25">
      <c r="A310" t="s">
        <v>763</v>
      </c>
      <c r="B310" t="s">
        <v>2143</v>
      </c>
      <c r="C310" t="s">
        <v>764</v>
      </c>
      <c r="D310" t="s">
        <v>2133</v>
      </c>
      <c r="E310" t="s">
        <v>2130</v>
      </c>
      <c r="F310">
        <v>5500000</v>
      </c>
      <c r="G310" t="s">
        <v>2227</v>
      </c>
      <c r="H310" s="1">
        <v>45304</v>
      </c>
    </row>
    <row r="311" spans="1:8" x14ac:dyDescent="0.25">
      <c r="A311" t="s">
        <v>765</v>
      </c>
      <c r="B311" t="s">
        <v>2303</v>
      </c>
      <c r="C311" t="s">
        <v>767</v>
      </c>
      <c r="D311" t="s">
        <v>2129</v>
      </c>
      <c r="E311" t="s">
        <v>2124</v>
      </c>
      <c r="F311">
        <v>10500000</v>
      </c>
      <c r="G311" t="s">
        <v>2196</v>
      </c>
      <c r="H311" s="1">
        <v>44501</v>
      </c>
    </row>
    <row r="312" spans="1:8" x14ac:dyDescent="0.25">
      <c r="A312" t="s">
        <v>768</v>
      </c>
      <c r="B312" t="s">
        <v>2161</v>
      </c>
      <c r="C312" t="s">
        <v>769</v>
      </c>
      <c r="D312" t="s">
        <v>2119</v>
      </c>
      <c r="E312" t="s">
        <v>2124</v>
      </c>
      <c r="F312">
        <v>13000000</v>
      </c>
      <c r="G312" t="s">
        <v>2170</v>
      </c>
      <c r="H312" s="1">
        <v>45824</v>
      </c>
    </row>
    <row r="313" spans="1:8" x14ac:dyDescent="0.25">
      <c r="A313" t="s">
        <v>770</v>
      </c>
      <c r="B313" t="s">
        <v>2304</v>
      </c>
      <c r="C313" t="s">
        <v>772</v>
      </c>
      <c r="D313" t="s">
        <v>2129</v>
      </c>
      <c r="E313" t="s">
        <v>2130</v>
      </c>
      <c r="F313">
        <v>8000000</v>
      </c>
      <c r="G313" t="s">
        <v>2172</v>
      </c>
      <c r="H313" s="1">
        <v>45177</v>
      </c>
    </row>
    <row r="314" spans="1:8" x14ac:dyDescent="0.25">
      <c r="A314" t="s">
        <v>773</v>
      </c>
      <c r="B314" t="s">
        <v>2267</v>
      </c>
      <c r="C314" t="s">
        <v>774</v>
      </c>
      <c r="D314" t="s">
        <v>2129</v>
      </c>
      <c r="E314" t="s">
        <v>2120</v>
      </c>
      <c r="F314">
        <v>5500000</v>
      </c>
      <c r="G314" t="s">
        <v>2265</v>
      </c>
      <c r="H314" s="1">
        <v>44424</v>
      </c>
    </row>
    <row r="315" spans="1:8" x14ac:dyDescent="0.25">
      <c r="A315" t="s">
        <v>775</v>
      </c>
      <c r="B315" t="s">
        <v>2294</v>
      </c>
      <c r="C315" t="s">
        <v>776</v>
      </c>
      <c r="D315" t="s">
        <v>2119</v>
      </c>
      <c r="E315" t="s">
        <v>2124</v>
      </c>
      <c r="F315">
        <v>5500000</v>
      </c>
      <c r="G315" t="s">
        <v>2127</v>
      </c>
      <c r="H315" s="1">
        <v>45903</v>
      </c>
    </row>
    <row r="316" spans="1:8" x14ac:dyDescent="0.25">
      <c r="A316" t="s">
        <v>777</v>
      </c>
      <c r="B316" t="s">
        <v>2305</v>
      </c>
      <c r="C316" t="s">
        <v>778</v>
      </c>
      <c r="D316" t="s">
        <v>2129</v>
      </c>
      <c r="E316" t="s">
        <v>2149</v>
      </c>
      <c r="F316">
        <v>8000000</v>
      </c>
      <c r="G316" t="s">
        <v>2201</v>
      </c>
      <c r="H316" s="1">
        <v>44878</v>
      </c>
    </row>
    <row r="317" spans="1:8" x14ac:dyDescent="0.25">
      <c r="A317" t="s">
        <v>779</v>
      </c>
      <c r="B317" t="s">
        <v>2216</v>
      </c>
      <c r="C317" t="s">
        <v>780</v>
      </c>
      <c r="D317" t="s">
        <v>2119</v>
      </c>
      <c r="E317" t="s">
        <v>2124</v>
      </c>
      <c r="F317">
        <v>8000000</v>
      </c>
      <c r="G317" t="s">
        <v>2135</v>
      </c>
      <c r="H317" s="1">
        <v>44220</v>
      </c>
    </row>
    <row r="318" spans="1:8" x14ac:dyDescent="0.25">
      <c r="A318" t="s">
        <v>781</v>
      </c>
      <c r="B318" t="s">
        <v>2174</v>
      </c>
      <c r="C318" t="s">
        <v>782</v>
      </c>
      <c r="D318" t="s">
        <v>2133</v>
      </c>
      <c r="E318" t="s">
        <v>2130</v>
      </c>
      <c r="F318">
        <v>13000000</v>
      </c>
      <c r="G318" t="s">
        <v>2159</v>
      </c>
      <c r="H318" s="1">
        <v>44725</v>
      </c>
    </row>
    <row r="319" spans="1:8" x14ac:dyDescent="0.25">
      <c r="A319" t="s">
        <v>783</v>
      </c>
      <c r="B319" t="s">
        <v>2306</v>
      </c>
      <c r="C319" t="s">
        <v>784</v>
      </c>
      <c r="D319" t="s">
        <v>2119</v>
      </c>
      <c r="E319" t="s">
        <v>2130</v>
      </c>
      <c r="F319">
        <v>6500000</v>
      </c>
      <c r="G319" t="s">
        <v>2198</v>
      </c>
      <c r="H319" s="1">
        <v>44922</v>
      </c>
    </row>
    <row r="320" spans="1:8" x14ac:dyDescent="0.25">
      <c r="A320" t="s">
        <v>785</v>
      </c>
      <c r="B320" t="s">
        <v>2307</v>
      </c>
      <c r="C320" t="s">
        <v>787</v>
      </c>
      <c r="D320" t="s">
        <v>2137</v>
      </c>
      <c r="E320" t="s">
        <v>2149</v>
      </c>
      <c r="F320">
        <v>8000000</v>
      </c>
      <c r="G320" t="s">
        <v>2188</v>
      </c>
      <c r="H320" s="1">
        <v>44190</v>
      </c>
    </row>
    <row r="321" spans="1:8" x14ac:dyDescent="0.25">
      <c r="A321" t="s">
        <v>788</v>
      </c>
      <c r="B321" t="s">
        <v>2307</v>
      </c>
      <c r="C321" t="s">
        <v>789</v>
      </c>
      <c r="D321" t="s">
        <v>2144</v>
      </c>
      <c r="E321" t="s">
        <v>2120</v>
      </c>
      <c r="F321">
        <v>10500000</v>
      </c>
      <c r="G321" t="s">
        <v>2227</v>
      </c>
      <c r="H321" s="1">
        <v>44714</v>
      </c>
    </row>
    <row r="322" spans="1:8" x14ac:dyDescent="0.25">
      <c r="A322" t="s">
        <v>790</v>
      </c>
      <c r="B322" t="s">
        <v>2214</v>
      </c>
      <c r="C322" t="s">
        <v>791</v>
      </c>
      <c r="D322" t="s">
        <v>23</v>
      </c>
      <c r="E322" t="s">
        <v>2130</v>
      </c>
      <c r="F322">
        <v>5500000</v>
      </c>
      <c r="G322" t="s">
        <v>2151</v>
      </c>
      <c r="H322" s="1">
        <v>45730</v>
      </c>
    </row>
    <row r="323" spans="1:8" x14ac:dyDescent="0.25">
      <c r="A323" t="s">
        <v>792</v>
      </c>
      <c r="B323" t="s">
        <v>2254</v>
      </c>
      <c r="C323" t="s">
        <v>793</v>
      </c>
      <c r="D323" t="s">
        <v>2129</v>
      </c>
      <c r="E323" t="s">
        <v>2134</v>
      </c>
      <c r="F323">
        <v>6500000</v>
      </c>
      <c r="G323" t="s">
        <v>2184</v>
      </c>
      <c r="H323" s="1">
        <v>44005</v>
      </c>
    </row>
    <row r="324" spans="1:8" x14ac:dyDescent="0.25">
      <c r="A324" t="s">
        <v>211</v>
      </c>
      <c r="B324" t="s">
        <v>2278</v>
      </c>
      <c r="C324" t="s">
        <v>201</v>
      </c>
      <c r="D324" t="s">
        <v>2144</v>
      </c>
      <c r="E324" t="s">
        <v>2149</v>
      </c>
      <c r="F324">
        <v>10500000</v>
      </c>
      <c r="G324" t="s">
        <v>2210</v>
      </c>
      <c r="H324" s="1">
        <v>44757</v>
      </c>
    </row>
    <row r="325" spans="1:8" x14ac:dyDescent="0.25">
      <c r="A325" t="s">
        <v>794</v>
      </c>
      <c r="B325" t="s">
        <v>2218</v>
      </c>
      <c r="C325" t="s">
        <v>795</v>
      </c>
      <c r="D325" t="s">
        <v>2144</v>
      </c>
      <c r="E325" t="s">
        <v>2124</v>
      </c>
      <c r="F325">
        <v>5500000</v>
      </c>
      <c r="G325" t="s">
        <v>2201</v>
      </c>
      <c r="H325" s="1">
        <v>45858</v>
      </c>
    </row>
    <row r="326" spans="1:8" x14ac:dyDescent="0.25">
      <c r="A326" t="s">
        <v>796</v>
      </c>
      <c r="B326" t="s">
        <v>2308</v>
      </c>
      <c r="C326" t="s">
        <v>797</v>
      </c>
      <c r="D326" t="s">
        <v>37</v>
      </c>
      <c r="E326" t="s">
        <v>2124</v>
      </c>
      <c r="F326">
        <v>6500000</v>
      </c>
      <c r="G326" t="s">
        <v>2175</v>
      </c>
      <c r="H326" s="1">
        <v>45877</v>
      </c>
    </row>
    <row r="327" spans="1:8" x14ac:dyDescent="0.25">
      <c r="A327" t="s">
        <v>798</v>
      </c>
      <c r="B327" t="s">
        <v>2309</v>
      </c>
      <c r="C327" t="s">
        <v>799</v>
      </c>
      <c r="D327" t="s">
        <v>2133</v>
      </c>
      <c r="E327" t="s">
        <v>2134</v>
      </c>
      <c r="F327">
        <v>5500000</v>
      </c>
      <c r="G327" t="s">
        <v>2240</v>
      </c>
      <c r="H327" s="1">
        <v>45407</v>
      </c>
    </row>
    <row r="328" spans="1:8" x14ac:dyDescent="0.25">
      <c r="A328" t="s">
        <v>800</v>
      </c>
      <c r="B328" t="s">
        <v>2186</v>
      </c>
      <c r="C328" t="s">
        <v>801</v>
      </c>
      <c r="D328" t="s">
        <v>2144</v>
      </c>
      <c r="E328" t="s">
        <v>2134</v>
      </c>
      <c r="F328">
        <v>13000000</v>
      </c>
      <c r="G328" t="s">
        <v>2239</v>
      </c>
      <c r="H328" s="1">
        <v>44265</v>
      </c>
    </row>
    <row r="329" spans="1:8" x14ac:dyDescent="0.25">
      <c r="A329" t="s">
        <v>802</v>
      </c>
      <c r="B329" t="s">
        <v>2299</v>
      </c>
      <c r="C329" t="s">
        <v>803</v>
      </c>
      <c r="D329" t="s">
        <v>2133</v>
      </c>
      <c r="E329" t="s">
        <v>2134</v>
      </c>
      <c r="F329">
        <v>6500000</v>
      </c>
      <c r="G329" t="s">
        <v>2239</v>
      </c>
      <c r="H329" s="1">
        <v>44259</v>
      </c>
    </row>
    <row r="330" spans="1:8" x14ac:dyDescent="0.25">
      <c r="A330" t="s">
        <v>804</v>
      </c>
      <c r="B330" t="s">
        <v>2310</v>
      </c>
      <c r="C330" t="s">
        <v>806</v>
      </c>
      <c r="D330" t="s">
        <v>2137</v>
      </c>
      <c r="E330" t="s">
        <v>2124</v>
      </c>
      <c r="F330">
        <v>10500000</v>
      </c>
      <c r="G330" t="s">
        <v>2154</v>
      </c>
      <c r="H330" s="1">
        <v>45391</v>
      </c>
    </row>
    <row r="331" spans="1:8" x14ac:dyDescent="0.25">
      <c r="A331" t="s">
        <v>807</v>
      </c>
      <c r="B331" t="s">
        <v>2232</v>
      </c>
      <c r="C331" t="s">
        <v>808</v>
      </c>
      <c r="D331" t="s">
        <v>2137</v>
      </c>
      <c r="E331" t="s">
        <v>2149</v>
      </c>
      <c r="F331">
        <v>5500000</v>
      </c>
      <c r="G331" t="s">
        <v>2201</v>
      </c>
      <c r="H331" s="1">
        <v>45488</v>
      </c>
    </row>
    <row r="332" spans="1:8" x14ac:dyDescent="0.25">
      <c r="A332" t="s">
        <v>809</v>
      </c>
      <c r="B332" t="s">
        <v>2183</v>
      </c>
      <c r="C332" t="s">
        <v>810</v>
      </c>
      <c r="D332" t="s">
        <v>2144</v>
      </c>
      <c r="E332" t="s">
        <v>2130</v>
      </c>
      <c r="F332">
        <v>10500000</v>
      </c>
      <c r="G332" t="s">
        <v>2250</v>
      </c>
      <c r="H332" s="1">
        <v>44030</v>
      </c>
    </row>
    <row r="333" spans="1:8" x14ac:dyDescent="0.25">
      <c r="A333" t="s">
        <v>811</v>
      </c>
      <c r="B333" t="s">
        <v>2156</v>
      </c>
      <c r="C333" t="s">
        <v>812</v>
      </c>
      <c r="D333" t="s">
        <v>2133</v>
      </c>
      <c r="E333" t="s">
        <v>2130</v>
      </c>
      <c r="F333">
        <v>10500000</v>
      </c>
      <c r="G333" t="s">
        <v>2207</v>
      </c>
      <c r="H333" s="1">
        <v>44273</v>
      </c>
    </row>
    <row r="334" spans="1:8" x14ac:dyDescent="0.25">
      <c r="A334" t="s">
        <v>813</v>
      </c>
      <c r="B334" t="s">
        <v>2214</v>
      </c>
      <c r="C334" t="s">
        <v>814</v>
      </c>
      <c r="D334" t="s">
        <v>2123</v>
      </c>
      <c r="E334" t="s">
        <v>2130</v>
      </c>
      <c r="F334">
        <v>6500000</v>
      </c>
      <c r="G334" t="s">
        <v>2311</v>
      </c>
      <c r="H334" s="1">
        <v>45861</v>
      </c>
    </row>
    <row r="335" spans="1:8" x14ac:dyDescent="0.25">
      <c r="A335" t="s">
        <v>125</v>
      </c>
      <c r="B335" t="s">
        <v>2312</v>
      </c>
      <c r="C335" t="s">
        <v>130</v>
      </c>
      <c r="D335" t="s">
        <v>37</v>
      </c>
      <c r="E335" t="s">
        <v>2120</v>
      </c>
      <c r="F335">
        <v>6500000</v>
      </c>
      <c r="G335" t="s">
        <v>2163</v>
      </c>
      <c r="H335" s="1">
        <v>45127</v>
      </c>
    </row>
    <row r="336" spans="1:8" x14ac:dyDescent="0.25">
      <c r="A336" t="s">
        <v>815</v>
      </c>
      <c r="B336" t="s">
        <v>2223</v>
      </c>
      <c r="C336" t="s">
        <v>816</v>
      </c>
      <c r="D336" t="s">
        <v>14</v>
      </c>
      <c r="E336" t="s">
        <v>2120</v>
      </c>
      <c r="F336">
        <v>10500000</v>
      </c>
      <c r="G336" t="s">
        <v>2250</v>
      </c>
      <c r="H336" s="1">
        <v>45131</v>
      </c>
    </row>
    <row r="337" spans="1:8" x14ac:dyDescent="0.25">
      <c r="A337" t="s">
        <v>817</v>
      </c>
      <c r="B337" t="s">
        <v>2176</v>
      </c>
      <c r="C337" t="s">
        <v>818</v>
      </c>
      <c r="D337" t="s">
        <v>2133</v>
      </c>
      <c r="E337" t="s">
        <v>2149</v>
      </c>
      <c r="F337">
        <v>5500000</v>
      </c>
      <c r="G337" t="s">
        <v>2198</v>
      </c>
      <c r="H337" s="1">
        <v>44448</v>
      </c>
    </row>
    <row r="338" spans="1:8" x14ac:dyDescent="0.25">
      <c r="A338" t="s">
        <v>819</v>
      </c>
      <c r="B338" t="s">
        <v>2141</v>
      </c>
      <c r="C338" t="s">
        <v>820</v>
      </c>
      <c r="D338" t="s">
        <v>2133</v>
      </c>
      <c r="E338" t="s">
        <v>2149</v>
      </c>
      <c r="F338">
        <v>8000000</v>
      </c>
      <c r="G338" t="s">
        <v>2170</v>
      </c>
      <c r="H338" s="1">
        <v>44687</v>
      </c>
    </row>
    <row r="339" spans="1:8" x14ac:dyDescent="0.25">
      <c r="A339" t="s">
        <v>821</v>
      </c>
      <c r="B339" t="s">
        <v>2270</v>
      </c>
      <c r="C339" t="s">
        <v>822</v>
      </c>
      <c r="D339" t="s">
        <v>2119</v>
      </c>
      <c r="E339" t="s">
        <v>2130</v>
      </c>
      <c r="F339">
        <v>8000000</v>
      </c>
      <c r="G339" t="s">
        <v>2203</v>
      </c>
      <c r="H339" s="1">
        <v>45905</v>
      </c>
    </row>
    <row r="340" spans="1:8" x14ac:dyDescent="0.25">
      <c r="A340" t="s">
        <v>823</v>
      </c>
      <c r="B340" t="s">
        <v>2237</v>
      </c>
      <c r="C340" t="s">
        <v>824</v>
      </c>
      <c r="D340" t="s">
        <v>2129</v>
      </c>
      <c r="E340" t="s">
        <v>2134</v>
      </c>
      <c r="F340">
        <v>10500000</v>
      </c>
      <c r="G340" t="s">
        <v>2210</v>
      </c>
      <c r="H340" s="1">
        <v>43989</v>
      </c>
    </row>
    <row r="341" spans="1:8" x14ac:dyDescent="0.25">
      <c r="A341" t="s">
        <v>825</v>
      </c>
      <c r="B341" t="s">
        <v>2296</v>
      </c>
      <c r="C341" t="s">
        <v>826</v>
      </c>
      <c r="D341" t="s">
        <v>2129</v>
      </c>
      <c r="E341" t="s">
        <v>2130</v>
      </c>
      <c r="F341">
        <v>6500000</v>
      </c>
      <c r="G341" t="s">
        <v>2168</v>
      </c>
      <c r="H341" s="1">
        <v>45637</v>
      </c>
    </row>
    <row r="342" spans="1:8" x14ac:dyDescent="0.25">
      <c r="A342" t="s">
        <v>827</v>
      </c>
      <c r="B342" t="s">
        <v>2209</v>
      </c>
      <c r="C342" t="s">
        <v>828</v>
      </c>
      <c r="D342" t="s">
        <v>2119</v>
      </c>
      <c r="E342" t="s">
        <v>2120</v>
      </c>
      <c r="F342">
        <v>6500000</v>
      </c>
      <c r="G342" t="s">
        <v>2210</v>
      </c>
      <c r="H342" s="1">
        <v>44713</v>
      </c>
    </row>
    <row r="343" spans="1:8" x14ac:dyDescent="0.25">
      <c r="A343" t="s">
        <v>829</v>
      </c>
      <c r="B343" t="s">
        <v>2237</v>
      </c>
      <c r="C343" t="s">
        <v>830</v>
      </c>
      <c r="D343" t="s">
        <v>2123</v>
      </c>
      <c r="E343" t="s">
        <v>2124</v>
      </c>
      <c r="F343">
        <v>13000000</v>
      </c>
      <c r="G343" t="s">
        <v>2250</v>
      </c>
      <c r="H343" s="1">
        <v>45891</v>
      </c>
    </row>
    <row r="344" spans="1:8" x14ac:dyDescent="0.25">
      <c r="A344" t="s">
        <v>831</v>
      </c>
      <c r="B344" t="s">
        <v>2288</v>
      </c>
      <c r="C344" t="s">
        <v>832</v>
      </c>
      <c r="D344" t="s">
        <v>2119</v>
      </c>
      <c r="E344" t="s">
        <v>2120</v>
      </c>
      <c r="F344">
        <v>8000000</v>
      </c>
      <c r="G344" t="s">
        <v>2184</v>
      </c>
      <c r="H344" s="1">
        <v>44824</v>
      </c>
    </row>
    <row r="345" spans="1:8" x14ac:dyDescent="0.25">
      <c r="A345" t="s">
        <v>833</v>
      </c>
      <c r="B345" t="s">
        <v>2211</v>
      </c>
      <c r="C345" t="s">
        <v>834</v>
      </c>
      <c r="D345" t="s">
        <v>2144</v>
      </c>
      <c r="E345" t="s">
        <v>2124</v>
      </c>
      <c r="F345">
        <v>13000000</v>
      </c>
      <c r="G345" t="s">
        <v>2153</v>
      </c>
      <c r="H345" s="1">
        <v>45561</v>
      </c>
    </row>
    <row r="346" spans="1:8" x14ac:dyDescent="0.25">
      <c r="A346" t="s">
        <v>835</v>
      </c>
      <c r="B346" t="s">
        <v>2313</v>
      </c>
      <c r="C346" t="s">
        <v>837</v>
      </c>
      <c r="D346" t="s">
        <v>2133</v>
      </c>
      <c r="E346" t="s">
        <v>2124</v>
      </c>
      <c r="F346">
        <v>10500000</v>
      </c>
      <c r="G346" t="s">
        <v>2188</v>
      </c>
      <c r="H346" s="1">
        <v>43841</v>
      </c>
    </row>
    <row r="347" spans="1:8" x14ac:dyDescent="0.25">
      <c r="A347" t="s">
        <v>838</v>
      </c>
      <c r="B347" t="s">
        <v>2314</v>
      </c>
      <c r="C347" t="s">
        <v>840</v>
      </c>
      <c r="D347" t="s">
        <v>2144</v>
      </c>
      <c r="E347" t="s">
        <v>2149</v>
      </c>
      <c r="F347">
        <v>6500000</v>
      </c>
      <c r="G347" t="s">
        <v>2177</v>
      </c>
      <c r="H347" s="1">
        <v>45740</v>
      </c>
    </row>
    <row r="348" spans="1:8" x14ac:dyDescent="0.25">
      <c r="A348" t="s">
        <v>841</v>
      </c>
      <c r="B348" t="s">
        <v>2148</v>
      </c>
      <c r="C348" t="s">
        <v>842</v>
      </c>
      <c r="D348" t="s">
        <v>2144</v>
      </c>
      <c r="E348" t="s">
        <v>2124</v>
      </c>
      <c r="F348">
        <v>13000000</v>
      </c>
      <c r="G348" t="s">
        <v>2213</v>
      </c>
      <c r="H348" s="1">
        <v>45652</v>
      </c>
    </row>
    <row r="349" spans="1:8" x14ac:dyDescent="0.25">
      <c r="A349" t="s">
        <v>843</v>
      </c>
      <c r="B349" t="s">
        <v>2152</v>
      </c>
      <c r="C349" t="s">
        <v>844</v>
      </c>
      <c r="D349" t="s">
        <v>2144</v>
      </c>
      <c r="E349" t="s">
        <v>2124</v>
      </c>
      <c r="F349">
        <v>13000000</v>
      </c>
      <c r="G349" t="s">
        <v>2140</v>
      </c>
      <c r="H349" s="1">
        <v>44090</v>
      </c>
    </row>
    <row r="350" spans="1:8" x14ac:dyDescent="0.25">
      <c r="A350" t="s">
        <v>213</v>
      </c>
      <c r="B350" t="s">
        <v>2315</v>
      </c>
      <c r="C350" t="s">
        <v>201</v>
      </c>
      <c r="D350" t="s">
        <v>2119</v>
      </c>
      <c r="E350" t="s">
        <v>2134</v>
      </c>
      <c r="F350">
        <v>13000000</v>
      </c>
      <c r="G350" t="s">
        <v>2127</v>
      </c>
      <c r="H350" s="1">
        <v>44970</v>
      </c>
    </row>
    <row r="351" spans="1:8" x14ac:dyDescent="0.25">
      <c r="A351" t="s">
        <v>845</v>
      </c>
      <c r="B351" t="s">
        <v>2241</v>
      </c>
      <c r="C351" t="s">
        <v>846</v>
      </c>
      <c r="D351" t="s">
        <v>2119</v>
      </c>
      <c r="E351" t="s">
        <v>2120</v>
      </c>
      <c r="F351">
        <v>8000000</v>
      </c>
      <c r="G351" t="s">
        <v>2239</v>
      </c>
      <c r="H351" s="1">
        <v>45124</v>
      </c>
    </row>
    <row r="352" spans="1:8" x14ac:dyDescent="0.25">
      <c r="A352" t="s">
        <v>847</v>
      </c>
      <c r="B352" t="s">
        <v>2314</v>
      </c>
      <c r="C352" t="s">
        <v>848</v>
      </c>
      <c r="D352" t="s">
        <v>2144</v>
      </c>
      <c r="E352" t="s">
        <v>2124</v>
      </c>
      <c r="F352">
        <v>10500000</v>
      </c>
      <c r="G352" t="s">
        <v>2170</v>
      </c>
      <c r="H352" s="1">
        <v>45275</v>
      </c>
    </row>
    <row r="353" spans="1:8" x14ac:dyDescent="0.25">
      <c r="A353" t="s">
        <v>849</v>
      </c>
      <c r="B353" t="s">
        <v>2228</v>
      </c>
      <c r="C353" t="s">
        <v>850</v>
      </c>
      <c r="D353" t="s">
        <v>2133</v>
      </c>
      <c r="E353" t="s">
        <v>2124</v>
      </c>
      <c r="F353">
        <v>10500000</v>
      </c>
      <c r="G353" t="s">
        <v>2182</v>
      </c>
      <c r="H353" s="1">
        <v>44789</v>
      </c>
    </row>
    <row r="354" spans="1:8" x14ac:dyDescent="0.25">
      <c r="A354" t="s">
        <v>851</v>
      </c>
      <c r="B354" t="s">
        <v>2316</v>
      </c>
      <c r="C354" t="s">
        <v>852</v>
      </c>
      <c r="D354" t="s">
        <v>23</v>
      </c>
      <c r="E354" t="s">
        <v>2120</v>
      </c>
      <c r="F354">
        <v>13000000</v>
      </c>
      <c r="G354" t="s">
        <v>2159</v>
      </c>
      <c r="H354" s="1">
        <v>45952</v>
      </c>
    </row>
    <row r="355" spans="1:8" x14ac:dyDescent="0.25">
      <c r="A355" t="s">
        <v>853</v>
      </c>
      <c r="B355" t="s">
        <v>2222</v>
      </c>
      <c r="C355" t="s">
        <v>854</v>
      </c>
      <c r="D355" t="s">
        <v>2129</v>
      </c>
      <c r="E355" t="s">
        <v>2130</v>
      </c>
      <c r="F355">
        <v>5500000</v>
      </c>
      <c r="G355" t="s">
        <v>2163</v>
      </c>
      <c r="H355" s="1">
        <v>43952</v>
      </c>
    </row>
    <row r="356" spans="1:8" x14ac:dyDescent="0.25">
      <c r="A356" t="s">
        <v>855</v>
      </c>
      <c r="B356" t="s">
        <v>2297</v>
      </c>
      <c r="C356" t="s">
        <v>856</v>
      </c>
      <c r="D356" t="s">
        <v>2137</v>
      </c>
      <c r="E356" t="s">
        <v>2124</v>
      </c>
      <c r="F356">
        <v>6500000</v>
      </c>
      <c r="G356" t="s">
        <v>2153</v>
      </c>
      <c r="H356" s="1">
        <v>43999</v>
      </c>
    </row>
    <row r="357" spans="1:8" x14ac:dyDescent="0.25">
      <c r="A357" t="s">
        <v>857</v>
      </c>
      <c r="B357" t="s">
        <v>2141</v>
      </c>
      <c r="C357" t="s">
        <v>858</v>
      </c>
      <c r="D357" t="s">
        <v>2119</v>
      </c>
      <c r="E357" t="s">
        <v>2149</v>
      </c>
      <c r="F357">
        <v>10500000</v>
      </c>
      <c r="G357" t="s">
        <v>2175</v>
      </c>
      <c r="H357" s="1">
        <v>45449</v>
      </c>
    </row>
    <row r="358" spans="1:8" x14ac:dyDescent="0.25">
      <c r="A358" t="s">
        <v>859</v>
      </c>
      <c r="B358" t="s">
        <v>2128</v>
      </c>
      <c r="C358" t="s">
        <v>860</v>
      </c>
      <c r="D358" t="s">
        <v>2129</v>
      </c>
      <c r="E358" t="s">
        <v>2134</v>
      </c>
      <c r="F358">
        <v>8000000</v>
      </c>
      <c r="G358" t="s">
        <v>2317</v>
      </c>
      <c r="H358" s="1">
        <v>44636</v>
      </c>
    </row>
    <row r="359" spans="1:8" x14ac:dyDescent="0.25">
      <c r="A359" t="s">
        <v>861</v>
      </c>
      <c r="B359" t="s">
        <v>2278</v>
      </c>
      <c r="C359" t="s">
        <v>862</v>
      </c>
      <c r="D359" t="s">
        <v>2129</v>
      </c>
      <c r="E359" t="s">
        <v>2130</v>
      </c>
      <c r="F359">
        <v>10500000</v>
      </c>
      <c r="G359" t="s">
        <v>2250</v>
      </c>
      <c r="H359" s="1">
        <v>44580</v>
      </c>
    </row>
    <row r="360" spans="1:8" x14ac:dyDescent="0.25">
      <c r="A360" t="s">
        <v>863</v>
      </c>
      <c r="B360" t="s">
        <v>2278</v>
      </c>
      <c r="C360" t="s">
        <v>864</v>
      </c>
      <c r="D360" t="s">
        <v>2123</v>
      </c>
      <c r="E360" t="s">
        <v>2124</v>
      </c>
      <c r="F360">
        <v>10500000</v>
      </c>
      <c r="G360" t="s">
        <v>2142</v>
      </c>
      <c r="H360" s="1">
        <v>45932</v>
      </c>
    </row>
    <row r="361" spans="1:8" x14ac:dyDescent="0.25">
      <c r="A361" t="s">
        <v>865</v>
      </c>
      <c r="B361" t="s">
        <v>2231</v>
      </c>
      <c r="C361" t="s">
        <v>866</v>
      </c>
      <c r="D361" t="s">
        <v>2144</v>
      </c>
      <c r="E361" t="s">
        <v>2130</v>
      </c>
      <c r="F361">
        <v>10500000</v>
      </c>
      <c r="G361" t="s">
        <v>2168</v>
      </c>
      <c r="H361" s="1">
        <v>44464</v>
      </c>
    </row>
    <row r="362" spans="1:8" x14ac:dyDescent="0.25">
      <c r="A362" t="s">
        <v>867</v>
      </c>
      <c r="B362" t="s">
        <v>2173</v>
      </c>
      <c r="C362" t="s">
        <v>868</v>
      </c>
      <c r="D362" t="s">
        <v>2137</v>
      </c>
      <c r="E362" t="s">
        <v>2134</v>
      </c>
      <c r="F362">
        <v>6500000</v>
      </c>
      <c r="G362" t="s">
        <v>2191</v>
      </c>
      <c r="H362" s="1">
        <v>44547</v>
      </c>
    </row>
    <row r="363" spans="1:8" x14ac:dyDescent="0.25">
      <c r="A363" t="s">
        <v>869</v>
      </c>
      <c r="B363" t="s">
        <v>2318</v>
      </c>
      <c r="C363" t="s">
        <v>871</v>
      </c>
      <c r="D363" t="s">
        <v>2123</v>
      </c>
      <c r="E363" t="s">
        <v>2130</v>
      </c>
      <c r="F363">
        <v>5500000</v>
      </c>
      <c r="G363" t="s">
        <v>2207</v>
      </c>
      <c r="H363" s="1">
        <v>44571</v>
      </c>
    </row>
    <row r="364" spans="1:8" x14ac:dyDescent="0.25">
      <c r="A364" t="s">
        <v>872</v>
      </c>
      <c r="B364" t="s">
        <v>2319</v>
      </c>
      <c r="C364" t="s">
        <v>873</v>
      </c>
      <c r="D364" t="s">
        <v>2137</v>
      </c>
      <c r="E364" t="s">
        <v>2124</v>
      </c>
      <c r="F364">
        <v>10500000</v>
      </c>
      <c r="G364" t="s">
        <v>2210</v>
      </c>
      <c r="H364" s="1">
        <v>44231</v>
      </c>
    </row>
    <row r="365" spans="1:8" x14ac:dyDescent="0.25">
      <c r="A365" t="s">
        <v>874</v>
      </c>
      <c r="B365" t="s">
        <v>2232</v>
      </c>
      <c r="C365" t="s">
        <v>875</v>
      </c>
      <c r="D365" t="s">
        <v>2129</v>
      </c>
      <c r="E365" t="s">
        <v>2130</v>
      </c>
      <c r="F365">
        <v>10500000</v>
      </c>
      <c r="G365" t="s">
        <v>2239</v>
      </c>
      <c r="H365" s="1">
        <v>45055</v>
      </c>
    </row>
    <row r="366" spans="1:8" x14ac:dyDescent="0.25">
      <c r="A366" t="s">
        <v>876</v>
      </c>
      <c r="B366" t="s">
        <v>2320</v>
      </c>
      <c r="C366" t="s">
        <v>878</v>
      </c>
      <c r="D366" t="s">
        <v>37</v>
      </c>
      <c r="E366" t="s">
        <v>2130</v>
      </c>
      <c r="F366">
        <v>6500000</v>
      </c>
      <c r="G366" t="s">
        <v>2239</v>
      </c>
      <c r="H366" s="1">
        <v>44860</v>
      </c>
    </row>
    <row r="367" spans="1:8" x14ac:dyDescent="0.25">
      <c r="A367" t="s">
        <v>879</v>
      </c>
      <c r="B367" t="s">
        <v>2217</v>
      </c>
      <c r="C367" t="s">
        <v>880</v>
      </c>
      <c r="D367" t="s">
        <v>2133</v>
      </c>
      <c r="E367" t="s">
        <v>2124</v>
      </c>
      <c r="F367">
        <v>5500000</v>
      </c>
      <c r="G367" t="s">
        <v>2180</v>
      </c>
      <c r="H367" s="1">
        <v>44953</v>
      </c>
    </row>
    <row r="368" spans="1:8" x14ac:dyDescent="0.25">
      <c r="A368" t="s">
        <v>881</v>
      </c>
      <c r="B368" t="s">
        <v>2259</v>
      </c>
      <c r="C368" t="s">
        <v>882</v>
      </c>
      <c r="D368" t="s">
        <v>2129</v>
      </c>
      <c r="E368" t="s">
        <v>2120</v>
      </c>
      <c r="F368">
        <v>6500000</v>
      </c>
      <c r="G368" t="s">
        <v>2121</v>
      </c>
      <c r="H368" s="1">
        <v>44395</v>
      </c>
    </row>
    <row r="369" spans="1:8" x14ac:dyDescent="0.25">
      <c r="A369" t="s">
        <v>883</v>
      </c>
      <c r="B369" t="s">
        <v>2225</v>
      </c>
      <c r="C369" t="s">
        <v>884</v>
      </c>
      <c r="D369" t="s">
        <v>2129</v>
      </c>
      <c r="E369" t="s">
        <v>2149</v>
      </c>
      <c r="F369">
        <v>6500000</v>
      </c>
      <c r="G369" t="s">
        <v>2135</v>
      </c>
      <c r="H369" s="1">
        <v>44382</v>
      </c>
    </row>
    <row r="370" spans="1:8" x14ac:dyDescent="0.25">
      <c r="A370" t="s">
        <v>885</v>
      </c>
      <c r="B370" t="s">
        <v>2183</v>
      </c>
      <c r="C370" t="s">
        <v>886</v>
      </c>
      <c r="D370" t="s">
        <v>2129</v>
      </c>
      <c r="E370" t="s">
        <v>2120</v>
      </c>
      <c r="F370">
        <v>8000000</v>
      </c>
      <c r="G370" t="s">
        <v>2170</v>
      </c>
      <c r="H370" s="1">
        <v>44457</v>
      </c>
    </row>
    <row r="371" spans="1:8" x14ac:dyDescent="0.25">
      <c r="A371" t="s">
        <v>887</v>
      </c>
      <c r="B371" t="s">
        <v>2285</v>
      </c>
      <c r="C371" t="s">
        <v>888</v>
      </c>
      <c r="D371" t="s">
        <v>2119</v>
      </c>
      <c r="E371" t="s">
        <v>2124</v>
      </c>
      <c r="F371">
        <v>5500000</v>
      </c>
      <c r="G371" t="s">
        <v>2135</v>
      </c>
      <c r="H371" s="1">
        <v>44344</v>
      </c>
    </row>
    <row r="372" spans="1:8" x14ac:dyDescent="0.25">
      <c r="A372" t="s">
        <v>889</v>
      </c>
      <c r="B372" t="s">
        <v>2174</v>
      </c>
      <c r="C372" t="s">
        <v>890</v>
      </c>
      <c r="D372" t="s">
        <v>2133</v>
      </c>
      <c r="E372" t="s">
        <v>2124</v>
      </c>
      <c r="F372">
        <v>6500000</v>
      </c>
      <c r="G372" t="s">
        <v>2188</v>
      </c>
      <c r="H372" s="1">
        <v>45400</v>
      </c>
    </row>
    <row r="373" spans="1:8" x14ac:dyDescent="0.25">
      <c r="A373" t="s">
        <v>891</v>
      </c>
      <c r="B373" t="s">
        <v>2321</v>
      </c>
      <c r="C373" t="s">
        <v>892</v>
      </c>
      <c r="D373" t="s">
        <v>2133</v>
      </c>
      <c r="E373" t="s">
        <v>2149</v>
      </c>
      <c r="F373">
        <v>5500000</v>
      </c>
      <c r="G373" t="s">
        <v>2322</v>
      </c>
      <c r="H373" s="1">
        <v>43989</v>
      </c>
    </row>
    <row r="374" spans="1:8" x14ac:dyDescent="0.25">
      <c r="A374" t="s">
        <v>893</v>
      </c>
      <c r="B374" t="s">
        <v>2315</v>
      </c>
      <c r="C374" t="s">
        <v>894</v>
      </c>
      <c r="D374" t="s">
        <v>2144</v>
      </c>
      <c r="E374" t="s">
        <v>2120</v>
      </c>
      <c r="F374">
        <v>8000000</v>
      </c>
      <c r="G374" t="s">
        <v>2157</v>
      </c>
      <c r="H374" s="1">
        <v>45394</v>
      </c>
    </row>
    <row r="375" spans="1:8" x14ac:dyDescent="0.25">
      <c r="A375" t="s">
        <v>895</v>
      </c>
      <c r="B375" t="s">
        <v>2323</v>
      </c>
      <c r="C375" t="s">
        <v>896</v>
      </c>
      <c r="D375" t="s">
        <v>2137</v>
      </c>
      <c r="E375" t="s">
        <v>2130</v>
      </c>
      <c r="F375">
        <v>5500000</v>
      </c>
      <c r="G375" t="s">
        <v>2121</v>
      </c>
      <c r="H375" s="1">
        <v>43850</v>
      </c>
    </row>
    <row r="376" spans="1:8" x14ac:dyDescent="0.25">
      <c r="A376" t="s">
        <v>897</v>
      </c>
      <c r="B376" t="s">
        <v>2268</v>
      </c>
      <c r="C376" t="s">
        <v>898</v>
      </c>
      <c r="D376" t="s">
        <v>2137</v>
      </c>
      <c r="E376" t="s">
        <v>2120</v>
      </c>
      <c r="F376">
        <v>8000000</v>
      </c>
      <c r="G376" t="s">
        <v>2188</v>
      </c>
      <c r="H376" s="1">
        <v>44240</v>
      </c>
    </row>
    <row r="377" spans="1:8" x14ac:dyDescent="0.25">
      <c r="A377" t="s">
        <v>899</v>
      </c>
      <c r="B377" t="s">
        <v>2245</v>
      </c>
      <c r="C377" t="s">
        <v>900</v>
      </c>
      <c r="D377" t="s">
        <v>2123</v>
      </c>
      <c r="E377" t="s">
        <v>2134</v>
      </c>
      <c r="F377">
        <v>8000000</v>
      </c>
      <c r="G377" t="s">
        <v>2182</v>
      </c>
      <c r="H377" s="1">
        <v>45240</v>
      </c>
    </row>
    <row r="378" spans="1:8" x14ac:dyDescent="0.25">
      <c r="A378" t="s">
        <v>901</v>
      </c>
      <c r="B378" t="s">
        <v>2169</v>
      </c>
      <c r="C378" t="s">
        <v>902</v>
      </c>
      <c r="D378" t="s">
        <v>2129</v>
      </c>
      <c r="E378" t="s">
        <v>2124</v>
      </c>
      <c r="F378">
        <v>6500000</v>
      </c>
      <c r="G378" t="s">
        <v>2227</v>
      </c>
      <c r="H378" s="1">
        <v>45874</v>
      </c>
    </row>
    <row r="379" spans="1:8" x14ac:dyDescent="0.25">
      <c r="A379" t="s">
        <v>903</v>
      </c>
      <c r="B379" t="s">
        <v>2320</v>
      </c>
      <c r="C379" t="s">
        <v>904</v>
      </c>
      <c r="D379" t="s">
        <v>2133</v>
      </c>
      <c r="E379" t="s">
        <v>2149</v>
      </c>
      <c r="F379">
        <v>10500000</v>
      </c>
      <c r="G379" t="s">
        <v>2170</v>
      </c>
      <c r="H379" s="1">
        <v>45316</v>
      </c>
    </row>
    <row r="380" spans="1:8" x14ac:dyDescent="0.25">
      <c r="A380" t="s">
        <v>905</v>
      </c>
      <c r="B380" t="s">
        <v>2181</v>
      </c>
      <c r="C380" t="s">
        <v>906</v>
      </c>
      <c r="D380" t="s">
        <v>2133</v>
      </c>
      <c r="E380" t="s">
        <v>2149</v>
      </c>
      <c r="F380">
        <v>13000000</v>
      </c>
      <c r="G380" t="s">
        <v>2172</v>
      </c>
      <c r="H380" s="1">
        <v>43862</v>
      </c>
    </row>
    <row r="381" spans="1:8" x14ac:dyDescent="0.25">
      <c r="A381" t="s">
        <v>907</v>
      </c>
      <c r="B381" t="s">
        <v>2232</v>
      </c>
      <c r="C381" t="s">
        <v>908</v>
      </c>
      <c r="D381" t="s">
        <v>2129</v>
      </c>
      <c r="E381" t="s">
        <v>2120</v>
      </c>
      <c r="F381">
        <v>5500000</v>
      </c>
      <c r="G381" t="s">
        <v>2239</v>
      </c>
      <c r="H381" s="1">
        <v>44450</v>
      </c>
    </row>
    <row r="382" spans="1:8" x14ac:dyDescent="0.25">
      <c r="A382" t="s">
        <v>215</v>
      </c>
      <c r="B382" t="s">
        <v>2158</v>
      </c>
      <c r="C382" t="s">
        <v>201</v>
      </c>
      <c r="D382" t="s">
        <v>2129</v>
      </c>
      <c r="E382" t="s">
        <v>2124</v>
      </c>
      <c r="F382">
        <v>6500000</v>
      </c>
      <c r="G382" t="s">
        <v>2157</v>
      </c>
      <c r="H382" s="1">
        <v>45690</v>
      </c>
    </row>
    <row r="383" spans="1:8" x14ac:dyDescent="0.25">
      <c r="A383" t="s">
        <v>909</v>
      </c>
      <c r="B383" t="s">
        <v>2267</v>
      </c>
      <c r="C383" t="s">
        <v>910</v>
      </c>
      <c r="D383" t="s">
        <v>2144</v>
      </c>
      <c r="E383" t="s">
        <v>2124</v>
      </c>
      <c r="F383">
        <v>10500000</v>
      </c>
      <c r="G383" t="s">
        <v>2204</v>
      </c>
      <c r="H383" s="1">
        <v>45018</v>
      </c>
    </row>
    <row r="384" spans="1:8" x14ac:dyDescent="0.25">
      <c r="A384" t="s">
        <v>911</v>
      </c>
      <c r="B384" t="s">
        <v>2221</v>
      </c>
      <c r="C384" t="s">
        <v>912</v>
      </c>
      <c r="D384" t="s">
        <v>2123</v>
      </c>
      <c r="E384" t="s">
        <v>2149</v>
      </c>
      <c r="F384">
        <v>8000000</v>
      </c>
      <c r="G384" t="s">
        <v>2250</v>
      </c>
      <c r="H384" s="1">
        <v>44887</v>
      </c>
    </row>
    <row r="385" spans="1:8" x14ac:dyDescent="0.25">
      <c r="A385" t="s">
        <v>913</v>
      </c>
      <c r="B385" t="s">
        <v>2324</v>
      </c>
      <c r="C385" t="s">
        <v>914</v>
      </c>
      <c r="D385" t="s">
        <v>2119</v>
      </c>
      <c r="E385" t="s">
        <v>2130</v>
      </c>
      <c r="F385">
        <v>6500000</v>
      </c>
      <c r="G385" t="s">
        <v>2142</v>
      </c>
      <c r="H385" s="1">
        <v>45147</v>
      </c>
    </row>
    <row r="386" spans="1:8" x14ac:dyDescent="0.25">
      <c r="A386" t="s">
        <v>915</v>
      </c>
      <c r="B386" t="s">
        <v>2255</v>
      </c>
      <c r="C386" t="s">
        <v>916</v>
      </c>
      <c r="D386" t="s">
        <v>2144</v>
      </c>
      <c r="E386" t="s">
        <v>2124</v>
      </c>
      <c r="F386">
        <v>6500000</v>
      </c>
      <c r="G386" t="s">
        <v>2135</v>
      </c>
      <c r="H386" s="1">
        <v>44247</v>
      </c>
    </row>
    <row r="387" spans="1:8" x14ac:dyDescent="0.25">
      <c r="A387" t="s">
        <v>917</v>
      </c>
      <c r="B387" t="s">
        <v>2226</v>
      </c>
      <c r="C387" t="s">
        <v>918</v>
      </c>
      <c r="D387" t="s">
        <v>2133</v>
      </c>
      <c r="E387" t="s">
        <v>2120</v>
      </c>
      <c r="F387">
        <v>10500000</v>
      </c>
      <c r="G387" t="s">
        <v>2142</v>
      </c>
      <c r="H387" s="1">
        <v>44175</v>
      </c>
    </row>
    <row r="388" spans="1:8" x14ac:dyDescent="0.25">
      <c r="A388" t="s">
        <v>919</v>
      </c>
      <c r="B388" t="s">
        <v>2249</v>
      </c>
      <c r="C388" t="s">
        <v>920</v>
      </c>
      <c r="D388" t="s">
        <v>2123</v>
      </c>
      <c r="E388" t="s">
        <v>2134</v>
      </c>
      <c r="F388">
        <v>10500000</v>
      </c>
      <c r="G388" t="s">
        <v>2204</v>
      </c>
      <c r="H388" s="1">
        <v>43902</v>
      </c>
    </row>
    <row r="389" spans="1:8" x14ac:dyDescent="0.25">
      <c r="A389" t="s">
        <v>921</v>
      </c>
      <c r="B389" t="s">
        <v>2325</v>
      </c>
      <c r="C389" t="s">
        <v>922</v>
      </c>
      <c r="D389" t="s">
        <v>2144</v>
      </c>
      <c r="E389" t="s">
        <v>2120</v>
      </c>
      <c r="F389">
        <v>13000000</v>
      </c>
      <c r="G389" t="s">
        <v>2127</v>
      </c>
      <c r="H389" s="1">
        <v>45457</v>
      </c>
    </row>
    <row r="390" spans="1:8" x14ac:dyDescent="0.25">
      <c r="A390" t="s">
        <v>923</v>
      </c>
      <c r="B390" t="s">
        <v>2146</v>
      </c>
      <c r="C390" t="s">
        <v>924</v>
      </c>
      <c r="D390" t="s">
        <v>23</v>
      </c>
      <c r="E390" t="s">
        <v>2149</v>
      </c>
      <c r="F390">
        <v>5500000</v>
      </c>
      <c r="G390" t="s">
        <v>2177</v>
      </c>
      <c r="H390" s="1">
        <v>45125</v>
      </c>
    </row>
    <row r="391" spans="1:8" x14ac:dyDescent="0.25">
      <c r="A391" t="s">
        <v>925</v>
      </c>
      <c r="B391" t="s">
        <v>2174</v>
      </c>
      <c r="C391" t="s">
        <v>926</v>
      </c>
      <c r="D391" t="s">
        <v>14</v>
      </c>
      <c r="E391" t="s">
        <v>2120</v>
      </c>
      <c r="F391">
        <v>13000000</v>
      </c>
      <c r="G391" t="s">
        <v>2311</v>
      </c>
      <c r="H391" s="1">
        <v>44097</v>
      </c>
    </row>
    <row r="392" spans="1:8" x14ac:dyDescent="0.25">
      <c r="A392" t="s">
        <v>927</v>
      </c>
      <c r="B392" t="s">
        <v>2179</v>
      </c>
      <c r="C392" t="s">
        <v>928</v>
      </c>
      <c r="D392" t="s">
        <v>2119</v>
      </c>
      <c r="E392" t="s">
        <v>2130</v>
      </c>
      <c r="F392">
        <v>5500000</v>
      </c>
      <c r="G392" t="s">
        <v>2326</v>
      </c>
      <c r="H392" s="1">
        <v>44031</v>
      </c>
    </row>
    <row r="393" spans="1:8" x14ac:dyDescent="0.25">
      <c r="A393" t="s">
        <v>929</v>
      </c>
      <c r="B393" t="s">
        <v>2288</v>
      </c>
      <c r="C393" t="s">
        <v>930</v>
      </c>
      <c r="D393" t="s">
        <v>2119</v>
      </c>
      <c r="E393" t="s">
        <v>2130</v>
      </c>
      <c r="F393">
        <v>5500000</v>
      </c>
      <c r="G393" t="s">
        <v>2151</v>
      </c>
      <c r="H393" s="1">
        <v>45345</v>
      </c>
    </row>
    <row r="394" spans="1:8" x14ac:dyDescent="0.25">
      <c r="A394" t="s">
        <v>931</v>
      </c>
      <c r="B394" t="s">
        <v>2309</v>
      </c>
      <c r="C394" t="s">
        <v>932</v>
      </c>
      <c r="D394" t="s">
        <v>2133</v>
      </c>
      <c r="E394" t="s">
        <v>2149</v>
      </c>
      <c r="F394">
        <v>10500000</v>
      </c>
      <c r="G394" t="s">
        <v>2170</v>
      </c>
      <c r="H394" s="1">
        <v>45615</v>
      </c>
    </row>
    <row r="395" spans="1:8" x14ac:dyDescent="0.25">
      <c r="A395" t="s">
        <v>933</v>
      </c>
      <c r="B395" t="s">
        <v>2256</v>
      </c>
      <c r="C395" t="s">
        <v>934</v>
      </c>
      <c r="D395" t="s">
        <v>2129</v>
      </c>
      <c r="E395" t="s">
        <v>2134</v>
      </c>
      <c r="F395">
        <v>13000000</v>
      </c>
      <c r="G395" t="s">
        <v>2182</v>
      </c>
      <c r="H395" s="1">
        <v>44472</v>
      </c>
    </row>
    <row r="396" spans="1:8" x14ac:dyDescent="0.25">
      <c r="A396" t="s">
        <v>935</v>
      </c>
      <c r="B396" t="s">
        <v>2139</v>
      </c>
      <c r="C396" t="s">
        <v>936</v>
      </c>
      <c r="D396" t="s">
        <v>2129</v>
      </c>
      <c r="E396" t="s">
        <v>2149</v>
      </c>
      <c r="F396">
        <v>5500000</v>
      </c>
      <c r="G396" t="s">
        <v>2188</v>
      </c>
      <c r="H396" s="1">
        <v>44612</v>
      </c>
    </row>
    <row r="397" spans="1:8" x14ac:dyDescent="0.25">
      <c r="A397" t="s">
        <v>937</v>
      </c>
      <c r="B397" t="s">
        <v>2263</v>
      </c>
      <c r="C397" t="s">
        <v>938</v>
      </c>
      <c r="D397" t="s">
        <v>2123</v>
      </c>
      <c r="E397" t="s">
        <v>2124</v>
      </c>
      <c r="F397">
        <v>13000000</v>
      </c>
      <c r="G397" t="s">
        <v>2170</v>
      </c>
      <c r="H397" s="1">
        <v>45627</v>
      </c>
    </row>
    <row r="398" spans="1:8" x14ac:dyDescent="0.25">
      <c r="A398" t="s">
        <v>939</v>
      </c>
      <c r="B398" t="s">
        <v>2327</v>
      </c>
      <c r="C398" t="s">
        <v>941</v>
      </c>
      <c r="D398" t="s">
        <v>2137</v>
      </c>
      <c r="E398" t="s">
        <v>2124</v>
      </c>
      <c r="F398">
        <v>10500000</v>
      </c>
      <c r="G398" t="s">
        <v>2168</v>
      </c>
      <c r="H398" s="1">
        <v>44621</v>
      </c>
    </row>
    <row r="399" spans="1:8" x14ac:dyDescent="0.25">
      <c r="A399" t="s">
        <v>942</v>
      </c>
      <c r="B399" t="s">
        <v>2328</v>
      </c>
      <c r="C399" t="s">
        <v>943</v>
      </c>
      <c r="D399" t="s">
        <v>2123</v>
      </c>
      <c r="E399" t="s">
        <v>2130</v>
      </c>
      <c r="F399">
        <v>13000000</v>
      </c>
      <c r="G399" t="s">
        <v>2277</v>
      </c>
      <c r="H399" s="1">
        <v>43849</v>
      </c>
    </row>
    <row r="400" spans="1:8" x14ac:dyDescent="0.25">
      <c r="A400" t="s">
        <v>944</v>
      </c>
      <c r="B400" t="s">
        <v>2171</v>
      </c>
      <c r="C400" t="s">
        <v>945</v>
      </c>
      <c r="D400" t="s">
        <v>2123</v>
      </c>
      <c r="E400" t="s">
        <v>2134</v>
      </c>
      <c r="F400">
        <v>8000000</v>
      </c>
      <c r="G400" t="s">
        <v>2159</v>
      </c>
      <c r="H400" s="1">
        <v>44931</v>
      </c>
    </row>
    <row r="401" spans="1:8" x14ac:dyDescent="0.25">
      <c r="A401" t="s">
        <v>946</v>
      </c>
      <c r="B401" t="s">
        <v>2228</v>
      </c>
      <c r="C401" t="s">
        <v>947</v>
      </c>
      <c r="D401" t="s">
        <v>2144</v>
      </c>
      <c r="E401" t="s">
        <v>2130</v>
      </c>
      <c r="F401">
        <v>13000000</v>
      </c>
      <c r="G401" t="s">
        <v>2135</v>
      </c>
      <c r="H401" s="1">
        <v>45273</v>
      </c>
    </row>
    <row r="402" spans="1:8" x14ac:dyDescent="0.25">
      <c r="A402" t="s">
        <v>948</v>
      </c>
      <c r="B402" t="s">
        <v>2224</v>
      </c>
      <c r="C402" t="s">
        <v>949</v>
      </c>
      <c r="D402" t="s">
        <v>2137</v>
      </c>
      <c r="E402" t="s">
        <v>2120</v>
      </c>
      <c r="F402">
        <v>10500000</v>
      </c>
      <c r="G402" t="s">
        <v>2277</v>
      </c>
      <c r="H402" s="1">
        <v>44625</v>
      </c>
    </row>
    <row r="403" spans="1:8" x14ac:dyDescent="0.25">
      <c r="A403" t="s">
        <v>950</v>
      </c>
      <c r="B403" t="s">
        <v>2173</v>
      </c>
      <c r="C403" t="s">
        <v>951</v>
      </c>
      <c r="D403" t="s">
        <v>2123</v>
      </c>
      <c r="E403" t="s">
        <v>2149</v>
      </c>
      <c r="F403">
        <v>10500000</v>
      </c>
      <c r="G403" t="s">
        <v>2184</v>
      </c>
      <c r="H403" s="1">
        <v>44471</v>
      </c>
    </row>
    <row r="404" spans="1:8" x14ac:dyDescent="0.25">
      <c r="A404" t="s">
        <v>952</v>
      </c>
      <c r="B404" t="s">
        <v>2275</v>
      </c>
      <c r="C404" t="s">
        <v>953</v>
      </c>
      <c r="D404" t="s">
        <v>2119</v>
      </c>
      <c r="E404" t="s">
        <v>2124</v>
      </c>
      <c r="F404">
        <v>6500000</v>
      </c>
      <c r="G404" t="s">
        <v>2159</v>
      </c>
      <c r="H404" s="1">
        <v>45958</v>
      </c>
    </row>
    <row r="405" spans="1:8" x14ac:dyDescent="0.25">
      <c r="A405" t="s">
        <v>954</v>
      </c>
      <c r="B405" t="s">
        <v>2248</v>
      </c>
      <c r="C405" t="s">
        <v>955</v>
      </c>
      <c r="D405" t="s">
        <v>2133</v>
      </c>
      <c r="E405" t="s">
        <v>2130</v>
      </c>
      <c r="F405">
        <v>8000000</v>
      </c>
      <c r="G405" t="s">
        <v>2135</v>
      </c>
      <c r="H405" s="1">
        <v>45553</v>
      </c>
    </row>
    <row r="406" spans="1:8" x14ac:dyDescent="0.25">
      <c r="A406" t="s">
        <v>956</v>
      </c>
      <c r="B406" t="s">
        <v>2217</v>
      </c>
      <c r="C406" t="s">
        <v>957</v>
      </c>
      <c r="D406" t="s">
        <v>2123</v>
      </c>
      <c r="E406" t="s">
        <v>2149</v>
      </c>
      <c r="F406">
        <v>10500000</v>
      </c>
      <c r="G406" t="s">
        <v>2191</v>
      </c>
      <c r="H406" s="1">
        <v>45820</v>
      </c>
    </row>
    <row r="407" spans="1:8" x14ac:dyDescent="0.25">
      <c r="A407" t="s">
        <v>958</v>
      </c>
      <c r="B407" t="s">
        <v>2136</v>
      </c>
      <c r="C407" t="s">
        <v>959</v>
      </c>
      <c r="D407" t="s">
        <v>2144</v>
      </c>
      <c r="E407" t="s">
        <v>2149</v>
      </c>
      <c r="F407">
        <v>10500000</v>
      </c>
      <c r="G407" t="s">
        <v>2203</v>
      </c>
      <c r="H407" s="1">
        <v>45317</v>
      </c>
    </row>
    <row r="408" spans="1:8" x14ac:dyDescent="0.25">
      <c r="A408" t="s">
        <v>960</v>
      </c>
      <c r="B408" t="s">
        <v>2176</v>
      </c>
      <c r="C408" t="s">
        <v>961</v>
      </c>
      <c r="D408" t="s">
        <v>42</v>
      </c>
      <c r="E408" t="s">
        <v>2120</v>
      </c>
      <c r="F408">
        <v>5500000</v>
      </c>
      <c r="G408" t="s">
        <v>2135</v>
      </c>
      <c r="H408" s="1">
        <v>44052</v>
      </c>
    </row>
    <row r="409" spans="1:8" x14ac:dyDescent="0.25">
      <c r="A409" t="s">
        <v>962</v>
      </c>
      <c r="B409" t="s">
        <v>2329</v>
      </c>
      <c r="C409" t="s">
        <v>963</v>
      </c>
      <c r="D409" t="s">
        <v>2137</v>
      </c>
      <c r="E409" t="s">
        <v>2124</v>
      </c>
      <c r="F409">
        <v>6500000</v>
      </c>
      <c r="G409" t="s">
        <v>2250</v>
      </c>
      <c r="H409" s="1">
        <v>43867</v>
      </c>
    </row>
    <row r="410" spans="1:8" x14ac:dyDescent="0.25">
      <c r="A410" t="s">
        <v>964</v>
      </c>
      <c r="B410" t="s">
        <v>2211</v>
      </c>
      <c r="C410" t="s">
        <v>965</v>
      </c>
      <c r="D410" t="s">
        <v>2144</v>
      </c>
      <c r="E410" t="s">
        <v>2120</v>
      </c>
      <c r="F410">
        <v>8000000</v>
      </c>
      <c r="G410" t="s">
        <v>2138</v>
      </c>
      <c r="H410" s="1">
        <v>45115</v>
      </c>
    </row>
    <row r="411" spans="1:8" x14ac:dyDescent="0.25">
      <c r="A411" t="s">
        <v>966</v>
      </c>
      <c r="B411" t="s">
        <v>2158</v>
      </c>
      <c r="C411" t="s">
        <v>967</v>
      </c>
      <c r="D411" t="s">
        <v>2129</v>
      </c>
      <c r="E411" t="s">
        <v>2130</v>
      </c>
      <c r="F411">
        <v>13000000</v>
      </c>
      <c r="G411" t="s">
        <v>2250</v>
      </c>
      <c r="H411" s="1">
        <v>44214</v>
      </c>
    </row>
    <row r="412" spans="1:8" x14ac:dyDescent="0.25">
      <c r="A412" t="s">
        <v>968</v>
      </c>
      <c r="B412" t="s">
        <v>2209</v>
      </c>
      <c r="C412" t="s">
        <v>969</v>
      </c>
      <c r="D412" t="s">
        <v>2133</v>
      </c>
      <c r="E412" t="s">
        <v>2149</v>
      </c>
      <c r="F412">
        <v>6500000</v>
      </c>
      <c r="G412" t="s">
        <v>2140</v>
      </c>
      <c r="H412" s="1">
        <v>45524</v>
      </c>
    </row>
    <row r="413" spans="1:8" x14ac:dyDescent="0.25">
      <c r="A413" t="s">
        <v>970</v>
      </c>
      <c r="B413" t="s">
        <v>2285</v>
      </c>
      <c r="C413" t="s">
        <v>971</v>
      </c>
      <c r="D413" t="s">
        <v>2119</v>
      </c>
      <c r="E413" t="s">
        <v>2120</v>
      </c>
      <c r="F413">
        <v>10500000</v>
      </c>
      <c r="G413" t="s">
        <v>2252</v>
      </c>
      <c r="H413" s="1">
        <v>44481</v>
      </c>
    </row>
    <row r="414" spans="1:8" x14ac:dyDescent="0.25">
      <c r="A414" t="s">
        <v>972</v>
      </c>
      <c r="B414" t="s">
        <v>2222</v>
      </c>
      <c r="C414" t="s">
        <v>973</v>
      </c>
      <c r="D414" t="s">
        <v>2123</v>
      </c>
      <c r="E414" t="s">
        <v>2134</v>
      </c>
      <c r="F414">
        <v>5500000</v>
      </c>
      <c r="G414" t="s">
        <v>2180</v>
      </c>
      <c r="H414" s="1">
        <v>45992</v>
      </c>
    </row>
    <row r="415" spans="1:8" x14ac:dyDescent="0.25">
      <c r="A415" t="s">
        <v>120</v>
      </c>
      <c r="B415" t="s">
        <v>2267</v>
      </c>
      <c r="C415" t="s">
        <v>124</v>
      </c>
      <c r="D415" t="s">
        <v>2137</v>
      </c>
      <c r="E415" t="s">
        <v>2124</v>
      </c>
      <c r="F415">
        <v>10500000</v>
      </c>
      <c r="G415" t="s">
        <v>2239</v>
      </c>
      <c r="H415" s="1">
        <v>45000</v>
      </c>
    </row>
    <row r="416" spans="1:8" x14ac:dyDescent="0.25">
      <c r="A416" t="s">
        <v>974</v>
      </c>
      <c r="B416" t="s">
        <v>2255</v>
      </c>
      <c r="C416" t="s">
        <v>975</v>
      </c>
      <c r="D416" t="s">
        <v>2123</v>
      </c>
      <c r="E416" t="s">
        <v>2149</v>
      </c>
      <c r="F416">
        <v>6500000</v>
      </c>
      <c r="G416" t="s">
        <v>2175</v>
      </c>
      <c r="H416" s="1">
        <v>44070</v>
      </c>
    </row>
    <row r="417" spans="1:8" x14ac:dyDescent="0.25">
      <c r="A417" t="s">
        <v>976</v>
      </c>
      <c r="B417" t="s">
        <v>2200</v>
      </c>
      <c r="C417" t="s">
        <v>977</v>
      </c>
      <c r="D417" t="s">
        <v>2137</v>
      </c>
      <c r="E417" t="s">
        <v>2130</v>
      </c>
      <c r="F417">
        <v>8000000</v>
      </c>
      <c r="G417" t="s">
        <v>2131</v>
      </c>
      <c r="H417" s="1">
        <v>45446</v>
      </c>
    </row>
    <row r="418" spans="1:8" x14ac:dyDescent="0.25">
      <c r="A418" t="s">
        <v>978</v>
      </c>
      <c r="B418" t="s">
        <v>2126</v>
      </c>
      <c r="C418" t="s">
        <v>979</v>
      </c>
      <c r="D418" t="s">
        <v>2119</v>
      </c>
      <c r="E418" t="s">
        <v>2149</v>
      </c>
      <c r="F418">
        <v>13000000</v>
      </c>
      <c r="G418" t="s">
        <v>2250</v>
      </c>
      <c r="H418" s="1">
        <v>45012</v>
      </c>
    </row>
    <row r="419" spans="1:8" x14ac:dyDescent="0.25">
      <c r="A419" t="s">
        <v>980</v>
      </c>
      <c r="B419" t="s">
        <v>2313</v>
      </c>
      <c r="C419" t="s">
        <v>981</v>
      </c>
      <c r="D419" t="s">
        <v>2137</v>
      </c>
      <c r="E419" t="s">
        <v>2124</v>
      </c>
      <c r="F419">
        <v>6500000</v>
      </c>
      <c r="G419" t="s">
        <v>2213</v>
      </c>
      <c r="H419" s="1">
        <v>44147</v>
      </c>
    </row>
    <row r="420" spans="1:8" x14ac:dyDescent="0.25">
      <c r="A420" t="s">
        <v>982</v>
      </c>
      <c r="B420" t="s">
        <v>2286</v>
      </c>
      <c r="C420" t="s">
        <v>983</v>
      </c>
      <c r="D420" t="s">
        <v>2144</v>
      </c>
      <c r="E420" t="s">
        <v>2130</v>
      </c>
      <c r="F420">
        <v>13000000</v>
      </c>
      <c r="G420" t="s">
        <v>2154</v>
      </c>
      <c r="H420" s="1">
        <v>44270</v>
      </c>
    </row>
    <row r="421" spans="1:8" x14ac:dyDescent="0.25">
      <c r="A421" t="s">
        <v>984</v>
      </c>
      <c r="B421" t="s">
        <v>2166</v>
      </c>
      <c r="C421" t="s">
        <v>985</v>
      </c>
      <c r="D421" t="s">
        <v>2144</v>
      </c>
      <c r="E421" t="s">
        <v>2120</v>
      </c>
      <c r="F421">
        <v>8000000</v>
      </c>
      <c r="G421" t="s">
        <v>2154</v>
      </c>
      <c r="H421" s="1">
        <v>44716</v>
      </c>
    </row>
    <row r="422" spans="1:8" x14ac:dyDescent="0.25">
      <c r="A422" t="s">
        <v>986</v>
      </c>
      <c r="B422" t="s">
        <v>2143</v>
      </c>
      <c r="C422" t="s">
        <v>987</v>
      </c>
      <c r="D422" t="s">
        <v>2119</v>
      </c>
      <c r="E422" t="s">
        <v>2124</v>
      </c>
      <c r="F422">
        <v>8000000</v>
      </c>
      <c r="G422" t="s">
        <v>2180</v>
      </c>
      <c r="H422" s="1">
        <v>44887</v>
      </c>
    </row>
    <row r="423" spans="1:8" x14ac:dyDescent="0.25">
      <c r="A423" t="s">
        <v>988</v>
      </c>
      <c r="B423" t="s">
        <v>2238</v>
      </c>
      <c r="C423" t="s">
        <v>989</v>
      </c>
      <c r="D423" t="s">
        <v>2137</v>
      </c>
      <c r="E423" t="s">
        <v>2149</v>
      </c>
      <c r="F423">
        <v>5500000</v>
      </c>
      <c r="G423" t="s">
        <v>2191</v>
      </c>
      <c r="H423" s="1">
        <v>44670</v>
      </c>
    </row>
    <row r="424" spans="1:8" x14ac:dyDescent="0.25">
      <c r="A424" t="s">
        <v>990</v>
      </c>
      <c r="B424" t="s">
        <v>2249</v>
      </c>
      <c r="C424" t="s">
        <v>991</v>
      </c>
      <c r="D424" t="s">
        <v>2133</v>
      </c>
      <c r="E424" t="s">
        <v>2134</v>
      </c>
      <c r="F424">
        <v>13000000</v>
      </c>
      <c r="G424" t="s">
        <v>2184</v>
      </c>
      <c r="H424" s="1">
        <v>44682</v>
      </c>
    </row>
    <row r="425" spans="1:8" x14ac:dyDescent="0.25">
      <c r="A425" t="s">
        <v>992</v>
      </c>
      <c r="B425" t="s">
        <v>2155</v>
      </c>
      <c r="C425" t="s">
        <v>993</v>
      </c>
      <c r="D425" t="s">
        <v>2137</v>
      </c>
      <c r="E425" t="s">
        <v>2130</v>
      </c>
      <c r="F425">
        <v>13000000</v>
      </c>
      <c r="G425" t="s">
        <v>2227</v>
      </c>
      <c r="H425" s="1">
        <v>44603</v>
      </c>
    </row>
    <row r="426" spans="1:8" x14ac:dyDescent="0.25">
      <c r="A426" t="s">
        <v>994</v>
      </c>
      <c r="B426" t="s">
        <v>2190</v>
      </c>
      <c r="C426" t="s">
        <v>995</v>
      </c>
      <c r="D426" t="s">
        <v>2133</v>
      </c>
      <c r="E426" t="s">
        <v>2149</v>
      </c>
      <c r="F426">
        <v>13000000</v>
      </c>
      <c r="G426" t="s">
        <v>2125</v>
      </c>
      <c r="H426" s="1">
        <v>45904</v>
      </c>
    </row>
    <row r="427" spans="1:8" x14ac:dyDescent="0.25">
      <c r="A427" t="s">
        <v>996</v>
      </c>
      <c r="B427" t="s">
        <v>2226</v>
      </c>
      <c r="C427" t="s">
        <v>997</v>
      </c>
      <c r="D427" t="s">
        <v>2133</v>
      </c>
      <c r="E427" t="s">
        <v>2134</v>
      </c>
      <c r="F427">
        <v>6500000</v>
      </c>
      <c r="G427" t="s">
        <v>2204</v>
      </c>
      <c r="H427" s="1">
        <v>45952</v>
      </c>
    </row>
    <row r="428" spans="1:8" x14ac:dyDescent="0.25">
      <c r="A428" t="s">
        <v>998</v>
      </c>
      <c r="B428" t="s">
        <v>2281</v>
      </c>
      <c r="C428" t="s">
        <v>999</v>
      </c>
      <c r="D428" t="s">
        <v>2129</v>
      </c>
      <c r="E428" t="s">
        <v>2120</v>
      </c>
      <c r="F428">
        <v>8000000</v>
      </c>
      <c r="G428" t="s">
        <v>2196</v>
      </c>
      <c r="H428" s="1">
        <v>45623</v>
      </c>
    </row>
    <row r="429" spans="1:8" x14ac:dyDescent="0.25">
      <c r="A429" t="s">
        <v>1000</v>
      </c>
      <c r="B429" t="s">
        <v>2231</v>
      </c>
      <c r="C429" t="s">
        <v>1001</v>
      </c>
      <c r="D429" t="s">
        <v>2123</v>
      </c>
      <c r="E429" t="s">
        <v>2149</v>
      </c>
      <c r="F429">
        <v>8000000</v>
      </c>
      <c r="G429" t="s">
        <v>2239</v>
      </c>
      <c r="H429" s="1">
        <v>43880</v>
      </c>
    </row>
    <row r="430" spans="1:8" x14ac:dyDescent="0.25">
      <c r="A430" t="s">
        <v>1002</v>
      </c>
      <c r="B430" t="s">
        <v>2306</v>
      </c>
      <c r="C430" t="s">
        <v>1003</v>
      </c>
      <c r="D430" t="s">
        <v>2137</v>
      </c>
      <c r="E430" t="s">
        <v>2134</v>
      </c>
      <c r="F430">
        <v>10500000</v>
      </c>
      <c r="G430" t="s">
        <v>2121</v>
      </c>
      <c r="H430" s="1">
        <v>44070</v>
      </c>
    </row>
    <row r="431" spans="1:8" x14ac:dyDescent="0.25">
      <c r="A431" t="s">
        <v>1004</v>
      </c>
      <c r="B431" t="s">
        <v>2161</v>
      </c>
      <c r="C431" t="s">
        <v>1005</v>
      </c>
      <c r="D431" t="s">
        <v>2129</v>
      </c>
      <c r="E431" t="s">
        <v>2120</v>
      </c>
      <c r="F431">
        <v>13000000</v>
      </c>
      <c r="G431" t="s">
        <v>2196</v>
      </c>
      <c r="H431" s="1">
        <v>45854</v>
      </c>
    </row>
    <row r="432" spans="1:8" x14ac:dyDescent="0.25">
      <c r="A432" t="s">
        <v>1006</v>
      </c>
      <c r="B432" t="s">
        <v>2126</v>
      </c>
      <c r="C432" t="s">
        <v>1007</v>
      </c>
      <c r="D432" t="s">
        <v>2144</v>
      </c>
      <c r="E432" t="s">
        <v>2120</v>
      </c>
      <c r="F432">
        <v>10500000</v>
      </c>
      <c r="G432" t="s">
        <v>2140</v>
      </c>
      <c r="H432" s="1">
        <v>44612</v>
      </c>
    </row>
    <row r="433" spans="1:8" x14ac:dyDescent="0.25">
      <c r="A433" t="s">
        <v>1008</v>
      </c>
      <c r="B433" t="s">
        <v>2200</v>
      </c>
      <c r="C433" t="s">
        <v>1009</v>
      </c>
      <c r="D433" t="s">
        <v>23</v>
      </c>
      <c r="E433" t="s">
        <v>2149</v>
      </c>
      <c r="F433">
        <v>6500000</v>
      </c>
      <c r="G433" t="s">
        <v>2330</v>
      </c>
      <c r="H433" s="1">
        <v>44497</v>
      </c>
    </row>
    <row r="434" spans="1:8" x14ac:dyDescent="0.25">
      <c r="A434" t="s">
        <v>1010</v>
      </c>
      <c r="B434" t="s">
        <v>2223</v>
      </c>
      <c r="C434" t="s">
        <v>1011</v>
      </c>
      <c r="D434" t="s">
        <v>2123</v>
      </c>
      <c r="E434" t="s">
        <v>2120</v>
      </c>
      <c r="F434">
        <v>13000000</v>
      </c>
      <c r="G434" t="s">
        <v>2172</v>
      </c>
      <c r="H434" s="1">
        <v>44433</v>
      </c>
    </row>
    <row r="435" spans="1:8" x14ac:dyDescent="0.25">
      <c r="A435" t="s">
        <v>1012</v>
      </c>
      <c r="B435" t="s">
        <v>2132</v>
      </c>
      <c r="C435" t="s">
        <v>1013</v>
      </c>
      <c r="D435" t="s">
        <v>37</v>
      </c>
      <c r="E435" t="s">
        <v>2130</v>
      </c>
      <c r="F435">
        <v>5500000</v>
      </c>
      <c r="G435" t="s">
        <v>2184</v>
      </c>
      <c r="H435" s="1">
        <v>44369</v>
      </c>
    </row>
    <row r="436" spans="1:8" x14ac:dyDescent="0.25">
      <c r="A436" t="s">
        <v>1014</v>
      </c>
      <c r="B436" t="s">
        <v>2331</v>
      </c>
      <c r="C436" t="s">
        <v>1015</v>
      </c>
      <c r="D436" t="s">
        <v>2119</v>
      </c>
      <c r="E436" t="s">
        <v>2120</v>
      </c>
      <c r="F436">
        <v>6500000</v>
      </c>
      <c r="G436" t="s">
        <v>2239</v>
      </c>
      <c r="H436" s="1">
        <v>44801</v>
      </c>
    </row>
    <row r="437" spans="1:8" x14ac:dyDescent="0.25">
      <c r="A437" t="s">
        <v>1016</v>
      </c>
      <c r="B437" t="s">
        <v>2189</v>
      </c>
      <c r="C437" t="s">
        <v>1017</v>
      </c>
      <c r="D437" t="s">
        <v>2123</v>
      </c>
      <c r="E437" t="s">
        <v>2134</v>
      </c>
      <c r="F437">
        <v>13000000</v>
      </c>
      <c r="G437" t="s">
        <v>2131</v>
      </c>
      <c r="H437" s="1">
        <v>44999</v>
      </c>
    </row>
    <row r="438" spans="1:8" x14ac:dyDescent="0.25">
      <c r="A438" t="s">
        <v>1018</v>
      </c>
      <c r="B438" t="s">
        <v>2224</v>
      </c>
      <c r="C438" t="s">
        <v>1019</v>
      </c>
      <c r="D438" t="s">
        <v>2119</v>
      </c>
      <c r="E438" t="s">
        <v>2130</v>
      </c>
      <c r="F438">
        <v>13000000</v>
      </c>
      <c r="G438" t="s">
        <v>2207</v>
      </c>
      <c r="H438" s="1">
        <v>45433</v>
      </c>
    </row>
    <row r="439" spans="1:8" x14ac:dyDescent="0.25">
      <c r="A439" t="s">
        <v>1020</v>
      </c>
      <c r="B439" t="s">
        <v>2247</v>
      </c>
      <c r="C439" t="s">
        <v>1021</v>
      </c>
      <c r="D439" t="s">
        <v>2129</v>
      </c>
      <c r="E439" t="s">
        <v>2149</v>
      </c>
      <c r="F439">
        <v>10500000</v>
      </c>
      <c r="G439" t="s">
        <v>2219</v>
      </c>
      <c r="H439" s="1">
        <v>44365</v>
      </c>
    </row>
    <row r="440" spans="1:8" x14ac:dyDescent="0.25">
      <c r="A440" t="s">
        <v>1022</v>
      </c>
      <c r="B440" t="s">
        <v>2278</v>
      </c>
      <c r="C440" t="s">
        <v>1023</v>
      </c>
      <c r="D440" t="s">
        <v>2137</v>
      </c>
      <c r="E440" t="s">
        <v>2124</v>
      </c>
      <c r="F440">
        <v>10500000</v>
      </c>
      <c r="G440" t="s">
        <v>2151</v>
      </c>
      <c r="H440" s="1">
        <v>44003</v>
      </c>
    </row>
    <row r="441" spans="1:8" x14ac:dyDescent="0.25">
      <c r="A441" t="s">
        <v>1024</v>
      </c>
      <c r="B441" t="s">
        <v>2183</v>
      </c>
      <c r="C441" t="s">
        <v>1025</v>
      </c>
      <c r="D441" t="s">
        <v>2133</v>
      </c>
      <c r="E441" t="s">
        <v>2134</v>
      </c>
      <c r="F441">
        <v>5500000</v>
      </c>
      <c r="G441" t="s">
        <v>2201</v>
      </c>
      <c r="H441" s="1">
        <v>45632</v>
      </c>
    </row>
    <row r="442" spans="1:8" x14ac:dyDescent="0.25">
      <c r="A442" t="s">
        <v>1026</v>
      </c>
      <c r="B442" t="s">
        <v>2161</v>
      </c>
      <c r="C442" t="s">
        <v>1027</v>
      </c>
      <c r="D442" t="s">
        <v>2123</v>
      </c>
      <c r="E442" t="s">
        <v>2134</v>
      </c>
      <c r="F442">
        <v>13000000</v>
      </c>
      <c r="G442" t="s">
        <v>2170</v>
      </c>
      <c r="H442" s="1">
        <v>44827</v>
      </c>
    </row>
    <row r="443" spans="1:8" x14ac:dyDescent="0.25">
      <c r="A443" t="s">
        <v>1028</v>
      </c>
      <c r="B443" t="s">
        <v>2287</v>
      </c>
      <c r="C443" t="s">
        <v>1029</v>
      </c>
      <c r="D443" t="s">
        <v>2119</v>
      </c>
      <c r="E443" t="s">
        <v>2124</v>
      </c>
      <c r="F443">
        <v>13000000</v>
      </c>
      <c r="G443" t="s">
        <v>2188</v>
      </c>
      <c r="H443" s="1">
        <v>44458</v>
      </c>
    </row>
    <row r="444" spans="1:8" x14ac:dyDescent="0.25">
      <c r="A444" t="s">
        <v>1030</v>
      </c>
      <c r="B444" t="s">
        <v>2192</v>
      </c>
      <c r="C444" t="s">
        <v>1031</v>
      </c>
      <c r="D444" t="s">
        <v>2129</v>
      </c>
      <c r="E444" t="s">
        <v>2120</v>
      </c>
      <c r="F444">
        <v>6500000</v>
      </c>
      <c r="G444" t="s">
        <v>2145</v>
      </c>
      <c r="H444" s="1">
        <v>45062</v>
      </c>
    </row>
    <row r="445" spans="1:8" x14ac:dyDescent="0.25">
      <c r="A445" t="s">
        <v>1032</v>
      </c>
      <c r="B445" t="s">
        <v>2261</v>
      </c>
      <c r="C445" t="s">
        <v>1033</v>
      </c>
      <c r="D445" t="s">
        <v>2144</v>
      </c>
      <c r="E445" t="s">
        <v>2130</v>
      </c>
      <c r="F445">
        <v>10500000</v>
      </c>
      <c r="G445" t="s">
        <v>2191</v>
      </c>
      <c r="H445" s="1">
        <v>45116</v>
      </c>
    </row>
    <row r="446" spans="1:8" x14ac:dyDescent="0.25">
      <c r="A446" t="s">
        <v>1034</v>
      </c>
      <c r="B446" t="s">
        <v>2167</v>
      </c>
      <c r="C446" t="s">
        <v>1035</v>
      </c>
      <c r="D446" t="s">
        <v>2129</v>
      </c>
      <c r="E446" t="s">
        <v>2130</v>
      </c>
      <c r="F446">
        <v>5500000</v>
      </c>
      <c r="G446" t="s">
        <v>2277</v>
      </c>
      <c r="H446" s="1">
        <v>45907</v>
      </c>
    </row>
    <row r="447" spans="1:8" x14ac:dyDescent="0.25">
      <c r="A447" t="s">
        <v>1036</v>
      </c>
      <c r="B447" t="s">
        <v>2332</v>
      </c>
      <c r="C447" t="s">
        <v>1037</v>
      </c>
      <c r="D447" t="s">
        <v>2123</v>
      </c>
      <c r="E447" t="s">
        <v>2124</v>
      </c>
      <c r="F447">
        <v>10500000</v>
      </c>
      <c r="G447" t="s">
        <v>2172</v>
      </c>
      <c r="H447" s="1">
        <v>45257</v>
      </c>
    </row>
    <row r="448" spans="1:8" x14ac:dyDescent="0.25">
      <c r="A448" t="s">
        <v>1038</v>
      </c>
      <c r="B448" t="s">
        <v>2333</v>
      </c>
      <c r="C448" t="s">
        <v>1039</v>
      </c>
      <c r="D448" t="s">
        <v>2123</v>
      </c>
      <c r="E448" t="s">
        <v>2124</v>
      </c>
      <c r="F448">
        <v>5500000</v>
      </c>
      <c r="G448" t="s">
        <v>2175</v>
      </c>
      <c r="H448" s="1">
        <v>45633</v>
      </c>
    </row>
    <row r="449" spans="1:8" x14ac:dyDescent="0.25">
      <c r="A449" t="s">
        <v>1040</v>
      </c>
      <c r="B449" t="s">
        <v>2187</v>
      </c>
      <c r="C449" t="s">
        <v>1041</v>
      </c>
      <c r="D449" t="s">
        <v>2137</v>
      </c>
      <c r="E449" t="s">
        <v>2130</v>
      </c>
      <c r="F449">
        <v>6500000</v>
      </c>
      <c r="G449" t="s">
        <v>2127</v>
      </c>
      <c r="H449" s="1">
        <v>45529</v>
      </c>
    </row>
    <row r="450" spans="1:8" x14ac:dyDescent="0.25">
      <c r="A450" t="s">
        <v>1042</v>
      </c>
      <c r="B450" t="s">
        <v>2221</v>
      </c>
      <c r="C450" t="s">
        <v>1043</v>
      </c>
      <c r="D450" t="s">
        <v>2137</v>
      </c>
      <c r="E450" t="s">
        <v>2120</v>
      </c>
      <c r="F450">
        <v>5500000</v>
      </c>
      <c r="G450" t="s">
        <v>2210</v>
      </c>
      <c r="H450" s="1">
        <v>45465</v>
      </c>
    </row>
    <row r="451" spans="1:8" x14ac:dyDescent="0.25">
      <c r="A451" t="s">
        <v>1044</v>
      </c>
      <c r="B451" t="s">
        <v>2334</v>
      </c>
      <c r="C451" t="s">
        <v>1045</v>
      </c>
      <c r="D451" t="s">
        <v>2137</v>
      </c>
      <c r="E451" t="s">
        <v>2120</v>
      </c>
      <c r="F451">
        <v>6500000</v>
      </c>
      <c r="G451" t="s">
        <v>2140</v>
      </c>
      <c r="H451" s="1">
        <v>45631</v>
      </c>
    </row>
    <row r="452" spans="1:8" x14ac:dyDescent="0.25">
      <c r="A452" t="s">
        <v>1046</v>
      </c>
      <c r="B452" t="s">
        <v>2226</v>
      </c>
      <c r="C452" t="s">
        <v>1047</v>
      </c>
      <c r="D452" t="s">
        <v>2123</v>
      </c>
      <c r="E452" t="s">
        <v>2124</v>
      </c>
      <c r="F452">
        <v>10500000</v>
      </c>
      <c r="G452" t="s">
        <v>2210</v>
      </c>
      <c r="H452" s="1">
        <v>44122</v>
      </c>
    </row>
    <row r="453" spans="1:8" x14ac:dyDescent="0.25">
      <c r="A453" t="s">
        <v>1048</v>
      </c>
      <c r="B453" t="s">
        <v>2228</v>
      </c>
      <c r="C453" t="s">
        <v>1049</v>
      </c>
      <c r="D453" t="s">
        <v>33</v>
      </c>
      <c r="E453" t="s">
        <v>2124</v>
      </c>
      <c r="F453">
        <v>8000000</v>
      </c>
      <c r="G453" t="s">
        <v>2184</v>
      </c>
      <c r="H453" s="1">
        <v>44623</v>
      </c>
    </row>
    <row r="454" spans="1:8" x14ac:dyDescent="0.25">
      <c r="A454" t="s">
        <v>1050</v>
      </c>
      <c r="B454" t="s">
        <v>2272</v>
      </c>
      <c r="C454" t="s">
        <v>1051</v>
      </c>
      <c r="D454" t="s">
        <v>37</v>
      </c>
      <c r="E454" t="s">
        <v>2124</v>
      </c>
      <c r="F454">
        <v>13000000</v>
      </c>
      <c r="G454" t="s">
        <v>2170</v>
      </c>
      <c r="H454" s="1">
        <v>44191</v>
      </c>
    </row>
    <row r="455" spans="1:8" x14ac:dyDescent="0.25">
      <c r="A455" t="s">
        <v>1052</v>
      </c>
      <c r="B455" t="s">
        <v>2216</v>
      </c>
      <c r="C455" t="s">
        <v>1053</v>
      </c>
      <c r="D455" t="s">
        <v>2129</v>
      </c>
      <c r="E455" t="s">
        <v>2124</v>
      </c>
      <c r="F455">
        <v>10500000</v>
      </c>
      <c r="G455" t="s">
        <v>2131</v>
      </c>
      <c r="H455" s="1">
        <v>45945</v>
      </c>
    </row>
    <row r="456" spans="1:8" x14ac:dyDescent="0.25">
      <c r="A456" t="s">
        <v>1054</v>
      </c>
      <c r="B456" t="s">
        <v>2226</v>
      </c>
      <c r="C456" t="s">
        <v>1055</v>
      </c>
      <c r="D456" t="s">
        <v>2119</v>
      </c>
      <c r="E456" t="s">
        <v>2130</v>
      </c>
      <c r="F456">
        <v>10500000</v>
      </c>
      <c r="G456" t="s">
        <v>2154</v>
      </c>
      <c r="H456" s="1">
        <v>45299</v>
      </c>
    </row>
    <row r="457" spans="1:8" x14ac:dyDescent="0.25">
      <c r="A457" t="s">
        <v>1056</v>
      </c>
      <c r="B457" t="s">
        <v>2335</v>
      </c>
      <c r="C457" t="s">
        <v>1057</v>
      </c>
      <c r="D457" t="s">
        <v>14</v>
      </c>
      <c r="E457" t="s">
        <v>2149</v>
      </c>
      <c r="F457">
        <v>10500000</v>
      </c>
      <c r="G457" t="s">
        <v>2175</v>
      </c>
      <c r="H457" s="1">
        <v>45247</v>
      </c>
    </row>
    <row r="458" spans="1:8" x14ac:dyDescent="0.25">
      <c r="A458" t="s">
        <v>1058</v>
      </c>
      <c r="B458" t="s">
        <v>2336</v>
      </c>
      <c r="C458" t="s">
        <v>1059</v>
      </c>
      <c r="D458" t="s">
        <v>2137</v>
      </c>
      <c r="E458" t="s">
        <v>2120</v>
      </c>
      <c r="F458">
        <v>10500000</v>
      </c>
      <c r="G458" t="s">
        <v>2207</v>
      </c>
      <c r="H458" s="1">
        <v>44456</v>
      </c>
    </row>
    <row r="459" spans="1:8" x14ac:dyDescent="0.25">
      <c r="A459" t="s">
        <v>1060</v>
      </c>
      <c r="B459" t="s">
        <v>2309</v>
      </c>
      <c r="C459" t="s">
        <v>1061</v>
      </c>
      <c r="D459" t="s">
        <v>2137</v>
      </c>
      <c r="E459" t="s">
        <v>2120</v>
      </c>
      <c r="F459">
        <v>6500000</v>
      </c>
      <c r="G459" t="s">
        <v>2227</v>
      </c>
      <c r="H459" s="1">
        <v>46002</v>
      </c>
    </row>
    <row r="460" spans="1:8" x14ac:dyDescent="0.25">
      <c r="A460" t="s">
        <v>1062</v>
      </c>
      <c r="B460" t="s">
        <v>2161</v>
      </c>
      <c r="C460" t="s">
        <v>1063</v>
      </c>
      <c r="D460" t="s">
        <v>2137</v>
      </c>
      <c r="E460" t="s">
        <v>2120</v>
      </c>
      <c r="F460">
        <v>8000000</v>
      </c>
      <c r="G460" t="s">
        <v>2213</v>
      </c>
      <c r="H460" s="1">
        <v>45947</v>
      </c>
    </row>
    <row r="461" spans="1:8" x14ac:dyDescent="0.25">
      <c r="A461" t="s">
        <v>1064</v>
      </c>
      <c r="B461" t="s">
        <v>2319</v>
      </c>
      <c r="C461" t="s">
        <v>1065</v>
      </c>
      <c r="D461" t="s">
        <v>23</v>
      </c>
      <c r="E461" t="s">
        <v>2134</v>
      </c>
      <c r="F461">
        <v>5500000</v>
      </c>
      <c r="G461" t="s">
        <v>2168</v>
      </c>
      <c r="H461" s="1">
        <v>45647</v>
      </c>
    </row>
    <row r="462" spans="1:8" x14ac:dyDescent="0.25">
      <c r="A462" t="s">
        <v>1066</v>
      </c>
      <c r="B462" t="s">
        <v>2279</v>
      </c>
      <c r="C462" t="s">
        <v>1067</v>
      </c>
      <c r="D462" t="s">
        <v>2144</v>
      </c>
      <c r="E462" t="s">
        <v>2120</v>
      </c>
      <c r="F462">
        <v>5500000</v>
      </c>
      <c r="G462" t="s">
        <v>2135</v>
      </c>
      <c r="H462" s="1">
        <v>43916</v>
      </c>
    </row>
    <row r="463" spans="1:8" x14ac:dyDescent="0.25">
      <c r="A463" t="s">
        <v>1068</v>
      </c>
      <c r="B463" t="s">
        <v>2211</v>
      </c>
      <c r="C463" t="s">
        <v>1069</v>
      </c>
      <c r="D463" t="s">
        <v>2137</v>
      </c>
      <c r="E463" t="s">
        <v>2124</v>
      </c>
      <c r="F463">
        <v>13000000</v>
      </c>
      <c r="G463" t="s">
        <v>2182</v>
      </c>
      <c r="H463" s="1">
        <v>45171</v>
      </c>
    </row>
    <row r="464" spans="1:8" x14ac:dyDescent="0.25">
      <c r="A464" t="s">
        <v>1070</v>
      </c>
      <c r="B464" t="s">
        <v>2249</v>
      </c>
      <c r="C464" t="s">
        <v>1071</v>
      </c>
      <c r="D464" t="s">
        <v>2144</v>
      </c>
      <c r="E464" t="s">
        <v>2134</v>
      </c>
      <c r="F464">
        <v>13000000</v>
      </c>
      <c r="G464" t="s">
        <v>2277</v>
      </c>
      <c r="H464" s="1">
        <v>44667</v>
      </c>
    </row>
    <row r="465" spans="1:8" x14ac:dyDescent="0.25">
      <c r="A465" t="s">
        <v>1072</v>
      </c>
      <c r="B465" t="s">
        <v>2337</v>
      </c>
      <c r="C465" t="s">
        <v>1073</v>
      </c>
      <c r="D465" t="s">
        <v>2137</v>
      </c>
      <c r="E465" t="s">
        <v>2130</v>
      </c>
      <c r="F465">
        <v>6500000</v>
      </c>
      <c r="G465" t="s">
        <v>2234</v>
      </c>
      <c r="H465" s="1">
        <v>44573</v>
      </c>
    </row>
    <row r="466" spans="1:8" x14ac:dyDescent="0.25">
      <c r="A466" t="s">
        <v>1074</v>
      </c>
      <c r="B466" t="s">
        <v>2338</v>
      </c>
      <c r="C466" t="s">
        <v>1075</v>
      </c>
      <c r="D466" t="s">
        <v>2119</v>
      </c>
      <c r="E466" t="s">
        <v>2130</v>
      </c>
      <c r="F466">
        <v>6500000</v>
      </c>
      <c r="G466" t="s">
        <v>2227</v>
      </c>
      <c r="H466" s="1">
        <v>45850</v>
      </c>
    </row>
    <row r="467" spans="1:8" x14ac:dyDescent="0.25">
      <c r="A467" t="s">
        <v>1076</v>
      </c>
      <c r="B467" t="s">
        <v>2236</v>
      </c>
      <c r="C467" t="s">
        <v>1077</v>
      </c>
      <c r="D467" t="s">
        <v>2144</v>
      </c>
      <c r="E467" t="s">
        <v>2120</v>
      </c>
      <c r="F467">
        <v>13000000</v>
      </c>
      <c r="G467" t="s">
        <v>2240</v>
      </c>
      <c r="H467" s="1">
        <v>45604</v>
      </c>
    </row>
    <row r="468" spans="1:8" x14ac:dyDescent="0.25">
      <c r="A468" t="s">
        <v>1078</v>
      </c>
      <c r="B468" t="s">
        <v>2183</v>
      </c>
      <c r="C468" t="s">
        <v>1079</v>
      </c>
      <c r="D468" t="s">
        <v>2123</v>
      </c>
      <c r="E468" t="s">
        <v>2124</v>
      </c>
      <c r="F468">
        <v>6500000</v>
      </c>
      <c r="G468" t="s">
        <v>2165</v>
      </c>
      <c r="H468" s="1">
        <v>45932</v>
      </c>
    </row>
    <row r="469" spans="1:8" x14ac:dyDescent="0.25">
      <c r="A469" t="s">
        <v>1080</v>
      </c>
      <c r="B469" t="s">
        <v>2166</v>
      </c>
      <c r="C469" t="s">
        <v>1081</v>
      </c>
      <c r="D469" t="s">
        <v>2133</v>
      </c>
      <c r="E469" t="s">
        <v>2149</v>
      </c>
      <c r="F469">
        <v>13000000</v>
      </c>
      <c r="G469" t="s">
        <v>2138</v>
      </c>
      <c r="H469" s="1">
        <v>44122</v>
      </c>
    </row>
    <row r="470" spans="1:8" x14ac:dyDescent="0.25">
      <c r="A470" t="s">
        <v>1082</v>
      </c>
      <c r="B470" t="s">
        <v>2220</v>
      </c>
      <c r="C470" t="s">
        <v>1083</v>
      </c>
      <c r="D470" t="s">
        <v>2119</v>
      </c>
      <c r="E470" t="s">
        <v>2130</v>
      </c>
      <c r="F470">
        <v>10500000</v>
      </c>
      <c r="G470" t="s">
        <v>2168</v>
      </c>
      <c r="H470" s="1">
        <v>45928</v>
      </c>
    </row>
    <row r="471" spans="1:8" x14ac:dyDescent="0.25">
      <c r="A471" t="s">
        <v>1084</v>
      </c>
      <c r="B471" t="s">
        <v>2233</v>
      </c>
      <c r="C471" t="s">
        <v>1085</v>
      </c>
      <c r="D471" t="s">
        <v>2137</v>
      </c>
      <c r="E471" t="s">
        <v>2120</v>
      </c>
      <c r="F471">
        <v>13000000</v>
      </c>
      <c r="G471" t="s">
        <v>2159</v>
      </c>
      <c r="H471" s="1">
        <v>45052</v>
      </c>
    </row>
    <row r="472" spans="1:8" x14ac:dyDescent="0.25">
      <c r="A472" t="s">
        <v>1086</v>
      </c>
      <c r="B472" t="s">
        <v>2245</v>
      </c>
      <c r="C472" t="s">
        <v>1087</v>
      </c>
      <c r="D472" t="s">
        <v>14</v>
      </c>
      <c r="E472" t="s">
        <v>2130</v>
      </c>
      <c r="F472">
        <v>5500000</v>
      </c>
      <c r="G472" t="s">
        <v>2140</v>
      </c>
      <c r="H472" s="1">
        <v>44923</v>
      </c>
    </row>
    <row r="473" spans="1:8" x14ac:dyDescent="0.25">
      <c r="A473" t="s">
        <v>1088</v>
      </c>
      <c r="B473" t="s">
        <v>2259</v>
      </c>
      <c r="C473" t="s">
        <v>1089</v>
      </c>
      <c r="D473" t="s">
        <v>2129</v>
      </c>
      <c r="E473" t="s">
        <v>2120</v>
      </c>
      <c r="F473">
        <v>10500000</v>
      </c>
      <c r="G473" t="s">
        <v>2142</v>
      </c>
      <c r="H473" s="1">
        <v>44919</v>
      </c>
    </row>
    <row r="474" spans="1:8" x14ac:dyDescent="0.25">
      <c r="A474" t="s">
        <v>1090</v>
      </c>
      <c r="B474" t="s">
        <v>2179</v>
      </c>
      <c r="C474" t="s">
        <v>1091</v>
      </c>
      <c r="D474" t="s">
        <v>2144</v>
      </c>
      <c r="E474" t="s">
        <v>2134</v>
      </c>
      <c r="F474">
        <v>6500000</v>
      </c>
      <c r="G474" t="s">
        <v>2196</v>
      </c>
      <c r="H474" s="1">
        <v>45273</v>
      </c>
    </row>
    <row r="475" spans="1:8" x14ac:dyDescent="0.25">
      <c r="A475" t="s">
        <v>1092</v>
      </c>
      <c r="B475" t="s">
        <v>2217</v>
      </c>
      <c r="C475" t="s">
        <v>1093</v>
      </c>
      <c r="D475" t="s">
        <v>37</v>
      </c>
      <c r="E475" t="s">
        <v>2124</v>
      </c>
      <c r="F475">
        <v>13000000</v>
      </c>
      <c r="G475" t="s">
        <v>2127</v>
      </c>
      <c r="H475" s="1">
        <v>44023</v>
      </c>
    </row>
    <row r="476" spans="1:8" x14ac:dyDescent="0.25">
      <c r="A476" t="s">
        <v>1094</v>
      </c>
      <c r="B476" t="s">
        <v>2162</v>
      </c>
      <c r="C476" t="s">
        <v>1095</v>
      </c>
      <c r="D476" t="s">
        <v>2123</v>
      </c>
      <c r="E476" t="s">
        <v>2149</v>
      </c>
      <c r="F476">
        <v>10500000</v>
      </c>
      <c r="G476" t="s">
        <v>2204</v>
      </c>
      <c r="H476" s="1">
        <v>44099</v>
      </c>
    </row>
    <row r="477" spans="1:8" x14ac:dyDescent="0.25">
      <c r="A477" t="s">
        <v>1096</v>
      </c>
      <c r="B477" t="s">
        <v>2126</v>
      </c>
      <c r="C477" t="s">
        <v>1097</v>
      </c>
      <c r="D477" t="s">
        <v>2123</v>
      </c>
      <c r="E477" t="s">
        <v>2120</v>
      </c>
      <c r="F477">
        <v>10500000</v>
      </c>
      <c r="G477" t="s">
        <v>2182</v>
      </c>
      <c r="H477" s="1">
        <v>44432</v>
      </c>
    </row>
    <row r="478" spans="1:8" x14ac:dyDescent="0.25">
      <c r="A478" t="s">
        <v>216</v>
      </c>
      <c r="B478" t="s">
        <v>2286</v>
      </c>
      <c r="C478" t="s">
        <v>201</v>
      </c>
      <c r="D478" t="s">
        <v>2137</v>
      </c>
      <c r="E478" t="s">
        <v>2130</v>
      </c>
      <c r="F478">
        <v>13000000</v>
      </c>
      <c r="G478" t="s">
        <v>2210</v>
      </c>
      <c r="H478" s="1">
        <v>43835</v>
      </c>
    </row>
    <row r="479" spans="1:8" x14ac:dyDescent="0.25">
      <c r="A479" t="s">
        <v>1098</v>
      </c>
      <c r="B479" t="s">
        <v>2339</v>
      </c>
      <c r="C479" t="s">
        <v>1099</v>
      </c>
      <c r="D479" t="s">
        <v>2137</v>
      </c>
      <c r="E479" t="s">
        <v>2130</v>
      </c>
      <c r="F479">
        <v>6500000</v>
      </c>
      <c r="G479" t="s">
        <v>2311</v>
      </c>
      <c r="H479" s="1">
        <v>45449</v>
      </c>
    </row>
    <row r="480" spans="1:8" x14ac:dyDescent="0.25">
      <c r="A480" t="s">
        <v>1100</v>
      </c>
      <c r="B480" t="s">
        <v>2340</v>
      </c>
      <c r="C480" t="s">
        <v>1101</v>
      </c>
      <c r="D480" t="s">
        <v>23</v>
      </c>
      <c r="E480" t="s">
        <v>2124</v>
      </c>
      <c r="F480">
        <v>8000000</v>
      </c>
      <c r="G480" t="s">
        <v>2127</v>
      </c>
      <c r="H480" s="1">
        <v>44797</v>
      </c>
    </row>
    <row r="481" spans="1:8" x14ac:dyDescent="0.25">
      <c r="A481" t="s">
        <v>1102</v>
      </c>
      <c r="B481" t="s">
        <v>2190</v>
      </c>
      <c r="C481" t="s">
        <v>1103</v>
      </c>
      <c r="D481" t="s">
        <v>2133</v>
      </c>
      <c r="E481" t="s">
        <v>2120</v>
      </c>
      <c r="F481">
        <v>5500000</v>
      </c>
      <c r="G481" t="s">
        <v>2191</v>
      </c>
      <c r="H481" s="1">
        <v>45874</v>
      </c>
    </row>
    <row r="482" spans="1:8" x14ac:dyDescent="0.25">
      <c r="A482" t="s">
        <v>1104</v>
      </c>
      <c r="B482" t="s">
        <v>2158</v>
      </c>
      <c r="C482" t="s">
        <v>1105</v>
      </c>
      <c r="D482" t="s">
        <v>2123</v>
      </c>
      <c r="E482" t="s">
        <v>2124</v>
      </c>
      <c r="F482">
        <v>13000000</v>
      </c>
      <c r="G482" t="s">
        <v>2151</v>
      </c>
      <c r="H482" s="1">
        <v>44240</v>
      </c>
    </row>
    <row r="483" spans="1:8" x14ac:dyDescent="0.25">
      <c r="A483" t="s">
        <v>1106</v>
      </c>
      <c r="B483" t="s">
        <v>2262</v>
      </c>
      <c r="C483" t="s">
        <v>1107</v>
      </c>
      <c r="D483" t="s">
        <v>2129</v>
      </c>
      <c r="E483" t="s">
        <v>2120</v>
      </c>
      <c r="F483">
        <v>6500000</v>
      </c>
      <c r="G483" t="s">
        <v>2219</v>
      </c>
      <c r="H483" s="1">
        <v>44759</v>
      </c>
    </row>
    <row r="484" spans="1:8" x14ac:dyDescent="0.25">
      <c r="A484" t="s">
        <v>1108</v>
      </c>
      <c r="B484" t="s">
        <v>2243</v>
      </c>
      <c r="C484" t="s">
        <v>1109</v>
      </c>
      <c r="D484" t="s">
        <v>2144</v>
      </c>
      <c r="E484" t="s">
        <v>2149</v>
      </c>
      <c r="F484">
        <v>5500000</v>
      </c>
      <c r="G484" t="s">
        <v>2203</v>
      </c>
      <c r="H484" s="1">
        <v>45303</v>
      </c>
    </row>
    <row r="485" spans="1:8" x14ac:dyDescent="0.25">
      <c r="A485" t="s">
        <v>1110</v>
      </c>
      <c r="B485" t="s">
        <v>2332</v>
      </c>
      <c r="C485" t="s">
        <v>1111</v>
      </c>
      <c r="D485" t="s">
        <v>2137</v>
      </c>
      <c r="E485" t="s">
        <v>2130</v>
      </c>
      <c r="F485">
        <v>6500000</v>
      </c>
      <c r="G485" t="s">
        <v>2138</v>
      </c>
      <c r="H485" s="1">
        <v>44306</v>
      </c>
    </row>
    <row r="486" spans="1:8" x14ac:dyDescent="0.25">
      <c r="A486" t="s">
        <v>1112</v>
      </c>
      <c r="B486" t="s">
        <v>2341</v>
      </c>
      <c r="C486" t="s">
        <v>1114</v>
      </c>
      <c r="D486" t="s">
        <v>42</v>
      </c>
      <c r="E486" t="s">
        <v>2149</v>
      </c>
      <c r="F486">
        <v>13000000</v>
      </c>
      <c r="G486" t="s">
        <v>2131</v>
      </c>
      <c r="H486" s="1">
        <v>45491</v>
      </c>
    </row>
    <row r="487" spans="1:8" x14ac:dyDescent="0.25">
      <c r="A487" t="s">
        <v>1115</v>
      </c>
      <c r="B487" t="s">
        <v>2333</v>
      </c>
      <c r="C487" t="s">
        <v>1116</v>
      </c>
      <c r="D487" t="s">
        <v>2144</v>
      </c>
      <c r="E487" t="s">
        <v>2120</v>
      </c>
      <c r="F487">
        <v>10500000</v>
      </c>
      <c r="G487" t="s">
        <v>2142</v>
      </c>
      <c r="H487" s="1">
        <v>44868</v>
      </c>
    </row>
    <row r="488" spans="1:8" x14ac:dyDescent="0.25">
      <c r="A488" t="s">
        <v>1117</v>
      </c>
      <c r="B488" t="s">
        <v>2216</v>
      </c>
      <c r="C488" t="s">
        <v>1118</v>
      </c>
      <c r="D488" t="s">
        <v>18</v>
      </c>
      <c r="E488" t="s">
        <v>2149</v>
      </c>
      <c r="F488">
        <v>5500000</v>
      </c>
      <c r="G488" t="s">
        <v>2207</v>
      </c>
      <c r="H488" s="1">
        <v>45193</v>
      </c>
    </row>
    <row r="489" spans="1:8" x14ac:dyDescent="0.25">
      <c r="A489" t="s">
        <v>1119</v>
      </c>
      <c r="B489" t="s">
        <v>2268</v>
      </c>
      <c r="C489" t="s">
        <v>1120</v>
      </c>
      <c r="D489" t="s">
        <v>2119</v>
      </c>
      <c r="E489" t="s">
        <v>2149</v>
      </c>
      <c r="F489">
        <v>10500000</v>
      </c>
      <c r="G489" t="s">
        <v>2138</v>
      </c>
      <c r="H489" s="1">
        <v>45491</v>
      </c>
    </row>
    <row r="490" spans="1:8" x14ac:dyDescent="0.25">
      <c r="A490" t="s">
        <v>1121</v>
      </c>
      <c r="B490" t="s">
        <v>2310</v>
      </c>
      <c r="C490" t="s">
        <v>1122</v>
      </c>
      <c r="D490" t="s">
        <v>33</v>
      </c>
      <c r="E490" t="s">
        <v>2149</v>
      </c>
      <c r="F490">
        <v>8000000</v>
      </c>
      <c r="G490" t="s">
        <v>2219</v>
      </c>
      <c r="H490" s="1">
        <v>44617</v>
      </c>
    </row>
    <row r="491" spans="1:8" x14ac:dyDescent="0.25">
      <c r="A491" t="s">
        <v>1123</v>
      </c>
      <c r="B491" t="s">
        <v>2155</v>
      </c>
      <c r="C491" t="s">
        <v>1124</v>
      </c>
      <c r="D491" t="s">
        <v>2144</v>
      </c>
      <c r="E491" t="s">
        <v>2130</v>
      </c>
      <c r="F491">
        <v>8000000</v>
      </c>
      <c r="G491" t="s">
        <v>2277</v>
      </c>
      <c r="H491" s="1">
        <v>44731</v>
      </c>
    </row>
    <row r="492" spans="1:8" x14ac:dyDescent="0.25">
      <c r="A492" t="s">
        <v>1125</v>
      </c>
      <c r="B492" t="s">
        <v>2318</v>
      </c>
      <c r="C492" t="s">
        <v>1126</v>
      </c>
      <c r="D492" t="s">
        <v>2123</v>
      </c>
      <c r="E492" t="s">
        <v>2124</v>
      </c>
      <c r="F492">
        <v>10500000</v>
      </c>
      <c r="G492" t="s">
        <v>2239</v>
      </c>
      <c r="H492" s="1">
        <v>45796</v>
      </c>
    </row>
    <row r="493" spans="1:8" x14ac:dyDescent="0.25">
      <c r="A493" t="s">
        <v>1127</v>
      </c>
      <c r="B493" t="s">
        <v>2187</v>
      </c>
      <c r="C493" t="s">
        <v>1128</v>
      </c>
      <c r="D493" t="s">
        <v>2133</v>
      </c>
      <c r="E493" t="s">
        <v>2149</v>
      </c>
      <c r="F493">
        <v>13000000</v>
      </c>
      <c r="G493" t="s">
        <v>2198</v>
      </c>
      <c r="H493" s="1">
        <v>45778</v>
      </c>
    </row>
    <row r="494" spans="1:8" x14ac:dyDescent="0.25">
      <c r="A494" t="s">
        <v>1129</v>
      </c>
      <c r="B494" t="s">
        <v>2342</v>
      </c>
      <c r="C494" t="s">
        <v>1130</v>
      </c>
      <c r="D494" t="s">
        <v>2123</v>
      </c>
      <c r="E494" t="s">
        <v>2124</v>
      </c>
      <c r="F494">
        <v>5500000</v>
      </c>
      <c r="G494" t="s">
        <v>2184</v>
      </c>
      <c r="H494" s="1">
        <v>44089</v>
      </c>
    </row>
    <row r="495" spans="1:8" x14ac:dyDescent="0.25">
      <c r="A495" t="s">
        <v>1131</v>
      </c>
      <c r="B495" t="s">
        <v>2343</v>
      </c>
      <c r="C495" t="s">
        <v>1132</v>
      </c>
      <c r="D495" t="s">
        <v>2137</v>
      </c>
      <c r="E495" t="s">
        <v>2130</v>
      </c>
      <c r="F495">
        <v>6500000</v>
      </c>
      <c r="G495" t="s">
        <v>2135</v>
      </c>
      <c r="H495" s="1">
        <v>45780</v>
      </c>
    </row>
    <row r="496" spans="1:8" x14ac:dyDescent="0.25">
      <c r="A496" t="s">
        <v>1133</v>
      </c>
      <c r="B496" t="s">
        <v>2236</v>
      </c>
      <c r="C496" t="s">
        <v>1134</v>
      </c>
      <c r="D496" t="s">
        <v>2133</v>
      </c>
      <c r="E496" t="s">
        <v>2120</v>
      </c>
      <c r="F496">
        <v>5500000</v>
      </c>
      <c r="G496" t="s">
        <v>2131</v>
      </c>
      <c r="H496" s="1">
        <v>44716</v>
      </c>
    </row>
    <row r="497" spans="1:8" x14ac:dyDescent="0.25">
      <c r="A497" t="s">
        <v>1135</v>
      </c>
      <c r="B497" t="s">
        <v>2257</v>
      </c>
      <c r="C497" t="s">
        <v>1136</v>
      </c>
      <c r="D497" t="s">
        <v>14</v>
      </c>
      <c r="E497" t="s">
        <v>2124</v>
      </c>
      <c r="F497">
        <v>10500000</v>
      </c>
      <c r="G497" t="s">
        <v>2204</v>
      </c>
      <c r="H497" s="1">
        <v>45883</v>
      </c>
    </row>
    <row r="498" spans="1:8" x14ac:dyDescent="0.25">
      <c r="A498" t="s">
        <v>398</v>
      </c>
      <c r="B498" t="s">
        <v>2215</v>
      </c>
      <c r="C498" t="s">
        <v>397</v>
      </c>
      <c r="D498" t="s">
        <v>2144</v>
      </c>
      <c r="E498" t="s">
        <v>2124</v>
      </c>
      <c r="F498">
        <v>8000000</v>
      </c>
      <c r="G498" t="s">
        <v>2131</v>
      </c>
      <c r="H498" s="1">
        <v>44657</v>
      </c>
    </row>
    <row r="499" spans="1:8" x14ac:dyDescent="0.25">
      <c r="A499" t="s">
        <v>218</v>
      </c>
      <c r="B499" t="s">
        <v>2274</v>
      </c>
      <c r="C499" t="s">
        <v>201</v>
      </c>
      <c r="D499" t="s">
        <v>2144</v>
      </c>
      <c r="E499" t="s">
        <v>2134</v>
      </c>
      <c r="F499">
        <v>13000000</v>
      </c>
      <c r="G499" t="s">
        <v>2170</v>
      </c>
      <c r="H499" s="1">
        <v>44940</v>
      </c>
    </row>
    <row r="500" spans="1:8" x14ac:dyDescent="0.25">
      <c r="A500" t="s">
        <v>1137</v>
      </c>
      <c r="B500" t="s">
        <v>2205</v>
      </c>
      <c r="C500" t="s">
        <v>1138</v>
      </c>
      <c r="D500" t="s">
        <v>2144</v>
      </c>
      <c r="E500" t="s">
        <v>2124</v>
      </c>
      <c r="F500">
        <v>6500000</v>
      </c>
      <c r="G500" t="s">
        <v>2188</v>
      </c>
      <c r="H500" s="1">
        <v>44018</v>
      </c>
    </row>
    <row r="501" spans="1:8" x14ac:dyDescent="0.25">
      <c r="A501" t="s">
        <v>1139</v>
      </c>
      <c r="B501" t="s">
        <v>2225</v>
      </c>
      <c r="C501" t="s">
        <v>1140</v>
      </c>
      <c r="D501" t="s">
        <v>2123</v>
      </c>
      <c r="E501" t="s">
        <v>2124</v>
      </c>
      <c r="F501">
        <v>8000000</v>
      </c>
      <c r="G501" t="s">
        <v>2142</v>
      </c>
      <c r="H501" s="1">
        <v>44661</v>
      </c>
    </row>
    <row r="502" spans="1:8" x14ac:dyDescent="0.25">
      <c r="A502" t="s">
        <v>1141</v>
      </c>
      <c r="B502" t="s">
        <v>2344</v>
      </c>
      <c r="C502" t="s">
        <v>1142</v>
      </c>
      <c r="D502" t="s">
        <v>2137</v>
      </c>
      <c r="E502" t="s">
        <v>2134</v>
      </c>
      <c r="F502">
        <v>8000000</v>
      </c>
      <c r="G502" t="s">
        <v>2127</v>
      </c>
      <c r="H502" s="1">
        <v>44374</v>
      </c>
    </row>
    <row r="503" spans="1:8" x14ac:dyDescent="0.25">
      <c r="A503" t="s">
        <v>1143</v>
      </c>
      <c r="B503" t="s">
        <v>2205</v>
      </c>
      <c r="C503" t="s">
        <v>1144</v>
      </c>
      <c r="D503" t="s">
        <v>37</v>
      </c>
      <c r="E503" t="s">
        <v>2134</v>
      </c>
      <c r="F503">
        <v>13000000</v>
      </c>
      <c r="G503" t="s">
        <v>2201</v>
      </c>
      <c r="H503" s="1">
        <v>44487</v>
      </c>
    </row>
    <row r="504" spans="1:8" x14ac:dyDescent="0.25">
      <c r="A504" t="s">
        <v>1145</v>
      </c>
      <c r="B504" t="s">
        <v>2205</v>
      </c>
      <c r="C504" t="s">
        <v>1146</v>
      </c>
      <c r="D504" t="s">
        <v>2119</v>
      </c>
      <c r="E504" t="s">
        <v>2134</v>
      </c>
      <c r="F504">
        <v>6500000</v>
      </c>
      <c r="G504" t="s">
        <v>2188</v>
      </c>
      <c r="H504" s="1">
        <v>45581</v>
      </c>
    </row>
    <row r="505" spans="1:8" x14ac:dyDescent="0.25">
      <c r="A505" t="s">
        <v>1147</v>
      </c>
      <c r="B505" t="s">
        <v>2193</v>
      </c>
      <c r="C505" t="s">
        <v>1148</v>
      </c>
      <c r="D505" t="s">
        <v>2144</v>
      </c>
      <c r="E505" t="s">
        <v>2149</v>
      </c>
      <c r="F505">
        <v>8000000</v>
      </c>
      <c r="G505" t="s">
        <v>2345</v>
      </c>
      <c r="H505" s="1">
        <v>43866</v>
      </c>
    </row>
    <row r="506" spans="1:8" x14ac:dyDescent="0.25">
      <c r="A506" t="s">
        <v>1149</v>
      </c>
      <c r="B506" t="s">
        <v>2238</v>
      </c>
      <c r="C506" t="s">
        <v>1150</v>
      </c>
      <c r="D506" t="s">
        <v>2133</v>
      </c>
      <c r="E506" t="s">
        <v>2120</v>
      </c>
      <c r="F506">
        <v>5500000</v>
      </c>
      <c r="G506" t="s">
        <v>2196</v>
      </c>
      <c r="H506" s="1">
        <v>44348</v>
      </c>
    </row>
    <row r="507" spans="1:8" x14ac:dyDescent="0.25">
      <c r="A507" t="s">
        <v>1151</v>
      </c>
      <c r="B507" t="s">
        <v>2238</v>
      </c>
      <c r="C507" t="s">
        <v>1152</v>
      </c>
      <c r="D507" t="s">
        <v>2133</v>
      </c>
      <c r="E507" t="s">
        <v>2134</v>
      </c>
      <c r="F507">
        <v>8000000</v>
      </c>
      <c r="G507" t="s">
        <v>2135</v>
      </c>
      <c r="H507" s="1">
        <v>44244</v>
      </c>
    </row>
    <row r="508" spans="1:8" x14ac:dyDescent="0.25">
      <c r="A508" t="s">
        <v>1153</v>
      </c>
      <c r="B508" t="s">
        <v>2160</v>
      </c>
      <c r="C508" t="s">
        <v>1154</v>
      </c>
      <c r="D508" t="s">
        <v>2133</v>
      </c>
      <c r="E508" t="s">
        <v>2120</v>
      </c>
      <c r="F508">
        <v>10500000</v>
      </c>
      <c r="G508" t="s">
        <v>2125</v>
      </c>
      <c r="H508" s="1">
        <v>43954</v>
      </c>
    </row>
    <row r="509" spans="1:8" x14ac:dyDescent="0.25">
      <c r="A509" t="s">
        <v>1155</v>
      </c>
      <c r="B509" t="s">
        <v>2278</v>
      </c>
      <c r="C509" t="s">
        <v>1156</v>
      </c>
      <c r="D509" t="s">
        <v>2144</v>
      </c>
      <c r="E509" t="s">
        <v>2130</v>
      </c>
      <c r="F509">
        <v>8000000</v>
      </c>
      <c r="G509" t="s">
        <v>2142</v>
      </c>
      <c r="H509" s="1">
        <v>44189</v>
      </c>
    </row>
    <row r="510" spans="1:8" x14ac:dyDescent="0.25">
      <c r="A510" t="s">
        <v>1157</v>
      </c>
      <c r="B510" t="s">
        <v>2262</v>
      </c>
      <c r="C510" t="s">
        <v>1158</v>
      </c>
      <c r="D510" t="s">
        <v>2129</v>
      </c>
      <c r="E510" t="s">
        <v>2120</v>
      </c>
      <c r="F510">
        <v>5500000</v>
      </c>
      <c r="G510" t="s">
        <v>2138</v>
      </c>
      <c r="H510" s="1">
        <v>45254</v>
      </c>
    </row>
    <row r="511" spans="1:8" x14ac:dyDescent="0.25">
      <c r="A511" t="s">
        <v>220</v>
      </c>
      <c r="B511" t="s">
        <v>2255</v>
      </c>
      <c r="C511" t="s">
        <v>201</v>
      </c>
      <c r="D511" t="s">
        <v>2123</v>
      </c>
      <c r="E511" t="s">
        <v>2124</v>
      </c>
      <c r="F511">
        <v>5500000</v>
      </c>
      <c r="G511" t="s">
        <v>2265</v>
      </c>
      <c r="H511" s="1">
        <v>44441</v>
      </c>
    </row>
    <row r="512" spans="1:8" x14ac:dyDescent="0.25">
      <c r="A512" t="s">
        <v>1159</v>
      </c>
      <c r="B512" t="s">
        <v>2148</v>
      </c>
      <c r="C512" t="s">
        <v>1160</v>
      </c>
      <c r="D512" t="s">
        <v>2137</v>
      </c>
      <c r="E512" t="s">
        <v>2149</v>
      </c>
      <c r="F512">
        <v>6500000</v>
      </c>
      <c r="G512" t="s">
        <v>2157</v>
      </c>
      <c r="H512" s="1">
        <v>44440</v>
      </c>
    </row>
    <row r="513" spans="1:8" x14ac:dyDescent="0.25">
      <c r="A513" t="s">
        <v>1161</v>
      </c>
      <c r="B513" t="s">
        <v>2275</v>
      </c>
      <c r="C513" t="s">
        <v>1162</v>
      </c>
      <c r="D513" t="s">
        <v>2144</v>
      </c>
      <c r="E513" t="s">
        <v>2149</v>
      </c>
      <c r="F513">
        <v>13000000</v>
      </c>
      <c r="G513" t="s">
        <v>2227</v>
      </c>
      <c r="H513" s="1">
        <v>44440</v>
      </c>
    </row>
    <row r="514" spans="1:8" x14ac:dyDescent="0.25">
      <c r="A514" t="s">
        <v>1163</v>
      </c>
      <c r="B514" t="s">
        <v>2128</v>
      </c>
      <c r="C514" t="s">
        <v>1164</v>
      </c>
      <c r="D514" t="s">
        <v>2133</v>
      </c>
      <c r="E514" t="s">
        <v>2134</v>
      </c>
      <c r="F514">
        <v>6500000</v>
      </c>
      <c r="G514" t="s">
        <v>2346</v>
      </c>
      <c r="H514" s="1">
        <v>45892</v>
      </c>
    </row>
    <row r="515" spans="1:8" x14ac:dyDescent="0.25">
      <c r="A515" t="s">
        <v>1165</v>
      </c>
      <c r="B515" t="s">
        <v>2347</v>
      </c>
      <c r="C515" t="s">
        <v>1166</v>
      </c>
      <c r="D515" t="s">
        <v>2133</v>
      </c>
      <c r="E515" t="s">
        <v>2149</v>
      </c>
      <c r="F515">
        <v>5500000</v>
      </c>
      <c r="G515" t="s">
        <v>2203</v>
      </c>
      <c r="H515" s="1">
        <v>45281</v>
      </c>
    </row>
    <row r="516" spans="1:8" x14ac:dyDescent="0.25">
      <c r="A516" t="s">
        <v>1167</v>
      </c>
      <c r="B516" t="s">
        <v>2221</v>
      </c>
      <c r="C516" t="s">
        <v>1168</v>
      </c>
      <c r="D516" t="s">
        <v>2119</v>
      </c>
      <c r="E516" t="s">
        <v>2149</v>
      </c>
      <c r="F516">
        <v>13000000</v>
      </c>
      <c r="G516" t="s">
        <v>2175</v>
      </c>
      <c r="H516" s="1">
        <v>44725</v>
      </c>
    </row>
    <row r="517" spans="1:8" x14ac:dyDescent="0.25">
      <c r="A517" t="s">
        <v>1169</v>
      </c>
      <c r="B517" t="s">
        <v>2249</v>
      </c>
      <c r="C517" t="s">
        <v>1170</v>
      </c>
      <c r="D517" t="s">
        <v>42</v>
      </c>
      <c r="E517" t="s">
        <v>2120</v>
      </c>
      <c r="F517">
        <v>5500000</v>
      </c>
      <c r="G517" t="s">
        <v>2311</v>
      </c>
      <c r="H517" s="1">
        <v>44973</v>
      </c>
    </row>
    <row r="518" spans="1:8" x14ac:dyDescent="0.25">
      <c r="A518" t="s">
        <v>1171</v>
      </c>
      <c r="B518" t="s">
        <v>2245</v>
      </c>
      <c r="C518" t="s">
        <v>1172</v>
      </c>
      <c r="D518" t="s">
        <v>2137</v>
      </c>
      <c r="E518" t="s">
        <v>2124</v>
      </c>
      <c r="F518">
        <v>10500000</v>
      </c>
      <c r="G518" t="s">
        <v>2227</v>
      </c>
      <c r="H518" s="1">
        <v>45232</v>
      </c>
    </row>
    <row r="519" spans="1:8" x14ac:dyDescent="0.25">
      <c r="A519" t="s">
        <v>1173</v>
      </c>
      <c r="B519" t="s">
        <v>2156</v>
      </c>
      <c r="C519" t="s">
        <v>1174</v>
      </c>
      <c r="D519" t="s">
        <v>2137</v>
      </c>
      <c r="E519" t="s">
        <v>2120</v>
      </c>
      <c r="F519">
        <v>6500000</v>
      </c>
      <c r="G519" t="s">
        <v>2198</v>
      </c>
      <c r="H519" s="1">
        <v>44279</v>
      </c>
    </row>
    <row r="520" spans="1:8" x14ac:dyDescent="0.25">
      <c r="A520" t="s">
        <v>1175</v>
      </c>
      <c r="B520" t="s">
        <v>2118</v>
      </c>
      <c r="C520" t="s">
        <v>1176</v>
      </c>
      <c r="D520" t="s">
        <v>2123</v>
      </c>
      <c r="E520" t="s">
        <v>2130</v>
      </c>
      <c r="F520">
        <v>8000000</v>
      </c>
      <c r="G520" t="s">
        <v>2265</v>
      </c>
      <c r="H520" s="1">
        <v>45993</v>
      </c>
    </row>
    <row r="521" spans="1:8" x14ac:dyDescent="0.25">
      <c r="A521" t="s">
        <v>1177</v>
      </c>
      <c r="B521" t="s">
        <v>2169</v>
      </c>
      <c r="C521" t="s">
        <v>1178</v>
      </c>
      <c r="D521" t="s">
        <v>2144</v>
      </c>
      <c r="E521" t="s">
        <v>2130</v>
      </c>
      <c r="F521">
        <v>13000000</v>
      </c>
      <c r="G521" t="s">
        <v>2165</v>
      </c>
      <c r="H521" s="1">
        <v>44569</v>
      </c>
    </row>
    <row r="522" spans="1:8" x14ac:dyDescent="0.25">
      <c r="A522" t="s">
        <v>1179</v>
      </c>
      <c r="B522" t="s">
        <v>2296</v>
      </c>
      <c r="C522" t="s">
        <v>1180</v>
      </c>
      <c r="D522" t="s">
        <v>2144</v>
      </c>
      <c r="E522" t="s">
        <v>2124</v>
      </c>
      <c r="F522">
        <v>5500000</v>
      </c>
      <c r="G522" t="s">
        <v>2154</v>
      </c>
      <c r="H522" s="1">
        <v>45833</v>
      </c>
    </row>
    <row r="523" spans="1:8" x14ac:dyDescent="0.25">
      <c r="A523" t="s">
        <v>1181</v>
      </c>
      <c r="B523" t="s">
        <v>2243</v>
      </c>
      <c r="C523" t="s">
        <v>1182</v>
      </c>
      <c r="D523" t="s">
        <v>14</v>
      </c>
      <c r="E523" t="s">
        <v>2120</v>
      </c>
      <c r="F523">
        <v>5500000</v>
      </c>
      <c r="G523" t="s">
        <v>2138</v>
      </c>
      <c r="H523" s="1">
        <v>44443</v>
      </c>
    </row>
    <row r="524" spans="1:8" x14ac:dyDescent="0.25">
      <c r="A524" t="s">
        <v>1183</v>
      </c>
      <c r="B524" t="s">
        <v>2281</v>
      </c>
      <c r="C524" t="s">
        <v>1184</v>
      </c>
      <c r="D524" t="s">
        <v>14</v>
      </c>
      <c r="E524" t="s">
        <v>2120</v>
      </c>
      <c r="F524">
        <v>8000000</v>
      </c>
      <c r="G524" t="s">
        <v>2188</v>
      </c>
      <c r="H524" s="1">
        <v>45940</v>
      </c>
    </row>
    <row r="525" spans="1:8" x14ac:dyDescent="0.25">
      <c r="A525" t="s">
        <v>1185</v>
      </c>
      <c r="B525" t="s">
        <v>2181</v>
      </c>
      <c r="C525" t="s">
        <v>1186</v>
      </c>
      <c r="D525" t="s">
        <v>2144</v>
      </c>
      <c r="E525" t="s">
        <v>2134</v>
      </c>
      <c r="F525">
        <v>10500000</v>
      </c>
      <c r="G525" t="s">
        <v>2121</v>
      </c>
      <c r="H525" s="1">
        <v>44114</v>
      </c>
    </row>
    <row r="526" spans="1:8" x14ac:dyDescent="0.25">
      <c r="A526" t="s">
        <v>1187</v>
      </c>
      <c r="B526" t="s">
        <v>2236</v>
      </c>
      <c r="C526" t="s">
        <v>1188</v>
      </c>
      <c r="D526" t="s">
        <v>33</v>
      </c>
      <c r="E526" t="s">
        <v>2130</v>
      </c>
      <c r="F526">
        <v>13000000</v>
      </c>
      <c r="G526" t="s">
        <v>2210</v>
      </c>
      <c r="H526" s="1">
        <v>44514</v>
      </c>
    </row>
    <row r="527" spans="1:8" x14ac:dyDescent="0.25">
      <c r="A527" t="s">
        <v>1189</v>
      </c>
      <c r="B527" t="s">
        <v>2215</v>
      </c>
      <c r="C527" t="s">
        <v>1190</v>
      </c>
      <c r="D527" t="s">
        <v>2137</v>
      </c>
      <c r="E527" t="s">
        <v>2134</v>
      </c>
      <c r="F527">
        <v>8000000</v>
      </c>
      <c r="G527" t="s">
        <v>2157</v>
      </c>
      <c r="H527" s="1">
        <v>44236</v>
      </c>
    </row>
    <row r="528" spans="1:8" x14ac:dyDescent="0.25">
      <c r="A528" t="s">
        <v>1191</v>
      </c>
      <c r="B528" t="s">
        <v>2171</v>
      </c>
      <c r="C528" t="s">
        <v>1192</v>
      </c>
      <c r="D528" t="s">
        <v>2137</v>
      </c>
      <c r="E528" t="s">
        <v>2149</v>
      </c>
      <c r="F528">
        <v>13000000</v>
      </c>
      <c r="G528" t="s">
        <v>2265</v>
      </c>
      <c r="H528" s="1">
        <v>46010</v>
      </c>
    </row>
    <row r="529" spans="1:8" x14ac:dyDescent="0.25">
      <c r="A529" t="s">
        <v>1193</v>
      </c>
      <c r="B529" t="s">
        <v>2260</v>
      </c>
      <c r="C529" t="s">
        <v>1194</v>
      </c>
      <c r="D529" t="s">
        <v>14</v>
      </c>
      <c r="E529" t="s">
        <v>2124</v>
      </c>
      <c r="F529">
        <v>5500000</v>
      </c>
      <c r="G529" t="s">
        <v>2265</v>
      </c>
      <c r="H529" s="1">
        <v>44566</v>
      </c>
    </row>
    <row r="530" spans="1:8" x14ac:dyDescent="0.25">
      <c r="A530" t="s">
        <v>1195</v>
      </c>
      <c r="B530" t="s">
        <v>2237</v>
      </c>
      <c r="C530" t="s">
        <v>1196</v>
      </c>
      <c r="D530" t="s">
        <v>2137</v>
      </c>
      <c r="E530" t="s">
        <v>2120</v>
      </c>
      <c r="F530">
        <v>13000000</v>
      </c>
      <c r="G530" t="s">
        <v>2135</v>
      </c>
      <c r="H530" s="1">
        <v>44144</v>
      </c>
    </row>
    <row r="531" spans="1:8" x14ac:dyDescent="0.25">
      <c r="A531" t="s">
        <v>1197</v>
      </c>
      <c r="B531" t="s">
        <v>2146</v>
      </c>
      <c r="C531" t="s">
        <v>1198</v>
      </c>
      <c r="D531" t="s">
        <v>2129</v>
      </c>
      <c r="E531" t="s">
        <v>2134</v>
      </c>
      <c r="F531">
        <v>8000000</v>
      </c>
      <c r="G531" t="s">
        <v>2140</v>
      </c>
      <c r="H531" s="1">
        <v>44879</v>
      </c>
    </row>
    <row r="532" spans="1:8" x14ac:dyDescent="0.25">
      <c r="A532" t="s">
        <v>1199</v>
      </c>
      <c r="B532" t="s">
        <v>2318</v>
      </c>
      <c r="C532" t="s">
        <v>1200</v>
      </c>
      <c r="D532" t="s">
        <v>2137</v>
      </c>
      <c r="E532" t="s">
        <v>2134</v>
      </c>
      <c r="F532">
        <v>8000000</v>
      </c>
      <c r="G532" t="s">
        <v>2326</v>
      </c>
      <c r="H532" s="1">
        <v>45541</v>
      </c>
    </row>
    <row r="533" spans="1:8" x14ac:dyDescent="0.25">
      <c r="A533" t="s">
        <v>1201</v>
      </c>
      <c r="B533" t="s">
        <v>2183</v>
      </c>
      <c r="C533" t="s">
        <v>1202</v>
      </c>
      <c r="D533" t="s">
        <v>2123</v>
      </c>
      <c r="E533" t="s">
        <v>2120</v>
      </c>
      <c r="F533">
        <v>5500000</v>
      </c>
      <c r="G533" t="s">
        <v>2196</v>
      </c>
      <c r="H533" s="1">
        <v>45405</v>
      </c>
    </row>
    <row r="534" spans="1:8" x14ac:dyDescent="0.25">
      <c r="A534" t="s">
        <v>1203</v>
      </c>
      <c r="B534" t="s">
        <v>2299</v>
      </c>
      <c r="C534" t="s">
        <v>1204</v>
      </c>
      <c r="D534" t="s">
        <v>2133</v>
      </c>
      <c r="E534" t="s">
        <v>2124</v>
      </c>
      <c r="F534">
        <v>13000000</v>
      </c>
      <c r="G534" t="s">
        <v>2165</v>
      </c>
      <c r="H534" s="1">
        <v>44542</v>
      </c>
    </row>
    <row r="535" spans="1:8" x14ac:dyDescent="0.25">
      <c r="A535" t="s">
        <v>1205</v>
      </c>
      <c r="B535" t="s">
        <v>2194</v>
      </c>
      <c r="C535" t="s">
        <v>1206</v>
      </c>
      <c r="D535" t="s">
        <v>2137</v>
      </c>
      <c r="E535" t="s">
        <v>2120</v>
      </c>
      <c r="F535">
        <v>8000000</v>
      </c>
      <c r="G535" t="s">
        <v>2131</v>
      </c>
      <c r="H535" s="1">
        <v>44296</v>
      </c>
    </row>
    <row r="536" spans="1:8" x14ac:dyDescent="0.25">
      <c r="A536" t="s">
        <v>1207</v>
      </c>
      <c r="B536" t="s">
        <v>2329</v>
      </c>
      <c r="C536" t="s">
        <v>1208</v>
      </c>
      <c r="D536" t="s">
        <v>2129</v>
      </c>
      <c r="E536" t="s">
        <v>2149</v>
      </c>
      <c r="F536">
        <v>8000000</v>
      </c>
      <c r="G536" t="s">
        <v>2188</v>
      </c>
      <c r="H536" s="1">
        <v>46004</v>
      </c>
    </row>
    <row r="537" spans="1:8" x14ac:dyDescent="0.25">
      <c r="A537" t="s">
        <v>1209</v>
      </c>
      <c r="B537" t="s">
        <v>2258</v>
      </c>
      <c r="C537" t="s">
        <v>1210</v>
      </c>
      <c r="D537" t="s">
        <v>2123</v>
      </c>
      <c r="E537" t="s">
        <v>2130</v>
      </c>
      <c r="F537">
        <v>6500000</v>
      </c>
      <c r="G537" t="s">
        <v>2182</v>
      </c>
      <c r="H537" s="1">
        <v>45617</v>
      </c>
    </row>
    <row r="538" spans="1:8" x14ac:dyDescent="0.25">
      <c r="A538" t="s">
        <v>1211</v>
      </c>
      <c r="B538" t="s">
        <v>2228</v>
      </c>
      <c r="C538" t="s">
        <v>1212</v>
      </c>
      <c r="D538" t="s">
        <v>42</v>
      </c>
      <c r="E538" t="s">
        <v>2120</v>
      </c>
      <c r="F538">
        <v>6500000</v>
      </c>
      <c r="G538" t="s">
        <v>2125</v>
      </c>
      <c r="H538" s="1">
        <v>44829</v>
      </c>
    </row>
    <row r="539" spans="1:8" x14ac:dyDescent="0.25">
      <c r="A539" t="s">
        <v>1213</v>
      </c>
      <c r="B539" t="s">
        <v>2348</v>
      </c>
      <c r="C539" t="s">
        <v>1214</v>
      </c>
      <c r="D539" t="s">
        <v>2144</v>
      </c>
      <c r="E539" t="s">
        <v>2134</v>
      </c>
      <c r="F539">
        <v>5500000</v>
      </c>
      <c r="G539" t="s">
        <v>2207</v>
      </c>
      <c r="H539" s="1">
        <v>45784</v>
      </c>
    </row>
    <row r="540" spans="1:8" x14ac:dyDescent="0.25">
      <c r="A540" t="s">
        <v>1215</v>
      </c>
      <c r="B540" t="s">
        <v>2262</v>
      </c>
      <c r="C540" t="s">
        <v>1216</v>
      </c>
      <c r="D540" t="s">
        <v>2119</v>
      </c>
      <c r="E540" t="s">
        <v>2134</v>
      </c>
      <c r="F540">
        <v>6500000</v>
      </c>
      <c r="G540" t="s">
        <v>2172</v>
      </c>
      <c r="H540" s="1">
        <v>44389</v>
      </c>
    </row>
    <row r="541" spans="1:8" x14ac:dyDescent="0.25">
      <c r="A541" t="s">
        <v>1217</v>
      </c>
      <c r="B541" t="s">
        <v>2349</v>
      </c>
      <c r="C541" t="s">
        <v>1218</v>
      </c>
      <c r="D541" t="s">
        <v>2123</v>
      </c>
      <c r="E541" t="s">
        <v>2120</v>
      </c>
      <c r="F541">
        <v>13000000</v>
      </c>
      <c r="G541" t="s">
        <v>2135</v>
      </c>
      <c r="H541" s="1">
        <v>45557</v>
      </c>
    </row>
    <row r="542" spans="1:8" x14ac:dyDescent="0.25">
      <c r="A542" t="s">
        <v>1219</v>
      </c>
      <c r="B542" t="s">
        <v>2214</v>
      </c>
      <c r="C542" t="s">
        <v>1220</v>
      </c>
      <c r="D542" t="s">
        <v>2123</v>
      </c>
      <c r="E542" t="s">
        <v>2124</v>
      </c>
      <c r="F542">
        <v>13000000</v>
      </c>
      <c r="G542" t="s">
        <v>2165</v>
      </c>
      <c r="H542" s="1">
        <v>44585</v>
      </c>
    </row>
    <row r="543" spans="1:8" x14ac:dyDescent="0.25">
      <c r="A543" t="s">
        <v>222</v>
      </c>
      <c r="B543" t="s">
        <v>2249</v>
      </c>
      <c r="C543" t="s">
        <v>201</v>
      </c>
      <c r="D543" t="s">
        <v>2144</v>
      </c>
      <c r="E543" t="s">
        <v>2130</v>
      </c>
      <c r="F543">
        <v>13000000</v>
      </c>
      <c r="G543" t="s">
        <v>2219</v>
      </c>
      <c r="H543" s="1">
        <v>45479</v>
      </c>
    </row>
    <row r="544" spans="1:8" x14ac:dyDescent="0.25">
      <c r="A544" t="s">
        <v>1221</v>
      </c>
      <c r="B544" t="s">
        <v>2304</v>
      </c>
      <c r="C544" t="s">
        <v>1222</v>
      </c>
      <c r="D544" t="s">
        <v>2123</v>
      </c>
      <c r="E544" t="s">
        <v>2134</v>
      </c>
      <c r="F544">
        <v>5500000</v>
      </c>
      <c r="G544" t="s">
        <v>2203</v>
      </c>
      <c r="H544" s="1">
        <v>44544</v>
      </c>
    </row>
    <row r="545" spans="1:8" x14ac:dyDescent="0.25">
      <c r="A545" t="s">
        <v>1223</v>
      </c>
      <c r="B545" t="s">
        <v>2270</v>
      </c>
      <c r="C545" t="s">
        <v>1224</v>
      </c>
      <c r="D545" t="s">
        <v>2137</v>
      </c>
      <c r="E545" t="s">
        <v>2120</v>
      </c>
      <c r="F545">
        <v>10500000</v>
      </c>
      <c r="G545" t="s">
        <v>2207</v>
      </c>
      <c r="H545" s="1">
        <v>44335</v>
      </c>
    </row>
    <row r="546" spans="1:8" x14ac:dyDescent="0.25">
      <c r="A546" t="s">
        <v>1225</v>
      </c>
      <c r="B546" t="s">
        <v>2267</v>
      </c>
      <c r="C546" t="s">
        <v>1226</v>
      </c>
      <c r="D546" t="s">
        <v>2119</v>
      </c>
      <c r="E546" t="s">
        <v>2124</v>
      </c>
      <c r="F546">
        <v>8000000</v>
      </c>
      <c r="G546" t="s">
        <v>2188</v>
      </c>
      <c r="H546" s="1">
        <v>44750</v>
      </c>
    </row>
    <row r="547" spans="1:8" x14ac:dyDescent="0.25">
      <c r="A547" t="s">
        <v>1227</v>
      </c>
      <c r="B547" t="s">
        <v>2224</v>
      </c>
      <c r="C547" t="s">
        <v>1228</v>
      </c>
      <c r="D547" t="s">
        <v>2123</v>
      </c>
      <c r="E547" t="s">
        <v>2149</v>
      </c>
      <c r="F547">
        <v>6500000</v>
      </c>
      <c r="G547" t="s">
        <v>2210</v>
      </c>
      <c r="H547" s="1">
        <v>44182</v>
      </c>
    </row>
    <row r="548" spans="1:8" x14ac:dyDescent="0.25">
      <c r="A548" t="s">
        <v>1229</v>
      </c>
      <c r="B548" t="s">
        <v>2260</v>
      </c>
      <c r="C548" t="s">
        <v>1230</v>
      </c>
      <c r="D548" t="s">
        <v>2137</v>
      </c>
      <c r="E548" t="s">
        <v>2149</v>
      </c>
      <c r="F548">
        <v>5500000</v>
      </c>
      <c r="G548" t="s">
        <v>2125</v>
      </c>
      <c r="H548" s="1">
        <v>44229</v>
      </c>
    </row>
    <row r="549" spans="1:8" x14ac:dyDescent="0.25">
      <c r="A549" t="s">
        <v>1231</v>
      </c>
      <c r="B549" t="s">
        <v>2200</v>
      </c>
      <c r="C549" t="s">
        <v>1232</v>
      </c>
      <c r="D549" t="s">
        <v>2123</v>
      </c>
      <c r="E549" t="s">
        <v>2149</v>
      </c>
      <c r="F549">
        <v>5500000</v>
      </c>
      <c r="G549" t="s">
        <v>2127</v>
      </c>
      <c r="H549" s="1">
        <v>45947</v>
      </c>
    </row>
    <row r="550" spans="1:8" x14ac:dyDescent="0.25">
      <c r="A550" t="s">
        <v>1233</v>
      </c>
      <c r="B550" t="s">
        <v>2126</v>
      </c>
      <c r="C550" t="s">
        <v>1234</v>
      </c>
      <c r="D550" t="s">
        <v>2129</v>
      </c>
      <c r="E550" t="s">
        <v>2124</v>
      </c>
      <c r="F550">
        <v>13000000</v>
      </c>
      <c r="G550" t="s">
        <v>2213</v>
      </c>
      <c r="H550" s="1">
        <v>45663</v>
      </c>
    </row>
    <row r="551" spans="1:8" x14ac:dyDescent="0.25">
      <c r="A551" t="s">
        <v>1235</v>
      </c>
      <c r="B551" t="s">
        <v>2185</v>
      </c>
      <c r="C551" t="s">
        <v>1236</v>
      </c>
      <c r="D551" t="s">
        <v>2133</v>
      </c>
      <c r="E551" t="s">
        <v>2149</v>
      </c>
      <c r="F551">
        <v>10500000</v>
      </c>
      <c r="G551" t="s">
        <v>2265</v>
      </c>
      <c r="H551" s="1">
        <v>44218</v>
      </c>
    </row>
    <row r="552" spans="1:8" x14ac:dyDescent="0.25">
      <c r="A552" t="s">
        <v>1237</v>
      </c>
      <c r="B552" t="s">
        <v>2158</v>
      </c>
      <c r="C552" t="s">
        <v>1238</v>
      </c>
      <c r="D552" t="s">
        <v>2123</v>
      </c>
      <c r="E552" t="s">
        <v>2134</v>
      </c>
      <c r="F552">
        <v>13000000</v>
      </c>
      <c r="G552" t="s">
        <v>2191</v>
      </c>
      <c r="H552" s="1">
        <v>45573</v>
      </c>
    </row>
    <row r="553" spans="1:8" x14ac:dyDescent="0.25">
      <c r="A553" t="s">
        <v>1239</v>
      </c>
      <c r="B553" t="s">
        <v>2179</v>
      </c>
      <c r="C553" t="s">
        <v>1240</v>
      </c>
      <c r="D553" t="s">
        <v>2137</v>
      </c>
      <c r="E553" t="s">
        <v>2134</v>
      </c>
      <c r="F553">
        <v>13000000</v>
      </c>
      <c r="G553" t="s">
        <v>2219</v>
      </c>
      <c r="H553" s="1">
        <v>44844</v>
      </c>
    </row>
    <row r="554" spans="1:8" x14ac:dyDescent="0.25">
      <c r="A554" t="s">
        <v>1241</v>
      </c>
      <c r="B554" t="s">
        <v>2253</v>
      </c>
      <c r="C554" t="s">
        <v>1242</v>
      </c>
      <c r="D554" t="s">
        <v>23</v>
      </c>
      <c r="E554" t="s">
        <v>2134</v>
      </c>
      <c r="F554">
        <v>13000000</v>
      </c>
      <c r="G554" t="s">
        <v>2157</v>
      </c>
      <c r="H554" s="1">
        <v>44312</v>
      </c>
    </row>
    <row r="555" spans="1:8" x14ac:dyDescent="0.25">
      <c r="A555" t="s">
        <v>224</v>
      </c>
      <c r="B555" t="s">
        <v>2287</v>
      </c>
      <c r="C555" t="s">
        <v>201</v>
      </c>
      <c r="D555" t="s">
        <v>2137</v>
      </c>
      <c r="E555" t="s">
        <v>2130</v>
      </c>
      <c r="F555">
        <v>8000000</v>
      </c>
      <c r="G555" t="s">
        <v>2131</v>
      </c>
      <c r="H555" s="1">
        <v>44697</v>
      </c>
    </row>
    <row r="556" spans="1:8" x14ac:dyDescent="0.25">
      <c r="A556" t="s">
        <v>1243</v>
      </c>
      <c r="B556" t="s">
        <v>2199</v>
      </c>
      <c r="C556" t="s">
        <v>1244</v>
      </c>
      <c r="D556" t="s">
        <v>2144</v>
      </c>
      <c r="E556" t="s">
        <v>2130</v>
      </c>
      <c r="F556">
        <v>10500000</v>
      </c>
      <c r="G556" t="s">
        <v>2175</v>
      </c>
      <c r="H556" s="1">
        <v>45202</v>
      </c>
    </row>
    <row r="557" spans="1:8" x14ac:dyDescent="0.25">
      <c r="A557" t="s">
        <v>1245</v>
      </c>
      <c r="B557" t="s">
        <v>2152</v>
      </c>
      <c r="C557" t="s">
        <v>1246</v>
      </c>
      <c r="D557" t="s">
        <v>2119</v>
      </c>
      <c r="E557" t="s">
        <v>2124</v>
      </c>
      <c r="F557">
        <v>13000000</v>
      </c>
      <c r="G557" t="s">
        <v>2213</v>
      </c>
      <c r="H557" s="1">
        <v>43924</v>
      </c>
    </row>
    <row r="558" spans="1:8" x14ac:dyDescent="0.25">
      <c r="A558" t="s">
        <v>1247</v>
      </c>
      <c r="B558" t="s">
        <v>2244</v>
      </c>
      <c r="C558" t="s">
        <v>1248</v>
      </c>
      <c r="D558" t="s">
        <v>2119</v>
      </c>
      <c r="E558" t="s">
        <v>2130</v>
      </c>
      <c r="F558">
        <v>8000000</v>
      </c>
      <c r="G558" t="s">
        <v>2175</v>
      </c>
      <c r="H558" s="1">
        <v>45499</v>
      </c>
    </row>
    <row r="559" spans="1:8" x14ac:dyDescent="0.25">
      <c r="A559" t="s">
        <v>1249</v>
      </c>
      <c r="B559" t="s">
        <v>2209</v>
      </c>
      <c r="C559" t="s">
        <v>1250</v>
      </c>
      <c r="D559" t="s">
        <v>2133</v>
      </c>
      <c r="E559" t="s">
        <v>2134</v>
      </c>
      <c r="F559">
        <v>13000000</v>
      </c>
      <c r="G559" t="s">
        <v>2153</v>
      </c>
      <c r="H559" s="1">
        <v>44143</v>
      </c>
    </row>
    <row r="560" spans="1:8" x14ac:dyDescent="0.25">
      <c r="A560" t="s">
        <v>1251</v>
      </c>
      <c r="B560" t="s">
        <v>2253</v>
      </c>
      <c r="C560" t="s">
        <v>1252</v>
      </c>
      <c r="D560" t="s">
        <v>2133</v>
      </c>
      <c r="E560" t="s">
        <v>2124</v>
      </c>
      <c r="F560">
        <v>5500000</v>
      </c>
      <c r="G560" t="s">
        <v>2180</v>
      </c>
      <c r="H560" s="1">
        <v>44115</v>
      </c>
    </row>
    <row r="561" spans="1:8" x14ac:dyDescent="0.25">
      <c r="A561" t="s">
        <v>1253</v>
      </c>
      <c r="B561" t="s">
        <v>2171</v>
      </c>
      <c r="C561" t="s">
        <v>1254</v>
      </c>
      <c r="D561" t="s">
        <v>2133</v>
      </c>
      <c r="E561" t="s">
        <v>2120</v>
      </c>
      <c r="F561">
        <v>8000000</v>
      </c>
      <c r="G561" t="s">
        <v>2157</v>
      </c>
      <c r="H561" s="1">
        <v>44921</v>
      </c>
    </row>
    <row r="562" spans="1:8" x14ac:dyDescent="0.25">
      <c r="A562" t="s">
        <v>1255</v>
      </c>
      <c r="B562" t="s">
        <v>2241</v>
      </c>
      <c r="C562" t="s">
        <v>1256</v>
      </c>
      <c r="D562" t="s">
        <v>2129</v>
      </c>
      <c r="E562" t="s">
        <v>2120</v>
      </c>
      <c r="F562">
        <v>8000000</v>
      </c>
      <c r="G562" t="s">
        <v>2127</v>
      </c>
      <c r="H562" s="1">
        <v>45017</v>
      </c>
    </row>
    <row r="563" spans="1:8" x14ac:dyDescent="0.25">
      <c r="A563" t="s">
        <v>1257</v>
      </c>
      <c r="B563" t="s">
        <v>2156</v>
      </c>
      <c r="C563" t="s">
        <v>1258</v>
      </c>
      <c r="D563" t="s">
        <v>2144</v>
      </c>
      <c r="E563" t="s">
        <v>2130</v>
      </c>
      <c r="F563">
        <v>13000000</v>
      </c>
      <c r="G563" t="s">
        <v>2165</v>
      </c>
      <c r="H563" s="1">
        <v>45242</v>
      </c>
    </row>
    <row r="564" spans="1:8" x14ac:dyDescent="0.25">
      <c r="A564" t="s">
        <v>1259</v>
      </c>
      <c r="B564" t="s">
        <v>2158</v>
      </c>
      <c r="C564" t="s">
        <v>1260</v>
      </c>
      <c r="D564" t="s">
        <v>2133</v>
      </c>
      <c r="E564" t="s">
        <v>2120</v>
      </c>
      <c r="F564">
        <v>8000000</v>
      </c>
      <c r="G564" t="s">
        <v>2203</v>
      </c>
      <c r="H564" s="1">
        <v>44385</v>
      </c>
    </row>
    <row r="565" spans="1:8" x14ac:dyDescent="0.25">
      <c r="A565" t="s">
        <v>1261</v>
      </c>
      <c r="B565" t="s">
        <v>2162</v>
      </c>
      <c r="C565" t="s">
        <v>1262</v>
      </c>
      <c r="D565" t="s">
        <v>2123</v>
      </c>
      <c r="E565" t="s">
        <v>2124</v>
      </c>
      <c r="F565">
        <v>8000000</v>
      </c>
      <c r="G565" t="s">
        <v>2165</v>
      </c>
      <c r="H565" s="1">
        <v>44689</v>
      </c>
    </row>
    <row r="566" spans="1:8" x14ac:dyDescent="0.25">
      <c r="A566" t="s">
        <v>1263</v>
      </c>
      <c r="B566" t="s">
        <v>2245</v>
      </c>
      <c r="C566" t="s">
        <v>1264</v>
      </c>
      <c r="D566" t="s">
        <v>2137</v>
      </c>
      <c r="E566" t="s">
        <v>2149</v>
      </c>
      <c r="F566">
        <v>5500000</v>
      </c>
      <c r="G566" t="s">
        <v>2127</v>
      </c>
      <c r="H566" s="1">
        <v>44004</v>
      </c>
    </row>
    <row r="567" spans="1:8" x14ac:dyDescent="0.25">
      <c r="A567" t="s">
        <v>1265</v>
      </c>
      <c r="B567" t="s">
        <v>2139</v>
      </c>
      <c r="C567" t="s">
        <v>1266</v>
      </c>
      <c r="D567" t="s">
        <v>2119</v>
      </c>
      <c r="E567" t="s">
        <v>2120</v>
      </c>
      <c r="F567">
        <v>13000000</v>
      </c>
      <c r="G567" t="s">
        <v>2219</v>
      </c>
      <c r="H567" s="1">
        <v>44806</v>
      </c>
    </row>
    <row r="568" spans="1:8" x14ac:dyDescent="0.25">
      <c r="A568" t="s">
        <v>1267</v>
      </c>
      <c r="B568" t="s">
        <v>2190</v>
      </c>
      <c r="C568" t="s">
        <v>1268</v>
      </c>
      <c r="D568" t="s">
        <v>2137</v>
      </c>
      <c r="E568" t="s">
        <v>2134</v>
      </c>
      <c r="F568">
        <v>10500000</v>
      </c>
      <c r="G568" t="s">
        <v>2330</v>
      </c>
      <c r="H568" s="1">
        <v>45907</v>
      </c>
    </row>
    <row r="569" spans="1:8" x14ac:dyDescent="0.25">
      <c r="A569" t="s">
        <v>226</v>
      </c>
      <c r="B569" t="s">
        <v>2342</v>
      </c>
      <c r="C569" t="s">
        <v>201</v>
      </c>
      <c r="D569" t="s">
        <v>2119</v>
      </c>
      <c r="E569" t="s">
        <v>2124</v>
      </c>
      <c r="F569">
        <v>8000000</v>
      </c>
      <c r="G569" t="s">
        <v>2145</v>
      </c>
      <c r="H569" s="1">
        <v>44362</v>
      </c>
    </row>
    <row r="570" spans="1:8" x14ac:dyDescent="0.25">
      <c r="A570" t="s">
        <v>1269</v>
      </c>
      <c r="B570" t="s">
        <v>2192</v>
      </c>
      <c r="C570" t="s">
        <v>1270</v>
      </c>
      <c r="D570" t="s">
        <v>2133</v>
      </c>
      <c r="E570" t="s">
        <v>2120</v>
      </c>
      <c r="F570">
        <v>13000000</v>
      </c>
      <c r="G570" t="s">
        <v>2219</v>
      </c>
      <c r="H570" s="1">
        <v>44810</v>
      </c>
    </row>
    <row r="571" spans="1:8" x14ac:dyDescent="0.25">
      <c r="A571" t="s">
        <v>1271</v>
      </c>
      <c r="B571" t="s">
        <v>2160</v>
      </c>
      <c r="C571" t="s">
        <v>1272</v>
      </c>
      <c r="D571" t="s">
        <v>2119</v>
      </c>
      <c r="E571" t="s">
        <v>2124</v>
      </c>
      <c r="F571">
        <v>10500000</v>
      </c>
      <c r="G571" t="s">
        <v>2196</v>
      </c>
      <c r="H571" s="1">
        <v>45475</v>
      </c>
    </row>
    <row r="572" spans="1:8" x14ac:dyDescent="0.25">
      <c r="A572" t="s">
        <v>1273</v>
      </c>
      <c r="B572" t="s">
        <v>2260</v>
      </c>
      <c r="C572" t="s">
        <v>1274</v>
      </c>
      <c r="D572" t="s">
        <v>2137</v>
      </c>
      <c r="E572" t="s">
        <v>2149</v>
      </c>
      <c r="F572">
        <v>6500000</v>
      </c>
      <c r="G572" t="s">
        <v>2184</v>
      </c>
      <c r="H572" s="1">
        <v>44769</v>
      </c>
    </row>
    <row r="573" spans="1:8" x14ac:dyDescent="0.25">
      <c r="A573" t="s">
        <v>1275</v>
      </c>
      <c r="B573" t="s">
        <v>2171</v>
      </c>
      <c r="C573" t="s">
        <v>1276</v>
      </c>
      <c r="D573" t="s">
        <v>2133</v>
      </c>
      <c r="E573" t="s">
        <v>2130</v>
      </c>
      <c r="F573">
        <v>5500000</v>
      </c>
      <c r="G573" t="s">
        <v>2250</v>
      </c>
      <c r="H573" s="1">
        <v>44540</v>
      </c>
    </row>
    <row r="574" spans="1:8" x14ac:dyDescent="0.25">
      <c r="A574" t="s">
        <v>1277</v>
      </c>
      <c r="B574" t="s">
        <v>2296</v>
      </c>
      <c r="C574" t="s">
        <v>1278</v>
      </c>
      <c r="D574" t="s">
        <v>2119</v>
      </c>
      <c r="E574" t="s">
        <v>2120</v>
      </c>
      <c r="F574">
        <v>8000000</v>
      </c>
      <c r="G574" t="s">
        <v>2151</v>
      </c>
      <c r="H574" s="1">
        <v>44017</v>
      </c>
    </row>
    <row r="575" spans="1:8" x14ac:dyDescent="0.25">
      <c r="A575" t="s">
        <v>1279</v>
      </c>
      <c r="B575" t="s">
        <v>2288</v>
      </c>
      <c r="C575" t="s">
        <v>1280</v>
      </c>
      <c r="D575" t="s">
        <v>2137</v>
      </c>
      <c r="E575" t="s">
        <v>2120</v>
      </c>
      <c r="F575">
        <v>8000000</v>
      </c>
      <c r="G575" t="s">
        <v>2177</v>
      </c>
      <c r="H575" s="1">
        <v>44620</v>
      </c>
    </row>
    <row r="576" spans="1:8" x14ac:dyDescent="0.25">
      <c r="A576" t="s">
        <v>1281</v>
      </c>
      <c r="B576" t="s">
        <v>2279</v>
      </c>
      <c r="C576" t="s">
        <v>1282</v>
      </c>
      <c r="D576" t="s">
        <v>2133</v>
      </c>
      <c r="E576" t="s">
        <v>2124</v>
      </c>
      <c r="F576">
        <v>5500000</v>
      </c>
      <c r="G576" t="s">
        <v>2196</v>
      </c>
      <c r="H576" s="1">
        <v>44283</v>
      </c>
    </row>
    <row r="577" spans="1:8" x14ac:dyDescent="0.25">
      <c r="A577" t="s">
        <v>1283</v>
      </c>
      <c r="B577" t="s">
        <v>2211</v>
      </c>
      <c r="C577" t="s">
        <v>1284</v>
      </c>
      <c r="D577" t="s">
        <v>2123</v>
      </c>
      <c r="E577" t="s">
        <v>2149</v>
      </c>
      <c r="F577">
        <v>5500000</v>
      </c>
      <c r="G577" t="s">
        <v>2138</v>
      </c>
      <c r="H577" s="1">
        <v>45426</v>
      </c>
    </row>
    <row r="578" spans="1:8" x14ac:dyDescent="0.25">
      <c r="A578" t="s">
        <v>1285</v>
      </c>
      <c r="B578" t="s">
        <v>2220</v>
      </c>
      <c r="C578" t="s">
        <v>1286</v>
      </c>
      <c r="D578" t="s">
        <v>2119</v>
      </c>
      <c r="E578" t="s">
        <v>2130</v>
      </c>
      <c r="F578">
        <v>8000000</v>
      </c>
      <c r="G578" t="s">
        <v>2188</v>
      </c>
      <c r="H578" s="1">
        <v>44459</v>
      </c>
    </row>
    <row r="579" spans="1:8" x14ac:dyDescent="0.25">
      <c r="A579" t="s">
        <v>1287</v>
      </c>
      <c r="B579" t="s">
        <v>2350</v>
      </c>
      <c r="C579" t="s">
        <v>1289</v>
      </c>
      <c r="D579" t="s">
        <v>2129</v>
      </c>
      <c r="E579" t="s">
        <v>2149</v>
      </c>
      <c r="F579">
        <v>13000000</v>
      </c>
      <c r="G579" t="s">
        <v>2140</v>
      </c>
      <c r="H579" s="1">
        <v>44621</v>
      </c>
    </row>
    <row r="580" spans="1:8" x14ac:dyDescent="0.25">
      <c r="A580" t="s">
        <v>228</v>
      </c>
      <c r="B580" t="s">
        <v>2319</v>
      </c>
      <c r="C580" t="s">
        <v>201</v>
      </c>
      <c r="D580" t="s">
        <v>23</v>
      </c>
      <c r="E580" t="s">
        <v>2124</v>
      </c>
      <c r="F580">
        <v>5500000</v>
      </c>
      <c r="G580" t="s">
        <v>2203</v>
      </c>
      <c r="H580" s="1">
        <v>45452</v>
      </c>
    </row>
    <row r="581" spans="1:8" x14ac:dyDescent="0.25">
      <c r="A581" t="s">
        <v>1290</v>
      </c>
      <c r="B581" t="s">
        <v>2351</v>
      </c>
      <c r="C581" t="s">
        <v>1291</v>
      </c>
      <c r="D581" t="s">
        <v>23</v>
      </c>
      <c r="E581" t="s">
        <v>2134</v>
      </c>
      <c r="F581">
        <v>6500000</v>
      </c>
      <c r="G581" t="s">
        <v>2135</v>
      </c>
      <c r="H581" s="1">
        <v>45669</v>
      </c>
    </row>
    <row r="582" spans="1:8" x14ac:dyDescent="0.25">
      <c r="A582" t="s">
        <v>1292</v>
      </c>
      <c r="B582" t="s">
        <v>2162</v>
      </c>
      <c r="C582" t="s">
        <v>1293</v>
      </c>
      <c r="D582" t="s">
        <v>2129</v>
      </c>
      <c r="E582" t="s">
        <v>2134</v>
      </c>
      <c r="F582">
        <v>5500000</v>
      </c>
      <c r="G582" t="s">
        <v>2182</v>
      </c>
      <c r="H582" s="1">
        <v>44320</v>
      </c>
    </row>
    <row r="583" spans="1:8" x14ac:dyDescent="0.25">
      <c r="A583" t="s">
        <v>1294</v>
      </c>
      <c r="B583" t="s">
        <v>2320</v>
      </c>
      <c r="C583" t="s">
        <v>1295</v>
      </c>
      <c r="D583" t="s">
        <v>2119</v>
      </c>
      <c r="E583" t="s">
        <v>2124</v>
      </c>
      <c r="F583">
        <v>10500000</v>
      </c>
      <c r="G583" t="s">
        <v>2145</v>
      </c>
      <c r="H583" s="1">
        <v>44998</v>
      </c>
    </row>
    <row r="584" spans="1:8" x14ac:dyDescent="0.25">
      <c r="A584" t="s">
        <v>1296</v>
      </c>
      <c r="B584" t="s">
        <v>2176</v>
      </c>
      <c r="C584" t="s">
        <v>1297</v>
      </c>
      <c r="D584" t="s">
        <v>2123</v>
      </c>
      <c r="E584" t="s">
        <v>2130</v>
      </c>
      <c r="F584">
        <v>6500000</v>
      </c>
      <c r="G584" t="s">
        <v>2170</v>
      </c>
      <c r="H584" s="1">
        <v>45619</v>
      </c>
    </row>
    <row r="585" spans="1:8" x14ac:dyDescent="0.25">
      <c r="A585" t="s">
        <v>1298</v>
      </c>
      <c r="B585" t="s">
        <v>2197</v>
      </c>
      <c r="C585" t="s">
        <v>1299</v>
      </c>
      <c r="D585" t="s">
        <v>2133</v>
      </c>
      <c r="E585" t="s">
        <v>2124</v>
      </c>
      <c r="F585">
        <v>6500000</v>
      </c>
      <c r="G585" t="s">
        <v>2239</v>
      </c>
      <c r="H585" s="1">
        <v>45319</v>
      </c>
    </row>
    <row r="586" spans="1:8" x14ac:dyDescent="0.25">
      <c r="A586" t="s">
        <v>1300</v>
      </c>
      <c r="B586" t="s">
        <v>2233</v>
      </c>
      <c r="C586" t="s">
        <v>1301</v>
      </c>
      <c r="D586" t="s">
        <v>33</v>
      </c>
      <c r="E586" t="s">
        <v>2124</v>
      </c>
      <c r="F586">
        <v>6500000</v>
      </c>
      <c r="G586" t="s">
        <v>2352</v>
      </c>
      <c r="H586" s="1">
        <v>44577</v>
      </c>
    </row>
    <row r="587" spans="1:8" x14ac:dyDescent="0.25">
      <c r="A587" t="s">
        <v>1302</v>
      </c>
      <c r="B587" t="s">
        <v>2181</v>
      </c>
      <c r="C587" t="s">
        <v>1303</v>
      </c>
      <c r="D587" t="s">
        <v>2133</v>
      </c>
      <c r="E587" t="s">
        <v>2120</v>
      </c>
      <c r="F587">
        <v>8000000</v>
      </c>
      <c r="G587" t="s">
        <v>2140</v>
      </c>
      <c r="H587" s="1">
        <v>44939</v>
      </c>
    </row>
    <row r="588" spans="1:8" x14ac:dyDescent="0.25">
      <c r="A588" t="s">
        <v>1304</v>
      </c>
      <c r="B588" t="s">
        <v>2353</v>
      </c>
      <c r="C588" t="s">
        <v>1305</v>
      </c>
      <c r="D588" t="s">
        <v>2123</v>
      </c>
      <c r="E588" t="s">
        <v>2120</v>
      </c>
      <c r="F588">
        <v>13000000</v>
      </c>
      <c r="G588" t="s">
        <v>2135</v>
      </c>
      <c r="H588" s="1">
        <v>44784</v>
      </c>
    </row>
    <row r="589" spans="1:8" x14ac:dyDescent="0.25">
      <c r="A589" t="s">
        <v>1306</v>
      </c>
      <c r="B589" t="s">
        <v>2132</v>
      </c>
      <c r="C589" t="s">
        <v>1307</v>
      </c>
      <c r="D589" t="s">
        <v>2137</v>
      </c>
      <c r="E589" t="s">
        <v>2134</v>
      </c>
      <c r="F589">
        <v>10500000</v>
      </c>
      <c r="G589" t="s">
        <v>2191</v>
      </c>
      <c r="H589" s="1">
        <v>44961</v>
      </c>
    </row>
    <row r="590" spans="1:8" x14ac:dyDescent="0.25">
      <c r="A590" t="s">
        <v>1308</v>
      </c>
      <c r="B590" t="s">
        <v>2354</v>
      </c>
      <c r="C590" t="s">
        <v>1310</v>
      </c>
      <c r="D590" t="s">
        <v>2129</v>
      </c>
      <c r="E590" t="s">
        <v>2124</v>
      </c>
      <c r="F590">
        <v>13000000</v>
      </c>
      <c r="G590" t="s">
        <v>2175</v>
      </c>
      <c r="H590" s="1">
        <v>44978</v>
      </c>
    </row>
    <row r="591" spans="1:8" x14ac:dyDescent="0.25">
      <c r="A591" t="s">
        <v>1311</v>
      </c>
      <c r="B591" t="s">
        <v>2181</v>
      </c>
      <c r="C591" t="s">
        <v>1312</v>
      </c>
      <c r="D591" t="s">
        <v>18</v>
      </c>
      <c r="E591" t="s">
        <v>2130</v>
      </c>
      <c r="F591">
        <v>5500000</v>
      </c>
      <c r="G591" t="s">
        <v>2138</v>
      </c>
      <c r="H591" s="1">
        <v>44611</v>
      </c>
    </row>
    <row r="592" spans="1:8" x14ac:dyDescent="0.25">
      <c r="A592" t="s">
        <v>1313</v>
      </c>
      <c r="B592" t="s">
        <v>2304</v>
      </c>
      <c r="C592" t="s">
        <v>1314</v>
      </c>
      <c r="D592" t="s">
        <v>2129</v>
      </c>
      <c r="E592" t="s">
        <v>2130</v>
      </c>
      <c r="F592">
        <v>6500000</v>
      </c>
      <c r="G592" t="s">
        <v>2121</v>
      </c>
      <c r="H592" s="1">
        <v>44240</v>
      </c>
    </row>
    <row r="593" spans="1:8" x14ac:dyDescent="0.25">
      <c r="A593" t="s">
        <v>230</v>
      </c>
      <c r="B593" t="s">
        <v>2160</v>
      </c>
      <c r="C593" t="s">
        <v>201</v>
      </c>
      <c r="D593" t="s">
        <v>2123</v>
      </c>
      <c r="E593" t="s">
        <v>2134</v>
      </c>
      <c r="F593">
        <v>10500000</v>
      </c>
      <c r="G593" t="s">
        <v>2355</v>
      </c>
      <c r="H593" s="1">
        <v>45812</v>
      </c>
    </row>
    <row r="594" spans="1:8" x14ac:dyDescent="0.25">
      <c r="A594" t="s">
        <v>1315</v>
      </c>
      <c r="B594" t="s">
        <v>2288</v>
      </c>
      <c r="C594" t="s">
        <v>1316</v>
      </c>
      <c r="D594" t="s">
        <v>2129</v>
      </c>
      <c r="E594" t="s">
        <v>2120</v>
      </c>
      <c r="F594">
        <v>10500000</v>
      </c>
      <c r="G594" t="s">
        <v>2356</v>
      </c>
      <c r="H594" s="1">
        <v>44612</v>
      </c>
    </row>
    <row r="595" spans="1:8" x14ac:dyDescent="0.25">
      <c r="A595" t="s">
        <v>1317</v>
      </c>
      <c r="B595" t="s">
        <v>2162</v>
      </c>
      <c r="C595" t="s">
        <v>1318</v>
      </c>
      <c r="D595" t="s">
        <v>2137</v>
      </c>
      <c r="E595" t="s">
        <v>2124</v>
      </c>
      <c r="F595">
        <v>5500000</v>
      </c>
      <c r="G595" t="s">
        <v>2204</v>
      </c>
      <c r="H595" s="1">
        <v>45407</v>
      </c>
    </row>
    <row r="596" spans="1:8" x14ac:dyDescent="0.25">
      <c r="A596" t="s">
        <v>1319</v>
      </c>
      <c r="B596" t="s">
        <v>2158</v>
      </c>
      <c r="C596" t="s">
        <v>1320</v>
      </c>
      <c r="D596" t="s">
        <v>2133</v>
      </c>
      <c r="E596" t="s">
        <v>2120</v>
      </c>
      <c r="F596">
        <v>5500000</v>
      </c>
      <c r="G596" t="s">
        <v>2219</v>
      </c>
      <c r="H596" s="1">
        <v>44443</v>
      </c>
    </row>
    <row r="597" spans="1:8" x14ac:dyDescent="0.25">
      <c r="A597" t="s">
        <v>1321</v>
      </c>
      <c r="B597" t="s">
        <v>2218</v>
      </c>
      <c r="C597" t="s">
        <v>1322</v>
      </c>
      <c r="D597" t="s">
        <v>2129</v>
      </c>
      <c r="E597" t="s">
        <v>2149</v>
      </c>
      <c r="F597">
        <v>10500000</v>
      </c>
      <c r="G597" t="s">
        <v>2357</v>
      </c>
      <c r="H597" s="1">
        <v>45970</v>
      </c>
    </row>
    <row r="598" spans="1:8" x14ac:dyDescent="0.25">
      <c r="A598" t="s">
        <v>1323</v>
      </c>
      <c r="B598" t="s">
        <v>2285</v>
      </c>
      <c r="C598" t="s">
        <v>1324</v>
      </c>
      <c r="D598" t="s">
        <v>2119</v>
      </c>
      <c r="E598" t="s">
        <v>2134</v>
      </c>
      <c r="F598">
        <v>5500000</v>
      </c>
      <c r="G598" t="s">
        <v>2177</v>
      </c>
      <c r="H598" s="1">
        <v>45879</v>
      </c>
    </row>
    <row r="599" spans="1:8" x14ac:dyDescent="0.25">
      <c r="A599" t="s">
        <v>1325</v>
      </c>
      <c r="B599" t="s">
        <v>2258</v>
      </c>
      <c r="C599" t="s">
        <v>1326</v>
      </c>
      <c r="D599" t="s">
        <v>2137</v>
      </c>
      <c r="E599" t="s">
        <v>2149</v>
      </c>
      <c r="F599">
        <v>8000000</v>
      </c>
      <c r="G599" t="s">
        <v>2135</v>
      </c>
      <c r="H599" s="1">
        <v>44251</v>
      </c>
    </row>
    <row r="600" spans="1:8" x14ac:dyDescent="0.25">
      <c r="A600" t="s">
        <v>1327</v>
      </c>
      <c r="B600" t="s">
        <v>2310</v>
      </c>
      <c r="C600" t="s">
        <v>1328</v>
      </c>
      <c r="D600" t="s">
        <v>2123</v>
      </c>
      <c r="E600" t="s">
        <v>2124</v>
      </c>
      <c r="F600">
        <v>6500000</v>
      </c>
      <c r="G600" t="s">
        <v>2184</v>
      </c>
      <c r="H600" s="1">
        <v>45949</v>
      </c>
    </row>
    <row r="601" spans="1:8" x14ac:dyDescent="0.25">
      <c r="A601" t="s">
        <v>1329</v>
      </c>
      <c r="B601" t="s">
        <v>2358</v>
      </c>
      <c r="C601" t="s">
        <v>1330</v>
      </c>
      <c r="D601" t="s">
        <v>2133</v>
      </c>
      <c r="E601" t="s">
        <v>2149</v>
      </c>
      <c r="F601">
        <v>10500000</v>
      </c>
      <c r="G601" t="s">
        <v>2213</v>
      </c>
      <c r="H601" s="1">
        <v>44869</v>
      </c>
    </row>
    <row r="602" spans="1:8" x14ac:dyDescent="0.25">
      <c r="A602" t="s">
        <v>1331</v>
      </c>
      <c r="B602" t="s">
        <v>2275</v>
      </c>
      <c r="C602" t="s">
        <v>1332</v>
      </c>
      <c r="D602" t="s">
        <v>2123</v>
      </c>
      <c r="E602" t="s">
        <v>2120</v>
      </c>
      <c r="F602">
        <v>10500000</v>
      </c>
      <c r="G602" t="s">
        <v>2168</v>
      </c>
      <c r="H602" s="1">
        <v>45190</v>
      </c>
    </row>
    <row r="603" spans="1:8" x14ac:dyDescent="0.25">
      <c r="A603" t="s">
        <v>1333</v>
      </c>
      <c r="B603" t="s">
        <v>2359</v>
      </c>
      <c r="C603" t="s">
        <v>1334</v>
      </c>
      <c r="D603" t="s">
        <v>23</v>
      </c>
      <c r="E603" t="s">
        <v>2124</v>
      </c>
      <c r="F603">
        <v>10500000</v>
      </c>
      <c r="G603" t="s">
        <v>2145</v>
      </c>
      <c r="H603" s="1">
        <v>45785</v>
      </c>
    </row>
    <row r="604" spans="1:8" x14ac:dyDescent="0.25">
      <c r="A604" t="s">
        <v>1335</v>
      </c>
      <c r="B604" t="s">
        <v>2190</v>
      </c>
      <c r="C604" t="s">
        <v>1336</v>
      </c>
      <c r="D604" t="s">
        <v>2144</v>
      </c>
      <c r="E604" t="s">
        <v>2149</v>
      </c>
      <c r="F604">
        <v>10500000</v>
      </c>
      <c r="G604" t="s">
        <v>2246</v>
      </c>
      <c r="H604" s="1">
        <v>45157</v>
      </c>
    </row>
    <row r="605" spans="1:8" x14ac:dyDescent="0.25">
      <c r="A605" t="s">
        <v>1337</v>
      </c>
      <c r="B605" t="s">
        <v>2257</v>
      </c>
      <c r="C605" t="s">
        <v>1338</v>
      </c>
      <c r="D605" t="s">
        <v>2137</v>
      </c>
      <c r="E605" t="s">
        <v>2134</v>
      </c>
      <c r="F605">
        <v>6500000</v>
      </c>
      <c r="G605" t="s">
        <v>2153</v>
      </c>
      <c r="H605" s="1">
        <v>44277</v>
      </c>
    </row>
    <row r="606" spans="1:8" x14ac:dyDescent="0.25">
      <c r="A606" t="s">
        <v>1339</v>
      </c>
      <c r="B606" t="s">
        <v>2360</v>
      </c>
      <c r="C606" t="s">
        <v>1340</v>
      </c>
      <c r="D606" t="s">
        <v>2133</v>
      </c>
      <c r="E606" t="s">
        <v>2134</v>
      </c>
      <c r="F606">
        <v>5500000</v>
      </c>
      <c r="G606" t="s">
        <v>2207</v>
      </c>
      <c r="H606" s="1">
        <v>44147</v>
      </c>
    </row>
    <row r="607" spans="1:8" x14ac:dyDescent="0.25">
      <c r="A607" t="s">
        <v>1341</v>
      </c>
      <c r="B607" t="s">
        <v>2279</v>
      </c>
      <c r="C607" t="s">
        <v>1342</v>
      </c>
      <c r="D607" t="s">
        <v>2129</v>
      </c>
      <c r="E607" t="s">
        <v>2149</v>
      </c>
      <c r="F607">
        <v>13000000</v>
      </c>
      <c r="G607" t="s">
        <v>2196</v>
      </c>
      <c r="H607" s="1">
        <v>45821</v>
      </c>
    </row>
    <row r="608" spans="1:8" x14ac:dyDescent="0.25">
      <c r="A608" t="s">
        <v>1343</v>
      </c>
      <c r="B608" t="s">
        <v>2344</v>
      </c>
      <c r="C608" t="s">
        <v>1344</v>
      </c>
      <c r="D608" t="s">
        <v>2129</v>
      </c>
      <c r="E608" t="s">
        <v>2134</v>
      </c>
      <c r="F608">
        <v>13000000</v>
      </c>
      <c r="G608" t="s">
        <v>2210</v>
      </c>
      <c r="H608" s="1">
        <v>44387</v>
      </c>
    </row>
    <row r="609" spans="1:8" x14ac:dyDescent="0.25">
      <c r="A609" t="s">
        <v>1345</v>
      </c>
      <c r="B609" t="s">
        <v>2181</v>
      </c>
      <c r="C609" t="s">
        <v>1346</v>
      </c>
      <c r="D609" t="s">
        <v>2133</v>
      </c>
      <c r="E609" t="s">
        <v>2134</v>
      </c>
      <c r="F609">
        <v>6500000</v>
      </c>
      <c r="G609" t="s">
        <v>2140</v>
      </c>
      <c r="H609" s="1">
        <v>45949</v>
      </c>
    </row>
    <row r="610" spans="1:8" x14ac:dyDescent="0.25">
      <c r="A610" t="s">
        <v>1347</v>
      </c>
      <c r="B610" t="s">
        <v>2195</v>
      </c>
      <c r="C610" t="s">
        <v>1348</v>
      </c>
      <c r="D610" t="s">
        <v>2137</v>
      </c>
      <c r="E610" t="s">
        <v>2130</v>
      </c>
      <c r="F610">
        <v>10500000</v>
      </c>
      <c r="G610" t="s">
        <v>2265</v>
      </c>
      <c r="H610" s="1">
        <v>45279</v>
      </c>
    </row>
    <row r="611" spans="1:8" x14ac:dyDescent="0.25">
      <c r="A611" t="s">
        <v>1349</v>
      </c>
      <c r="B611" t="s">
        <v>2181</v>
      </c>
      <c r="C611" t="s">
        <v>1350</v>
      </c>
      <c r="D611" t="s">
        <v>2119</v>
      </c>
      <c r="E611" t="s">
        <v>2134</v>
      </c>
      <c r="F611">
        <v>10500000</v>
      </c>
      <c r="G611" t="s">
        <v>2153</v>
      </c>
      <c r="H611" s="1">
        <v>44266</v>
      </c>
    </row>
    <row r="612" spans="1:8" x14ac:dyDescent="0.25">
      <c r="A612" t="s">
        <v>1351</v>
      </c>
      <c r="B612" t="s">
        <v>2233</v>
      </c>
      <c r="C612" t="s">
        <v>1352</v>
      </c>
      <c r="D612" t="s">
        <v>2137</v>
      </c>
      <c r="E612" t="s">
        <v>2130</v>
      </c>
      <c r="F612">
        <v>8000000</v>
      </c>
      <c r="G612" t="s">
        <v>2159</v>
      </c>
      <c r="H612" s="1">
        <v>45391</v>
      </c>
    </row>
    <row r="613" spans="1:8" x14ac:dyDescent="0.25">
      <c r="A613" t="s">
        <v>1353</v>
      </c>
      <c r="B613" t="s">
        <v>2195</v>
      </c>
      <c r="C613" t="s">
        <v>1354</v>
      </c>
      <c r="D613" t="s">
        <v>2144</v>
      </c>
      <c r="E613" t="s">
        <v>2149</v>
      </c>
      <c r="F613">
        <v>8000000</v>
      </c>
      <c r="G613" t="s">
        <v>2227</v>
      </c>
      <c r="H613" s="1">
        <v>44972</v>
      </c>
    </row>
    <row r="614" spans="1:8" x14ac:dyDescent="0.25">
      <c r="A614" t="s">
        <v>289</v>
      </c>
      <c r="B614" t="s">
        <v>2274</v>
      </c>
      <c r="C614" t="s">
        <v>288</v>
      </c>
      <c r="D614" t="s">
        <v>2137</v>
      </c>
      <c r="E614" t="s">
        <v>2120</v>
      </c>
      <c r="F614">
        <v>6500000</v>
      </c>
      <c r="G614" t="s">
        <v>2159</v>
      </c>
      <c r="H614" s="1">
        <v>44896</v>
      </c>
    </row>
    <row r="615" spans="1:8" x14ac:dyDescent="0.25">
      <c r="A615" t="s">
        <v>1355</v>
      </c>
      <c r="B615" t="s">
        <v>2272</v>
      </c>
      <c r="C615" t="s">
        <v>1356</v>
      </c>
      <c r="D615" t="s">
        <v>2119</v>
      </c>
      <c r="E615" t="s">
        <v>2149</v>
      </c>
      <c r="F615">
        <v>6500000</v>
      </c>
      <c r="G615" t="s">
        <v>2361</v>
      </c>
      <c r="H615" s="1">
        <v>44233</v>
      </c>
    </row>
    <row r="616" spans="1:8" x14ac:dyDescent="0.25">
      <c r="A616" t="s">
        <v>1357</v>
      </c>
      <c r="B616" t="s">
        <v>2248</v>
      </c>
      <c r="C616" t="s">
        <v>1358</v>
      </c>
      <c r="D616" t="s">
        <v>2133</v>
      </c>
      <c r="E616" t="s">
        <v>2149</v>
      </c>
      <c r="F616">
        <v>10500000</v>
      </c>
      <c r="G616" t="s">
        <v>2163</v>
      </c>
      <c r="H616" s="1">
        <v>45088</v>
      </c>
    </row>
    <row r="617" spans="1:8" x14ac:dyDescent="0.25">
      <c r="A617" t="s">
        <v>1359</v>
      </c>
      <c r="B617" t="s">
        <v>2264</v>
      </c>
      <c r="C617" t="s">
        <v>1360</v>
      </c>
      <c r="D617" t="s">
        <v>2137</v>
      </c>
      <c r="E617" t="s">
        <v>2120</v>
      </c>
      <c r="F617">
        <v>8000000</v>
      </c>
      <c r="G617" t="s">
        <v>2157</v>
      </c>
      <c r="H617" s="1">
        <v>45628</v>
      </c>
    </row>
    <row r="618" spans="1:8" x14ac:dyDescent="0.25">
      <c r="A618" t="s">
        <v>231</v>
      </c>
      <c r="B618" t="s">
        <v>2166</v>
      </c>
      <c r="C618" t="s">
        <v>201</v>
      </c>
      <c r="D618" t="s">
        <v>2144</v>
      </c>
      <c r="E618" t="s">
        <v>2120</v>
      </c>
      <c r="F618">
        <v>8000000</v>
      </c>
      <c r="G618" t="s">
        <v>2227</v>
      </c>
      <c r="H618" s="1">
        <v>45916</v>
      </c>
    </row>
    <row r="619" spans="1:8" x14ac:dyDescent="0.25">
      <c r="A619" t="s">
        <v>1361</v>
      </c>
      <c r="B619" t="s">
        <v>2282</v>
      </c>
      <c r="C619" t="s">
        <v>1362</v>
      </c>
      <c r="D619" t="s">
        <v>2144</v>
      </c>
      <c r="E619" t="s">
        <v>2149</v>
      </c>
      <c r="F619">
        <v>6500000</v>
      </c>
      <c r="G619" t="s">
        <v>2184</v>
      </c>
      <c r="H619" s="1">
        <v>44191</v>
      </c>
    </row>
    <row r="620" spans="1:8" x14ac:dyDescent="0.25">
      <c r="A620" t="s">
        <v>1363</v>
      </c>
      <c r="B620" t="s">
        <v>2193</v>
      </c>
      <c r="C620" t="s">
        <v>1364</v>
      </c>
      <c r="D620" t="s">
        <v>37</v>
      </c>
      <c r="E620" t="s">
        <v>2149</v>
      </c>
      <c r="F620">
        <v>5500000</v>
      </c>
      <c r="G620" t="s">
        <v>2239</v>
      </c>
      <c r="H620" s="1">
        <v>44653</v>
      </c>
    </row>
    <row r="621" spans="1:8" x14ac:dyDescent="0.25">
      <c r="A621" t="s">
        <v>1365</v>
      </c>
      <c r="B621" t="s">
        <v>2150</v>
      </c>
      <c r="C621" t="s">
        <v>1366</v>
      </c>
      <c r="D621" t="s">
        <v>2119</v>
      </c>
      <c r="E621" t="s">
        <v>2149</v>
      </c>
      <c r="F621">
        <v>13000000</v>
      </c>
      <c r="G621" t="s">
        <v>2277</v>
      </c>
      <c r="H621" s="1">
        <v>43845</v>
      </c>
    </row>
    <row r="622" spans="1:8" x14ac:dyDescent="0.25">
      <c r="A622" t="s">
        <v>1367</v>
      </c>
      <c r="B622" t="s">
        <v>2243</v>
      </c>
      <c r="C622" t="s">
        <v>1368</v>
      </c>
      <c r="D622" t="s">
        <v>2137</v>
      </c>
      <c r="E622" t="s">
        <v>2120</v>
      </c>
      <c r="F622">
        <v>10500000</v>
      </c>
      <c r="G622" t="s">
        <v>2188</v>
      </c>
      <c r="H622" s="1">
        <v>44324</v>
      </c>
    </row>
    <row r="623" spans="1:8" x14ac:dyDescent="0.25">
      <c r="A623" t="s">
        <v>1369</v>
      </c>
      <c r="B623" t="s">
        <v>2136</v>
      </c>
      <c r="C623" t="s">
        <v>1370</v>
      </c>
      <c r="D623" t="s">
        <v>2144</v>
      </c>
      <c r="E623" t="s">
        <v>2120</v>
      </c>
      <c r="F623">
        <v>13000000</v>
      </c>
      <c r="G623" t="s">
        <v>2147</v>
      </c>
      <c r="H623" s="1">
        <v>44191</v>
      </c>
    </row>
    <row r="624" spans="1:8" x14ac:dyDescent="0.25">
      <c r="A624" t="s">
        <v>1371</v>
      </c>
      <c r="B624" t="s">
        <v>2254</v>
      </c>
      <c r="C624" t="s">
        <v>1372</v>
      </c>
      <c r="D624" t="s">
        <v>23</v>
      </c>
      <c r="E624" t="s">
        <v>2149</v>
      </c>
      <c r="F624">
        <v>5500000</v>
      </c>
      <c r="G624" t="s">
        <v>2140</v>
      </c>
      <c r="H624" s="1">
        <v>45881</v>
      </c>
    </row>
    <row r="625" spans="1:8" x14ac:dyDescent="0.25">
      <c r="A625" t="s">
        <v>1373</v>
      </c>
      <c r="B625" t="s">
        <v>2350</v>
      </c>
      <c r="C625" t="s">
        <v>1374</v>
      </c>
      <c r="D625" t="s">
        <v>2119</v>
      </c>
      <c r="E625" t="s">
        <v>2134</v>
      </c>
      <c r="F625">
        <v>6500000</v>
      </c>
      <c r="G625" t="s">
        <v>2127</v>
      </c>
      <c r="H625" s="1">
        <v>45697</v>
      </c>
    </row>
    <row r="626" spans="1:8" x14ac:dyDescent="0.25">
      <c r="A626" t="s">
        <v>1375</v>
      </c>
      <c r="B626" t="s">
        <v>2226</v>
      </c>
      <c r="C626" t="s">
        <v>1376</v>
      </c>
      <c r="D626" t="s">
        <v>2144</v>
      </c>
      <c r="E626" t="s">
        <v>2120</v>
      </c>
      <c r="F626">
        <v>10500000</v>
      </c>
      <c r="G626" t="s">
        <v>2246</v>
      </c>
      <c r="H626" s="1">
        <v>46003</v>
      </c>
    </row>
    <row r="627" spans="1:8" x14ac:dyDescent="0.25">
      <c r="A627" t="s">
        <v>1377</v>
      </c>
      <c r="B627" t="s">
        <v>2193</v>
      </c>
      <c r="C627" t="s">
        <v>1378</v>
      </c>
      <c r="D627" t="s">
        <v>42</v>
      </c>
      <c r="E627" t="s">
        <v>2120</v>
      </c>
      <c r="F627">
        <v>10500000</v>
      </c>
      <c r="G627" t="s">
        <v>2196</v>
      </c>
      <c r="H627" s="1">
        <v>44828</v>
      </c>
    </row>
    <row r="628" spans="1:8" x14ac:dyDescent="0.25">
      <c r="A628" t="s">
        <v>1379</v>
      </c>
      <c r="B628" t="s">
        <v>2248</v>
      </c>
      <c r="C628" t="s">
        <v>1380</v>
      </c>
      <c r="D628" t="s">
        <v>2144</v>
      </c>
      <c r="E628" t="s">
        <v>2130</v>
      </c>
      <c r="F628">
        <v>13000000</v>
      </c>
      <c r="G628" t="s">
        <v>2121</v>
      </c>
      <c r="H628" s="1">
        <v>44419</v>
      </c>
    </row>
    <row r="629" spans="1:8" x14ac:dyDescent="0.25">
      <c r="A629" t="s">
        <v>1381</v>
      </c>
      <c r="B629" t="s">
        <v>2161</v>
      </c>
      <c r="C629" t="s">
        <v>1382</v>
      </c>
      <c r="D629" t="s">
        <v>2123</v>
      </c>
      <c r="E629" t="s">
        <v>2124</v>
      </c>
      <c r="F629">
        <v>8000000</v>
      </c>
      <c r="G629" t="s">
        <v>2362</v>
      </c>
      <c r="H629" s="1">
        <v>45372</v>
      </c>
    </row>
    <row r="630" spans="1:8" x14ac:dyDescent="0.25">
      <c r="A630" t="s">
        <v>1383</v>
      </c>
      <c r="B630" t="s">
        <v>2228</v>
      </c>
      <c r="C630" t="s">
        <v>1384</v>
      </c>
      <c r="D630" t="s">
        <v>2119</v>
      </c>
      <c r="E630" t="s">
        <v>2149</v>
      </c>
      <c r="F630">
        <v>8000000</v>
      </c>
      <c r="G630" t="s">
        <v>2175</v>
      </c>
      <c r="H630" s="1">
        <v>46013</v>
      </c>
    </row>
    <row r="631" spans="1:8" x14ac:dyDescent="0.25">
      <c r="A631" t="s">
        <v>1385</v>
      </c>
      <c r="B631" t="s">
        <v>2183</v>
      </c>
      <c r="C631" t="s">
        <v>1386</v>
      </c>
      <c r="D631" t="s">
        <v>2119</v>
      </c>
      <c r="E631" t="s">
        <v>2124</v>
      </c>
      <c r="F631">
        <v>13000000</v>
      </c>
      <c r="G631" t="s">
        <v>2346</v>
      </c>
      <c r="H631" s="1">
        <v>44014</v>
      </c>
    </row>
    <row r="632" spans="1:8" x14ac:dyDescent="0.25">
      <c r="A632" t="s">
        <v>1387</v>
      </c>
      <c r="B632" t="s">
        <v>2187</v>
      </c>
      <c r="C632" t="s">
        <v>1388</v>
      </c>
      <c r="D632" t="s">
        <v>2133</v>
      </c>
      <c r="E632" t="s">
        <v>2134</v>
      </c>
      <c r="F632">
        <v>10500000</v>
      </c>
      <c r="G632" t="s">
        <v>2170</v>
      </c>
      <c r="H632" s="1">
        <v>45676</v>
      </c>
    </row>
    <row r="633" spans="1:8" x14ac:dyDescent="0.25">
      <c r="A633" t="s">
        <v>1389</v>
      </c>
      <c r="B633" t="s">
        <v>2274</v>
      </c>
      <c r="C633" t="s">
        <v>1390</v>
      </c>
      <c r="D633" t="s">
        <v>2119</v>
      </c>
      <c r="E633" t="s">
        <v>2124</v>
      </c>
      <c r="F633">
        <v>13000000</v>
      </c>
      <c r="G633" t="s">
        <v>2213</v>
      </c>
      <c r="H633" s="1">
        <v>45133</v>
      </c>
    </row>
    <row r="634" spans="1:8" x14ac:dyDescent="0.25">
      <c r="A634" t="s">
        <v>1391</v>
      </c>
      <c r="B634" t="s">
        <v>2350</v>
      </c>
      <c r="C634" t="s">
        <v>1392</v>
      </c>
      <c r="D634" t="s">
        <v>14</v>
      </c>
      <c r="E634" t="s">
        <v>2120</v>
      </c>
      <c r="F634">
        <v>6500000</v>
      </c>
      <c r="G634" t="s">
        <v>2127</v>
      </c>
      <c r="H634" s="1">
        <v>44918</v>
      </c>
    </row>
    <row r="635" spans="1:8" x14ac:dyDescent="0.25">
      <c r="A635" t="s">
        <v>1393</v>
      </c>
      <c r="B635" t="s">
        <v>2223</v>
      </c>
      <c r="C635" t="s">
        <v>1394</v>
      </c>
      <c r="D635" t="s">
        <v>2119</v>
      </c>
      <c r="E635" t="s">
        <v>2134</v>
      </c>
      <c r="F635">
        <v>8000000</v>
      </c>
      <c r="G635" t="s">
        <v>2165</v>
      </c>
      <c r="H635" s="1">
        <v>45193</v>
      </c>
    </row>
    <row r="636" spans="1:8" x14ac:dyDescent="0.25">
      <c r="A636" t="s">
        <v>1395</v>
      </c>
      <c r="B636" t="s">
        <v>2299</v>
      </c>
      <c r="C636" t="s">
        <v>1396</v>
      </c>
      <c r="D636" t="s">
        <v>2133</v>
      </c>
      <c r="E636" t="s">
        <v>2124</v>
      </c>
      <c r="F636">
        <v>5500000</v>
      </c>
      <c r="G636" t="s">
        <v>2198</v>
      </c>
      <c r="H636" s="1">
        <v>45398</v>
      </c>
    </row>
    <row r="637" spans="1:8" x14ac:dyDescent="0.25">
      <c r="A637" t="s">
        <v>83</v>
      </c>
      <c r="B637" t="s">
        <v>2226</v>
      </c>
      <c r="C637" t="s">
        <v>87</v>
      </c>
      <c r="D637" t="s">
        <v>2137</v>
      </c>
      <c r="E637" t="s">
        <v>2149</v>
      </c>
      <c r="F637">
        <v>6500000</v>
      </c>
      <c r="G637" t="s">
        <v>2213</v>
      </c>
      <c r="H637" s="1">
        <v>45284</v>
      </c>
    </row>
    <row r="638" spans="1:8" x14ac:dyDescent="0.25">
      <c r="A638" t="s">
        <v>1397</v>
      </c>
      <c r="B638" t="s">
        <v>2237</v>
      </c>
      <c r="C638" t="s">
        <v>1398</v>
      </c>
      <c r="D638" t="s">
        <v>2137</v>
      </c>
      <c r="E638" t="s">
        <v>2120</v>
      </c>
      <c r="F638">
        <v>6500000</v>
      </c>
      <c r="G638" t="s">
        <v>2140</v>
      </c>
      <c r="H638" s="1">
        <v>45089</v>
      </c>
    </row>
    <row r="639" spans="1:8" x14ac:dyDescent="0.25">
      <c r="A639" t="s">
        <v>131</v>
      </c>
      <c r="B639" t="s">
        <v>2187</v>
      </c>
      <c r="C639" t="s">
        <v>135</v>
      </c>
      <c r="D639" t="s">
        <v>2133</v>
      </c>
      <c r="E639" t="s">
        <v>2149</v>
      </c>
      <c r="F639">
        <v>10500000</v>
      </c>
      <c r="G639" t="s">
        <v>2280</v>
      </c>
      <c r="H639" s="1">
        <v>44126</v>
      </c>
    </row>
    <row r="640" spans="1:8" x14ac:dyDescent="0.25">
      <c r="A640" t="s">
        <v>1399</v>
      </c>
      <c r="B640" t="s">
        <v>2296</v>
      </c>
      <c r="C640" t="s">
        <v>1400</v>
      </c>
      <c r="D640" t="s">
        <v>18</v>
      </c>
      <c r="E640" t="s">
        <v>2120</v>
      </c>
      <c r="F640">
        <v>13000000</v>
      </c>
      <c r="G640" t="s">
        <v>2170</v>
      </c>
      <c r="H640" s="1">
        <v>45123</v>
      </c>
    </row>
    <row r="641" spans="1:8" x14ac:dyDescent="0.25">
      <c r="A641" t="s">
        <v>1401</v>
      </c>
      <c r="B641" t="s">
        <v>2214</v>
      </c>
      <c r="C641" t="s">
        <v>1402</v>
      </c>
      <c r="D641" t="s">
        <v>2119</v>
      </c>
      <c r="E641" t="s">
        <v>2149</v>
      </c>
      <c r="F641">
        <v>10500000</v>
      </c>
      <c r="G641" t="s">
        <v>2201</v>
      </c>
      <c r="H641" s="1">
        <v>44603</v>
      </c>
    </row>
    <row r="642" spans="1:8" x14ac:dyDescent="0.25">
      <c r="A642" t="s">
        <v>1403</v>
      </c>
      <c r="B642" t="s">
        <v>2176</v>
      </c>
      <c r="C642" t="s">
        <v>1404</v>
      </c>
      <c r="D642" t="s">
        <v>2133</v>
      </c>
      <c r="E642" t="s">
        <v>2134</v>
      </c>
      <c r="F642">
        <v>10500000</v>
      </c>
      <c r="G642" t="s">
        <v>2240</v>
      </c>
      <c r="H642" s="1">
        <v>45701</v>
      </c>
    </row>
    <row r="643" spans="1:8" x14ac:dyDescent="0.25">
      <c r="A643" t="s">
        <v>1405</v>
      </c>
      <c r="B643" t="s">
        <v>2197</v>
      </c>
      <c r="C643" t="s">
        <v>1406</v>
      </c>
      <c r="D643" t="s">
        <v>42</v>
      </c>
      <c r="E643" t="s">
        <v>2130</v>
      </c>
      <c r="F643">
        <v>13000000</v>
      </c>
      <c r="G643" t="s">
        <v>2207</v>
      </c>
      <c r="H643" s="1">
        <v>44060</v>
      </c>
    </row>
    <row r="644" spans="1:8" x14ac:dyDescent="0.25">
      <c r="A644" t="s">
        <v>1407</v>
      </c>
      <c r="B644" t="s">
        <v>2274</v>
      </c>
      <c r="C644" t="s">
        <v>1408</v>
      </c>
      <c r="D644" t="s">
        <v>2133</v>
      </c>
      <c r="E644" t="s">
        <v>2130</v>
      </c>
      <c r="F644">
        <v>6500000</v>
      </c>
      <c r="G644" t="s">
        <v>2127</v>
      </c>
      <c r="H644" s="1">
        <v>43844</v>
      </c>
    </row>
    <row r="645" spans="1:8" x14ac:dyDescent="0.25">
      <c r="A645" t="s">
        <v>1409</v>
      </c>
      <c r="B645" t="s">
        <v>2363</v>
      </c>
      <c r="C645" t="s">
        <v>1410</v>
      </c>
      <c r="D645" t="s">
        <v>2137</v>
      </c>
      <c r="E645" t="s">
        <v>2149</v>
      </c>
      <c r="F645">
        <v>13000000</v>
      </c>
      <c r="G645" t="s">
        <v>2138</v>
      </c>
      <c r="H645" s="1">
        <v>44934</v>
      </c>
    </row>
    <row r="646" spans="1:8" x14ac:dyDescent="0.25">
      <c r="A646" t="s">
        <v>1411</v>
      </c>
      <c r="B646" t="s">
        <v>2216</v>
      </c>
      <c r="C646" t="s">
        <v>1412</v>
      </c>
      <c r="D646" t="s">
        <v>2144</v>
      </c>
      <c r="E646" t="s">
        <v>2134</v>
      </c>
      <c r="F646">
        <v>8000000</v>
      </c>
      <c r="G646" t="s">
        <v>2191</v>
      </c>
      <c r="H646" s="1">
        <v>45114</v>
      </c>
    </row>
    <row r="647" spans="1:8" x14ac:dyDescent="0.25">
      <c r="A647" t="s">
        <v>1413</v>
      </c>
      <c r="B647" t="s">
        <v>2220</v>
      </c>
      <c r="C647" t="s">
        <v>1414</v>
      </c>
      <c r="D647" t="s">
        <v>2129</v>
      </c>
      <c r="E647" t="s">
        <v>2134</v>
      </c>
      <c r="F647">
        <v>10500000</v>
      </c>
      <c r="G647" t="s">
        <v>2157</v>
      </c>
      <c r="H647" s="1">
        <v>45464</v>
      </c>
    </row>
    <row r="648" spans="1:8" x14ac:dyDescent="0.25">
      <c r="A648" t="s">
        <v>1415</v>
      </c>
      <c r="B648" t="s">
        <v>2262</v>
      </c>
      <c r="C648" t="s">
        <v>1416</v>
      </c>
      <c r="D648" t="s">
        <v>2133</v>
      </c>
      <c r="E648" t="s">
        <v>2120</v>
      </c>
      <c r="F648">
        <v>10500000</v>
      </c>
      <c r="G648" t="s">
        <v>2168</v>
      </c>
      <c r="H648" s="1">
        <v>45375</v>
      </c>
    </row>
    <row r="649" spans="1:8" x14ac:dyDescent="0.25">
      <c r="A649" t="s">
        <v>1417</v>
      </c>
      <c r="B649" t="s">
        <v>2173</v>
      </c>
      <c r="C649" t="s">
        <v>1418</v>
      </c>
      <c r="D649" t="s">
        <v>2129</v>
      </c>
      <c r="E649" t="s">
        <v>2149</v>
      </c>
      <c r="F649">
        <v>8000000</v>
      </c>
      <c r="G649" t="s">
        <v>2240</v>
      </c>
      <c r="H649" s="1">
        <v>44646</v>
      </c>
    </row>
    <row r="650" spans="1:8" x14ac:dyDescent="0.25">
      <c r="A650" t="s">
        <v>1419</v>
      </c>
      <c r="B650" t="s">
        <v>2299</v>
      </c>
      <c r="C650" t="s">
        <v>1420</v>
      </c>
      <c r="D650" t="s">
        <v>2119</v>
      </c>
      <c r="E650" t="s">
        <v>2120</v>
      </c>
      <c r="F650">
        <v>10500000</v>
      </c>
      <c r="G650" t="s">
        <v>2356</v>
      </c>
      <c r="H650" s="1">
        <v>44161</v>
      </c>
    </row>
    <row r="651" spans="1:8" x14ac:dyDescent="0.25">
      <c r="A651" t="s">
        <v>1421</v>
      </c>
      <c r="B651" t="s">
        <v>2364</v>
      </c>
      <c r="C651" t="s">
        <v>1422</v>
      </c>
      <c r="D651" t="s">
        <v>2144</v>
      </c>
      <c r="E651" t="s">
        <v>2124</v>
      </c>
      <c r="F651">
        <v>13000000</v>
      </c>
      <c r="G651" t="s">
        <v>2168</v>
      </c>
      <c r="H651" s="1">
        <v>45506</v>
      </c>
    </row>
    <row r="652" spans="1:8" x14ac:dyDescent="0.25">
      <c r="A652" t="s">
        <v>1423</v>
      </c>
      <c r="B652" t="s">
        <v>2343</v>
      </c>
      <c r="C652" t="s">
        <v>1424</v>
      </c>
      <c r="D652" t="s">
        <v>2123</v>
      </c>
      <c r="E652" t="s">
        <v>2120</v>
      </c>
      <c r="F652">
        <v>6500000</v>
      </c>
      <c r="G652" t="s">
        <v>2252</v>
      </c>
      <c r="H652" s="1">
        <v>45203</v>
      </c>
    </row>
    <row r="653" spans="1:8" x14ac:dyDescent="0.25">
      <c r="A653" t="s">
        <v>1425</v>
      </c>
      <c r="B653" t="s">
        <v>2348</v>
      </c>
      <c r="C653" t="s">
        <v>1426</v>
      </c>
      <c r="D653" t="s">
        <v>2129</v>
      </c>
      <c r="E653" t="s">
        <v>2120</v>
      </c>
      <c r="F653">
        <v>8000000</v>
      </c>
      <c r="G653" t="s">
        <v>2163</v>
      </c>
      <c r="H653" s="1">
        <v>44567</v>
      </c>
    </row>
    <row r="654" spans="1:8" x14ac:dyDescent="0.25">
      <c r="A654" t="s">
        <v>1427</v>
      </c>
      <c r="B654" t="s">
        <v>2146</v>
      </c>
      <c r="C654" t="s">
        <v>1428</v>
      </c>
      <c r="D654" t="s">
        <v>2129</v>
      </c>
      <c r="E654" t="s">
        <v>2130</v>
      </c>
      <c r="F654">
        <v>8000000</v>
      </c>
      <c r="G654" t="s">
        <v>2168</v>
      </c>
      <c r="H654" s="1">
        <v>43908</v>
      </c>
    </row>
    <row r="655" spans="1:8" x14ac:dyDescent="0.25">
      <c r="A655" t="s">
        <v>1429</v>
      </c>
      <c r="B655" t="s">
        <v>2281</v>
      </c>
      <c r="C655" t="s">
        <v>1430</v>
      </c>
      <c r="D655" t="s">
        <v>14</v>
      </c>
      <c r="E655" t="s">
        <v>2124</v>
      </c>
      <c r="F655">
        <v>5500000</v>
      </c>
      <c r="G655" t="s">
        <v>2135</v>
      </c>
      <c r="H655" s="1">
        <v>44270</v>
      </c>
    </row>
    <row r="656" spans="1:8" x14ac:dyDescent="0.25">
      <c r="A656" t="s">
        <v>1431</v>
      </c>
      <c r="B656" t="s">
        <v>2167</v>
      </c>
      <c r="C656" t="s">
        <v>1432</v>
      </c>
      <c r="D656" t="s">
        <v>2119</v>
      </c>
      <c r="E656" t="s">
        <v>2120</v>
      </c>
      <c r="F656">
        <v>10500000</v>
      </c>
      <c r="G656" t="s">
        <v>2177</v>
      </c>
      <c r="H656" s="1">
        <v>45764</v>
      </c>
    </row>
    <row r="657" spans="1:8" x14ac:dyDescent="0.25">
      <c r="A657" t="s">
        <v>1433</v>
      </c>
      <c r="B657" t="s">
        <v>2292</v>
      </c>
      <c r="C657" t="s">
        <v>1434</v>
      </c>
      <c r="D657" t="s">
        <v>2123</v>
      </c>
      <c r="E657" t="s">
        <v>2149</v>
      </c>
      <c r="F657">
        <v>6500000</v>
      </c>
      <c r="G657" t="s">
        <v>2213</v>
      </c>
      <c r="H657" s="1">
        <v>45461</v>
      </c>
    </row>
    <row r="658" spans="1:8" x14ac:dyDescent="0.25">
      <c r="A658" t="s">
        <v>1435</v>
      </c>
      <c r="B658" t="s">
        <v>2221</v>
      </c>
      <c r="C658" t="s">
        <v>1436</v>
      </c>
      <c r="D658" t="s">
        <v>2133</v>
      </c>
      <c r="E658" t="s">
        <v>2149</v>
      </c>
      <c r="F658">
        <v>8000000</v>
      </c>
      <c r="G658" t="s">
        <v>2207</v>
      </c>
      <c r="H658" s="1">
        <v>45982</v>
      </c>
    </row>
    <row r="659" spans="1:8" x14ac:dyDescent="0.25">
      <c r="A659" t="s">
        <v>1437</v>
      </c>
      <c r="B659" t="s">
        <v>2274</v>
      </c>
      <c r="C659" t="s">
        <v>1438</v>
      </c>
      <c r="D659" t="s">
        <v>2129</v>
      </c>
      <c r="E659" t="s">
        <v>2130</v>
      </c>
      <c r="F659">
        <v>6500000</v>
      </c>
      <c r="G659" t="s">
        <v>2135</v>
      </c>
      <c r="H659" s="1">
        <v>45769</v>
      </c>
    </row>
    <row r="660" spans="1:8" x14ac:dyDescent="0.25">
      <c r="A660" t="s">
        <v>1439</v>
      </c>
      <c r="B660" t="s">
        <v>2289</v>
      </c>
      <c r="C660" t="s">
        <v>1440</v>
      </c>
      <c r="D660" t="s">
        <v>2129</v>
      </c>
      <c r="E660" t="s">
        <v>2120</v>
      </c>
      <c r="F660">
        <v>8000000</v>
      </c>
      <c r="G660" t="s">
        <v>2246</v>
      </c>
      <c r="H660" s="1">
        <v>45695</v>
      </c>
    </row>
    <row r="661" spans="1:8" x14ac:dyDescent="0.25">
      <c r="A661" t="s">
        <v>1441</v>
      </c>
      <c r="B661" t="s">
        <v>2155</v>
      </c>
      <c r="C661" t="s">
        <v>1442</v>
      </c>
      <c r="D661" t="s">
        <v>14</v>
      </c>
      <c r="E661" t="s">
        <v>2130</v>
      </c>
      <c r="F661">
        <v>6500000</v>
      </c>
      <c r="G661" t="s">
        <v>2159</v>
      </c>
      <c r="H661" s="1">
        <v>44977</v>
      </c>
    </row>
    <row r="662" spans="1:8" x14ac:dyDescent="0.25">
      <c r="A662" t="s">
        <v>1443</v>
      </c>
      <c r="B662" t="s">
        <v>2249</v>
      </c>
      <c r="C662" t="s">
        <v>1444</v>
      </c>
      <c r="D662" t="s">
        <v>2144</v>
      </c>
      <c r="E662" t="s">
        <v>2134</v>
      </c>
      <c r="F662">
        <v>8000000</v>
      </c>
      <c r="G662" t="s">
        <v>2165</v>
      </c>
      <c r="H662" s="1">
        <v>44993</v>
      </c>
    </row>
    <row r="663" spans="1:8" x14ac:dyDescent="0.25">
      <c r="A663" t="s">
        <v>1445</v>
      </c>
      <c r="B663" t="s">
        <v>2155</v>
      </c>
      <c r="C663" t="s">
        <v>1446</v>
      </c>
      <c r="D663" t="s">
        <v>2133</v>
      </c>
      <c r="E663" t="s">
        <v>2134</v>
      </c>
      <c r="F663">
        <v>13000000</v>
      </c>
      <c r="G663" t="s">
        <v>2172</v>
      </c>
      <c r="H663" s="1">
        <v>45130</v>
      </c>
    </row>
    <row r="664" spans="1:8" x14ac:dyDescent="0.25">
      <c r="A664" t="s">
        <v>1447</v>
      </c>
      <c r="B664" t="s">
        <v>2141</v>
      </c>
      <c r="C664" t="s">
        <v>1448</v>
      </c>
      <c r="D664" t="s">
        <v>2144</v>
      </c>
      <c r="E664" t="s">
        <v>2134</v>
      </c>
      <c r="F664">
        <v>8000000</v>
      </c>
      <c r="G664" t="s">
        <v>2159</v>
      </c>
      <c r="H664" s="1">
        <v>44999</v>
      </c>
    </row>
    <row r="665" spans="1:8" x14ac:dyDescent="0.25">
      <c r="A665" t="s">
        <v>1449</v>
      </c>
      <c r="B665" t="s">
        <v>2232</v>
      </c>
      <c r="C665" t="s">
        <v>1450</v>
      </c>
      <c r="D665" t="s">
        <v>2129</v>
      </c>
      <c r="E665" t="s">
        <v>2124</v>
      </c>
      <c r="F665">
        <v>6500000</v>
      </c>
      <c r="G665" t="s">
        <v>2175</v>
      </c>
      <c r="H665" s="1">
        <v>45025</v>
      </c>
    </row>
    <row r="666" spans="1:8" x14ac:dyDescent="0.25">
      <c r="A666" t="s">
        <v>1451</v>
      </c>
      <c r="B666" t="s">
        <v>2260</v>
      </c>
      <c r="C666" t="s">
        <v>1452</v>
      </c>
      <c r="D666" t="s">
        <v>2137</v>
      </c>
      <c r="E666" t="s">
        <v>2130</v>
      </c>
      <c r="F666">
        <v>10500000</v>
      </c>
      <c r="G666" t="s">
        <v>2227</v>
      </c>
      <c r="H666" s="1">
        <v>44433</v>
      </c>
    </row>
    <row r="667" spans="1:8" x14ac:dyDescent="0.25">
      <c r="A667" t="s">
        <v>1453</v>
      </c>
      <c r="B667" t="s">
        <v>2215</v>
      </c>
      <c r="C667" t="s">
        <v>1454</v>
      </c>
      <c r="D667" t="s">
        <v>14</v>
      </c>
      <c r="E667" t="s">
        <v>2120</v>
      </c>
      <c r="F667">
        <v>6500000</v>
      </c>
      <c r="G667" t="s">
        <v>2177</v>
      </c>
      <c r="H667" s="1">
        <v>45463</v>
      </c>
    </row>
    <row r="668" spans="1:8" x14ac:dyDescent="0.25">
      <c r="A668" t="s">
        <v>1455</v>
      </c>
      <c r="B668" t="s">
        <v>2360</v>
      </c>
      <c r="C668" t="s">
        <v>1456</v>
      </c>
      <c r="D668" t="s">
        <v>2123</v>
      </c>
      <c r="E668" t="s">
        <v>2134</v>
      </c>
      <c r="F668">
        <v>8000000</v>
      </c>
      <c r="G668" t="s">
        <v>2201</v>
      </c>
      <c r="H668" s="1">
        <v>44824</v>
      </c>
    </row>
    <row r="669" spans="1:8" x14ac:dyDescent="0.25">
      <c r="A669" t="s">
        <v>1457</v>
      </c>
      <c r="B669" t="s">
        <v>2282</v>
      </c>
      <c r="C669" t="s">
        <v>1458</v>
      </c>
      <c r="D669" t="s">
        <v>2129</v>
      </c>
      <c r="E669" t="s">
        <v>2124</v>
      </c>
      <c r="F669">
        <v>10500000</v>
      </c>
      <c r="G669" t="s">
        <v>2277</v>
      </c>
      <c r="H669" s="1">
        <v>45702</v>
      </c>
    </row>
    <row r="670" spans="1:8" x14ac:dyDescent="0.25">
      <c r="A670" t="s">
        <v>1459</v>
      </c>
      <c r="B670" t="s">
        <v>2318</v>
      </c>
      <c r="C670" t="s">
        <v>1460</v>
      </c>
      <c r="D670" t="s">
        <v>33</v>
      </c>
      <c r="E670" t="s">
        <v>2134</v>
      </c>
      <c r="F670">
        <v>10500000</v>
      </c>
      <c r="G670" t="s">
        <v>2204</v>
      </c>
      <c r="H670" s="1">
        <v>43888</v>
      </c>
    </row>
    <row r="671" spans="1:8" x14ac:dyDescent="0.25">
      <c r="A671" t="s">
        <v>1461</v>
      </c>
      <c r="B671" t="s">
        <v>2167</v>
      </c>
      <c r="C671" t="s">
        <v>1462</v>
      </c>
      <c r="D671" t="s">
        <v>2144</v>
      </c>
      <c r="E671" t="s">
        <v>2149</v>
      </c>
      <c r="F671">
        <v>10500000</v>
      </c>
      <c r="G671" t="s">
        <v>2213</v>
      </c>
      <c r="H671" s="1">
        <v>45217</v>
      </c>
    </row>
    <row r="672" spans="1:8" x14ac:dyDescent="0.25">
      <c r="A672" t="s">
        <v>1463</v>
      </c>
      <c r="B672" t="s">
        <v>2247</v>
      </c>
      <c r="C672" t="s">
        <v>1464</v>
      </c>
      <c r="D672" t="s">
        <v>2129</v>
      </c>
      <c r="E672" t="s">
        <v>2120</v>
      </c>
      <c r="F672">
        <v>10500000</v>
      </c>
      <c r="G672" t="s">
        <v>2250</v>
      </c>
      <c r="H672" s="1">
        <v>43887</v>
      </c>
    </row>
    <row r="673" spans="1:8" x14ac:dyDescent="0.25">
      <c r="A673" t="s">
        <v>1465</v>
      </c>
      <c r="B673" t="s">
        <v>2200</v>
      </c>
      <c r="C673" t="s">
        <v>1466</v>
      </c>
      <c r="D673" t="s">
        <v>2119</v>
      </c>
      <c r="E673" t="s">
        <v>2120</v>
      </c>
      <c r="F673">
        <v>5500000</v>
      </c>
      <c r="G673" t="s">
        <v>2163</v>
      </c>
      <c r="H673" s="1">
        <v>45667</v>
      </c>
    </row>
    <row r="674" spans="1:8" x14ac:dyDescent="0.25">
      <c r="A674" t="s">
        <v>1467</v>
      </c>
      <c r="B674" t="s">
        <v>2283</v>
      </c>
      <c r="C674" t="s">
        <v>1468</v>
      </c>
      <c r="D674" t="s">
        <v>2119</v>
      </c>
      <c r="E674" t="s">
        <v>2130</v>
      </c>
      <c r="F674">
        <v>8000000</v>
      </c>
      <c r="G674" t="s">
        <v>2127</v>
      </c>
      <c r="H674" s="1">
        <v>43964</v>
      </c>
    </row>
    <row r="675" spans="1:8" x14ac:dyDescent="0.25">
      <c r="A675" t="s">
        <v>1469</v>
      </c>
      <c r="B675" t="s">
        <v>2309</v>
      </c>
      <c r="C675" t="s">
        <v>1470</v>
      </c>
      <c r="D675" t="s">
        <v>2137</v>
      </c>
      <c r="E675" t="s">
        <v>2130</v>
      </c>
      <c r="F675">
        <v>8000000</v>
      </c>
      <c r="G675" t="s">
        <v>2182</v>
      </c>
      <c r="H675" s="1">
        <v>44535</v>
      </c>
    </row>
    <row r="676" spans="1:8" x14ac:dyDescent="0.25">
      <c r="A676" t="s">
        <v>1471</v>
      </c>
      <c r="B676" t="s">
        <v>2365</v>
      </c>
      <c r="C676" t="s">
        <v>1473</v>
      </c>
      <c r="D676" t="s">
        <v>2129</v>
      </c>
      <c r="E676" t="s">
        <v>2149</v>
      </c>
      <c r="F676">
        <v>13000000</v>
      </c>
      <c r="G676" t="s">
        <v>2366</v>
      </c>
      <c r="H676" s="1">
        <v>44919</v>
      </c>
    </row>
    <row r="677" spans="1:8" x14ac:dyDescent="0.25">
      <c r="A677" t="s">
        <v>1474</v>
      </c>
      <c r="B677" t="s">
        <v>2367</v>
      </c>
      <c r="C677" t="s">
        <v>1475</v>
      </c>
      <c r="D677" t="s">
        <v>2129</v>
      </c>
      <c r="E677" t="s">
        <v>2134</v>
      </c>
      <c r="F677">
        <v>6500000</v>
      </c>
      <c r="G677" t="s">
        <v>2168</v>
      </c>
      <c r="H677" s="1">
        <v>45415</v>
      </c>
    </row>
    <row r="678" spans="1:8" x14ac:dyDescent="0.25">
      <c r="A678" t="s">
        <v>1476</v>
      </c>
      <c r="B678" t="s">
        <v>2327</v>
      </c>
      <c r="C678" t="s">
        <v>1477</v>
      </c>
      <c r="D678" t="s">
        <v>18</v>
      </c>
      <c r="E678" t="s">
        <v>2124</v>
      </c>
      <c r="F678">
        <v>5500000</v>
      </c>
      <c r="G678" t="s">
        <v>2265</v>
      </c>
      <c r="H678" s="1">
        <v>45383</v>
      </c>
    </row>
    <row r="679" spans="1:8" x14ac:dyDescent="0.25">
      <c r="A679" t="s">
        <v>1478</v>
      </c>
      <c r="B679" t="s">
        <v>2217</v>
      </c>
      <c r="C679" t="s">
        <v>1479</v>
      </c>
      <c r="D679" t="s">
        <v>2129</v>
      </c>
      <c r="E679" t="s">
        <v>2149</v>
      </c>
      <c r="F679">
        <v>5500000</v>
      </c>
      <c r="G679" t="s">
        <v>2191</v>
      </c>
      <c r="H679" s="1">
        <v>44979</v>
      </c>
    </row>
    <row r="680" spans="1:8" x14ac:dyDescent="0.25">
      <c r="A680" t="s">
        <v>1480</v>
      </c>
      <c r="B680" t="s">
        <v>2169</v>
      </c>
      <c r="C680" t="s">
        <v>1481</v>
      </c>
      <c r="D680" t="s">
        <v>2133</v>
      </c>
      <c r="E680" t="s">
        <v>2120</v>
      </c>
      <c r="F680">
        <v>8000000</v>
      </c>
      <c r="G680" t="s">
        <v>2213</v>
      </c>
      <c r="H680" s="1">
        <v>45750</v>
      </c>
    </row>
    <row r="681" spans="1:8" x14ac:dyDescent="0.25">
      <c r="A681" t="s">
        <v>1482</v>
      </c>
      <c r="B681" t="s">
        <v>2259</v>
      </c>
      <c r="C681" t="s">
        <v>1483</v>
      </c>
      <c r="D681" t="s">
        <v>2133</v>
      </c>
      <c r="E681" t="s">
        <v>2149</v>
      </c>
      <c r="F681">
        <v>13000000</v>
      </c>
      <c r="G681" t="s">
        <v>2239</v>
      </c>
      <c r="H681" s="1">
        <v>44151</v>
      </c>
    </row>
    <row r="682" spans="1:8" x14ac:dyDescent="0.25">
      <c r="A682" t="s">
        <v>1484</v>
      </c>
      <c r="B682" t="s">
        <v>2264</v>
      </c>
      <c r="C682" t="s">
        <v>1485</v>
      </c>
      <c r="D682" t="s">
        <v>2144</v>
      </c>
      <c r="E682" t="s">
        <v>2134</v>
      </c>
      <c r="F682">
        <v>8000000</v>
      </c>
      <c r="G682" t="s">
        <v>2153</v>
      </c>
      <c r="H682" s="1">
        <v>43831</v>
      </c>
    </row>
    <row r="683" spans="1:8" x14ac:dyDescent="0.25">
      <c r="A683" t="s">
        <v>1486</v>
      </c>
      <c r="B683" t="s">
        <v>2368</v>
      </c>
      <c r="C683" t="s">
        <v>1487</v>
      </c>
      <c r="D683" t="s">
        <v>33</v>
      </c>
      <c r="E683" t="s">
        <v>2130</v>
      </c>
      <c r="F683">
        <v>10500000</v>
      </c>
      <c r="G683" t="s">
        <v>2135</v>
      </c>
      <c r="H683" s="1">
        <v>44810</v>
      </c>
    </row>
    <row r="684" spans="1:8" x14ac:dyDescent="0.25">
      <c r="A684" t="s">
        <v>1488</v>
      </c>
      <c r="B684" t="s">
        <v>2310</v>
      </c>
      <c r="C684" t="s">
        <v>1489</v>
      </c>
      <c r="D684" t="s">
        <v>23</v>
      </c>
      <c r="E684" t="s">
        <v>2120</v>
      </c>
      <c r="F684">
        <v>10500000</v>
      </c>
      <c r="G684" t="s">
        <v>2151</v>
      </c>
      <c r="H684" s="1">
        <v>44597</v>
      </c>
    </row>
    <row r="685" spans="1:8" x14ac:dyDescent="0.25">
      <c r="A685" t="s">
        <v>1490</v>
      </c>
      <c r="B685" t="s">
        <v>2258</v>
      </c>
      <c r="C685" t="s">
        <v>1491</v>
      </c>
      <c r="D685" t="s">
        <v>2137</v>
      </c>
      <c r="E685" t="s">
        <v>2149</v>
      </c>
      <c r="F685">
        <v>10500000</v>
      </c>
      <c r="G685" t="s">
        <v>2168</v>
      </c>
      <c r="H685" s="1">
        <v>44831</v>
      </c>
    </row>
    <row r="686" spans="1:8" x14ac:dyDescent="0.25">
      <c r="A686" t="s">
        <v>1492</v>
      </c>
      <c r="B686" t="s">
        <v>2276</v>
      </c>
      <c r="C686" t="s">
        <v>1493</v>
      </c>
      <c r="D686" t="s">
        <v>2137</v>
      </c>
      <c r="E686" t="s">
        <v>2134</v>
      </c>
      <c r="F686">
        <v>6500000</v>
      </c>
      <c r="G686" t="s">
        <v>2180</v>
      </c>
      <c r="H686" s="1">
        <v>45457</v>
      </c>
    </row>
    <row r="687" spans="1:8" x14ac:dyDescent="0.25">
      <c r="A687" t="s">
        <v>1494</v>
      </c>
      <c r="B687" t="s">
        <v>2186</v>
      </c>
      <c r="C687" t="s">
        <v>1495</v>
      </c>
      <c r="D687" t="s">
        <v>2123</v>
      </c>
      <c r="E687" t="s">
        <v>2130</v>
      </c>
      <c r="F687">
        <v>10500000</v>
      </c>
      <c r="G687" t="s">
        <v>2172</v>
      </c>
      <c r="H687" s="1">
        <v>45542</v>
      </c>
    </row>
    <row r="688" spans="1:8" x14ac:dyDescent="0.25">
      <c r="A688" t="s">
        <v>1496</v>
      </c>
      <c r="B688" t="s">
        <v>2274</v>
      </c>
      <c r="C688" t="s">
        <v>1497</v>
      </c>
      <c r="D688" t="s">
        <v>2144</v>
      </c>
      <c r="E688" t="s">
        <v>2134</v>
      </c>
      <c r="F688">
        <v>10500000</v>
      </c>
      <c r="G688" t="s">
        <v>2125</v>
      </c>
      <c r="H688" s="1">
        <v>44843</v>
      </c>
    </row>
    <row r="689" spans="1:8" x14ac:dyDescent="0.25">
      <c r="A689" t="s">
        <v>232</v>
      </c>
      <c r="B689" t="s">
        <v>2197</v>
      </c>
      <c r="C689" t="s">
        <v>201</v>
      </c>
      <c r="D689" t="s">
        <v>2129</v>
      </c>
      <c r="E689" t="s">
        <v>2120</v>
      </c>
      <c r="F689">
        <v>5500000</v>
      </c>
      <c r="G689" t="s">
        <v>2168</v>
      </c>
      <c r="H689" s="1">
        <v>45139</v>
      </c>
    </row>
    <row r="690" spans="1:8" x14ac:dyDescent="0.25">
      <c r="A690" t="s">
        <v>1498</v>
      </c>
      <c r="B690" t="s">
        <v>2267</v>
      </c>
      <c r="C690" t="s">
        <v>1499</v>
      </c>
      <c r="D690" t="s">
        <v>33</v>
      </c>
      <c r="E690" t="s">
        <v>2134</v>
      </c>
      <c r="F690">
        <v>6500000</v>
      </c>
      <c r="G690" t="s">
        <v>2203</v>
      </c>
      <c r="H690" s="1">
        <v>45722</v>
      </c>
    </row>
    <row r="691" spans="1:8" x14ac:dyDescent="0.25">
      <c r="A691" t="s">
        <v>1500</v>
      </c>
      <c r="B691" t="s">
        <v>2185</v>
      </c>
      <c r="C691" t="s">
        <v>1501</v>
      </c>
      <c r="D691" t="s">
        <v>2137</v>
      </c>
      <c r="E691" t="s">
        <v>2120</v>
      </c>
      <c r="F691">
        <v>8000000</v>
      </c>
      <c r="G691" t="s">
        <v>2227</v>
      </c>
      <c r="H691" s="1">
        <v>45079</v>
      </c>
    </row>
    <row r="692" spans="1:8" x14ac:dyDescent="0.25">
      <c r="A692" t="s">
        <v>1502</v>
      </c>
      <c r="B692" t="s">
        <v>2333</v>
      </c>
      <c r="C692" t="s">
        <v>1503</v>
      </c>
      <c r="D692" t="s">
        <v>2123</v>
      </c>
      <c r="E692" t="s">
        <v>2149</v>
      </c>
      <c r="F692">
        <v>6500000</v>
      </c>
      <c r="G692" t="s">
        <v>2265</v>
      </c>
      <c r="H692" s="1">
        <v>44289</v>
      </c>
    </row>
    <row r="693" spans="1:8" x14ac:dyDescent="0.25">
      <c r="A693" t="s">
        <v>1504</v>
      </c>
      <c r="B693" t="s">
        <v>2263</v>
      </c>
      <c r="C693" t="s">
        <v>1505</v>
      </c>
      <c r="D693" t="s">
        <v>2119</v>
      </c>
      <c r="E693" t="s">
        <v>2120</v>
      </c>
      <c r="F693">
        <v>6500000</v>
      </c>
      <c r="G693" t="s">
        <v>2163</v>
      </c>
      <c r="H693" s="1">
        <v>44213</v>
      </c>
    </row>
    <row r="694" spans="1:8" x14ac:dyDescent="0.25">
      <c r="A694" t="s">
        <v>1506</v>
      </c>
      <c r="B694" t="s">
        <v>2354</v>
      </c>
      <c r="C694" t="s">
        <v>1507</v>
      </c>
      <c r="D694" t="s">
        <v>14</v>
      </c>
      <c r="E694" t="s">
        <v>2120</v>
      </c>
      <c r="F694">
        <v>13000000</v>
      </c>
      <c r="G694" t="s">
        <v>2127</v>
      </c>
      <c r="H694" s="1">
        <v>44048</v>
      </c>
    </row>
    <row r="695" spans="1:8" x14ac:dyDescent="0.25">
      <c r="A695" t="s">
        <v>1508</v>
      </c>
      <c r="B695" t="s">
        <v>2162</v>
      </c>
      <c r="C695" t="s">
        <v>1509</v>
      </c>
      <c r="D695" t="s">
        <v>2123</v>
      </c>
      <c r="E695" t="s">
        <v>2120</v>
      </c>
      <c r="F695">
        <v>5500000</v>
      </c>
      <c r="G695" t="s">
        <v>2168</v>
      </c>
      <c r="H695" s="1">
        <v>45995</v>
      </c>
    </row>
    <row r="696" spans="1:8" x14ac:dyDescent="0.25">
      <c r="A696" t="s">
        <v>1510</v>
      </c>
      <c r="B696" t="s">
        <v>2249</v>
      </c>
      <c r="C696" t="s">
        <v>1511</v>
      </c>
      <c r="D696" t="s">
        <v>2129</v>
      </c>
      <c r="E696" t="s">
        <v>2149</v>
      </c>
      <c r="F696">
        <v>13000000</v>
      </c>
      <c r="G696" t="s">
        <v>2159</v>
      </c>
      <c r="H696" s="1">
        <v>43876</v>
      </c>
    </row>
    <row r="697" spans="1:8" x14ac:dyDescent="0.25">
      <c r="A697" t="s">
        <v>1512</v>
      </c>
      <c r="B697" t="s">
        <v>2171</v>
      </c>
      <c r="C697" t="s">
        <v>1513</v>
      </c>
      <c r="D697" t="s">
        <v>2123</v>
      </c>
      <c r="E697" t="s">
        <v>2120</v>
      </c>
      <c r="F697">
        <v>6500000</v>
      </c>
      <c r="G697" t="s">
        <v>2168</v>
      </c>
      <c r="H697" s="1">
        <v>45607</v>
      </c>
    </row>
    <row r="698" spans="1:8" x14ac:dyDescent="0.25">
      <c r="A698" t="s">
        <v>1514</v>
      </c>
      <c r="B698" t="s">
        <v>2214</v>
      </c>
      <c r="C698" t="s">
        <v>1515</v>
      </c>
      <c r="D698" t="s">
        <v>18</v>
      </c>
      <c r="E698" t="s">
        <v>2130</v>
      </c>
      <c r="F698">
        <v>8000000</v>
      </c>
      <c r="G698" t="s">
        <v>2153</v>
      </c>
      <c r="H698" s="1">
        <v>45520</v>
      </c>
    </row>
    <row r="699" spans="1:8" x14ac:dyDescent="0.25">
      <c r="A699" t="s">
        <v>1516</v>
      </c>
      <c r="B699" t="s">
        <v>2221</v>
      </c>
      <c r="C699" t="s">
        <v>1517</v>
      </c>
      <c r="D699" t="s">
        <v>2129</v>
      </c>
      <c r="E699" t="s">
        <v>2130</v>
      </c>
      <c r="F699">
        <v>5500000</v>
      </c>
      <c r="G699" t="s">
        <v>2172</v>
      </c>
      <c r="H699" s="1">
        <v>44613</v>
      </c>
    </row>
    <row r="700" spans="1:8" x14ac:dyDescent="0.25">
      <c r="A700" t="s">
        <v>1518</v>
      </c>
      <c r="B700" t="s">
        <v>2288</v>
      </c>
      <c r="C700" t="s">
        <v>1519</v>
      </c>
      <c r="D700" t="s">
        <v>2133</v>
      </c>
      <c r="E700" t="s">
        <v>2134</v>
      </c>
      <c r="F700">
        <v>10500000</v>
      </c>
      <c r="G700" t="s">
        <v>2227</v>
      </c>
      <c r="H700" s="1">
        <v>45477</v>
      </c>
    </row>
    <row r="701" spans="1:8" x14ac:dyDescent="0.25">
      <c r="A701" t="s">
        <v>1520</v>
      </c>
      <c r="B701" t="s">
        <v>2369</v>
      </c>
      <c r="C701" t="s">
        <v>1521</v>
      </c>
      <c r="D701" t="s">
        <v>2129</v>
      </c>
      <c r="E701" t="s">
        <v>2120</v>
      </c>
      <c r="F701">
        <v>13000000</v>
      </c>
      <c r="G701" t="s">
        <v>2138</v>
      </c>
      <c r="H701" s="1">
        <v>45892</v>
      </c>
    </row>
    <row r="702" spans="1:8" x14ac:dyDescent="0.25">
      <c r="A702" t="s">
        <v>1522</v>
      </c>
      <c r="B702" t="s">
        <v>2309</v>
      </c>
      <c r="C702" t="s">
        <v>1523</v>
      </c>
      <c r="D702" t="s">
        <v>2144</v>
      </c>
      <c r="E702" t="s">
        <v>2149</v>
      </c>
      <c r="F702">
        <v>5500000</v>
      </c>
      <c r="G702" t="s">
        <v>2127</v>
      </c>
      <c r="H702" s="1">
        <v>43876</v>
      </c>
    </row>
    <row r="703" spans="1:8" x14ac:dyDescent="0.25">
      <c r="A703" t="s">
        <v>1524</v>
      </c>
      <c r="B703" t="s">
        <v>2136</v>
      </c>
      <c r="C703" t="s">
        <v>1525</v>
      </c>
      <c r="D703" t="s">
        <v>2129</v>
      </c>
      <c r="E703" t="s">
        <v>2134</v>
      </c>
      <c r="F703">
        <v>5500000</v>
      </c>
      <c r="G703" t="s">
        <v>2370</v>
      </c>
      <c r="H703" s="1">
        <v>44994</v>
      </c>
    </row>
    <row r="704" spans="1:8" x14ac:dyDescent="0.25">
      <c r="A704" t="s">
        <v>1526</v>
      </c>
      <c r="B704" t="s">
        <v>2320</v>
      </c>
      <c r="C704" t="s">
        <v>1527</v>
      </c>
      <c r="D704" t="s">
        <v>2137</v>
      </c>
      <c r="E704" t="s">
        <v>2134</v>
      </c>
      <c r="F704">
        <v>8000000</v>
      </c>
      <c r="G704" t="s">
        <v>2239</v>
      </c>
      <c r="H704" s="1">
        <v>44308</v>
      </c>
    </row>
    <row r="705" spans="1:8" x14ac:dyDescent="0.25">
      <c r="A705" t="s">
        <v>1528</v>
      </c>
      <c r="B705" t="s">
        <v>2214</v>
      </c>
      <c r="C705" t="s">
        <v>1529</v>
      </c>
      <c r="D705" t="s">
        <v>2129</v>
      </c>
      <c r="E705" t="s">
        <v>2134</v>
      </c>
      <c r="F705">
        <v>8000000</v>
      </c>
      <c r="G705" t="s">
        <v>2127</v>
      </c>
      <c r="H705" s="1">
        <v>44933</v>
      </c>
    </row>
    <row r="706" spans="1:8" x14ac:dyDescent="0.25">
      <c r="A706" t="s">
        <v>233</v>
      </c>
      <c r="B706" t="s">
        <v>2254</v>
      </c>
      <c r="C706" t="s">
        <v>201</v>
      </c>
      <c r="D706" t="s">
        <v>2144</v>
      </c>
      <c r="E706" t="s">
        <v>2134</v>
      </c>
      <c r="F706">
        <v>10500000</v>
      </c>
      <c r="G706" t="s">
        <v>2196</v>
      </c>
      <c r="H706" s="1">
        <v>44707</v>
      </c>
    </row>
    <row r="707" spans="1:8" x14ac:dyDescent="0.25">
      <c r="A707" t="s">
        <v>1530</v>
      </c>
      <c r="B707" t="s">
        <v>2186</v>
      </c>
      <c r="C707" t="s">
        <v>1531</v>
      </c>
      <c r="D707" t="s">
        <v>2129</v>
      </c>
      <c r="E707" t="s">
        <v>2124</v>
      </c>
      <c r="F707">
        <v>8000000</v>
      </c>
      <c r="G707" t="s">
        <v>2125</v>
      </c>
      <c r="H707" s="1">
        <v>44519</v>
      </c>
    </row>
    <row r="708" spans="1:8" x14ac:dyDescent="0.25">
      <c r="A708" t="s">
        <v>1532</v>
      </c>
      <c r="B708" t="s">
        <v>2249</v>
      </c>
      <c r="C708" t="s">
        <v>1533</v>
      </c>
      <c r="D708" t="s">
        <v>2137</v>
      </c>
      <c r="E708" t="s">
        <v>2149</v>
      </c>
      <c r="F708">
        <v>10500000</v>
      </c>
      <c r="G708" t="s">
        <v>2198</v>
      </c>
      <c r="H708" s="1">
        <v>44911</v>
      </c>
    </row>
    <row r="709" spans="1:8" x14ac:dyDescent="0.25">
      <c r="A709" t="s">
        <v>1534</v>
      </c>
      <c r="B709" t="s">
        <v>2321</v>
      </c>
      <c r="C709" t="s">
        <v>1535</v>
      </c>
      <c r="D709" t="s">
        <v>2144</v>
      </c>
      <c r="E709" t="s">
        <v>2149</v>
      </c>
      <c r="F709">
        <v>10500000</v>
      </c>
      <c r="G709" t="s">
        <v>2142</v>
      </c>
      <c r="H709" s="1">
        <v>45474</v>
      </c>
    </row>
    <row r="710" spans="1:8" x14ac:dyDescent="0.25">
      <c r="A710" t="s">
        <v>1536</v>
      </c>
      <c r="B710" t="s">
        <v>2275</v>
      </c>
      <c r="C710" t="s">
        <v>1537</v>
      </c>
      <c r="D710" t="s">
        <v>2137</v>
      </c>
      <c r="E710" t="s">
        <v>2120</v>
      </c>
      <c r="F710">
        <v>10500000</v>
      </c>
      <c r="G710" t="s">
        <v>2159</v>
      </c>
      <c r="H710" s="1">
        <v>44767</v>
      </c>
    </row>
    <row r="711" spans="1:8" x14ac:dyDescent="0.25">
      <c r="A711" t="s">
        <v>1538</v>
      </c>
      <c r="B711" t="s">
        <v>2323</v>
      </c>
      <c r="C711" t="s">
        <v>1539</v>
      </c>
      <c r="D711" t="s">
        <v>2144</v>
      </c>
      <c r="E711" t="s">
        <v>2124</v>
      </c>
      <c r="F711">
        <v>5500000</v>
      </c>
      <c r="G711" t="s">
        <v>2140</v>
      </c>
      <c r="H711" s="1">
        <v>44013</v>
      </c>
    </row>
    <row r="712" spans="1:8" x14ac:dyDescent="0.25">
      <c r="A712" t="s">
        <v>106</v>
      </c>
      <c r="B712" t="s">
        <v>2281</v>
      </c>
      <c r="C712" t="s">
        <v>109</v>
      </c>
      <c r="D712" t="s">
        <v>23</v>
      </c>
      <c r="E712" t="s">
        <v>2134</v>
      </c>
      <c r="F712">
        <v>5500000</v>
      </c>
      <c r="G712" t="s">
        <v>2121</v>
      </c>
      <c r="H712" s="1">
        <v>45986</v>
      </c>
    </row>
    <row r="713" spans="1:8" x14ac:dyDescent="0.25">
      <c r="A713" t="s">
        <v>1540</v>
      </c>
      <c r="B713" t="s">
        <v>2194</v>
      </c>
      <c r="C713" t="s">
        <v>1541</v>
      </c>
      <c r="D713" t="s">
        <v>2129</v>
      </c>
      <c r="E713" t="s">
        <v>2124</v>
      </c>
      <c r="F713">
        <v>8000000</v>
      </c>
      <c r="G713" t="s">
        <v>2182</v>
      </c>
      <c r="H713" s="1">
        <v>44443</v>
      </c>
    </row>
    <row r="714" spans="1:8" x14ac:dyDescent="0.25">
      <c r="A714" t="s">
        <v>1542</v>
      </c>
      <c r="B714" t="s">
        <v>2148</v>
      </c>
      <c r="C714" t="s">
        <v>1543</v>
      </c>
      <c r="D714" t="s">
        <v>2129</v>
      </c>
      <c r="E714" t="s">
        <v>2149</v>
      </c>
      <c r="F714">
        <v>13000000</v>
      </c>
      <c r="G714" t="s">
        <v>2250</v>
      </c>
      <c r="H714" s="1">
        <v>45409</v>
      </c>
    </row>
    <row r="715" spans="1:8" x14ac:dyDescent="0.25">
      <c r="A715" t="s">
        <v>1544</v>
      </c>
      <c r="B715" t="s">
        <v>2187</v>
      </c>
      <c r="C715" t="s">
        <v>1545</v>
      </c>
      <c r="D715" t="s">
        <v>2133</v>
      </c>
      <c r="E715" t="s">
        <v>2134</v>
      </c>
      <c r="F715">
        <v>13000000</v>
      </c>
      <c r="G715" t="s">
        <v>2145</v>
      </c>
      <c r="H715" s="1">
        <v>44999</v>
      </c>
    </row>
    <row r="716" spans="1:8" x14ac:dyDescent="0.25">
      <c r="A716" t="s">
        <v>131</v>
      </c>
      <c r="B716" t="s">
        <v>2164</v>
      </c>
      <c r="C716" t="s">
        <v>136</v>
      </c>
      <c r="D716" t="s">
        <v>2119</v>
      </c>
      <c r="E716" t="s">
        <v>2120</v>
      </c>
      <c r="F716">
        <v>8000000</v>
      </c>
      <c r="G716" t="s">
        <v>2361</v>
      </c>
      <c r="H716" s="1">
        <v>44143</v>
      </c>
    </row>
    <row r="717" spans="1:8" x14ac:dyDescent="0.25">
      <c r="A717" t="s">
        <v>1546</v>
      </c>
      <c r="B717" t="s">
        <v>2190</v>
      </c>
      <c r="C717" t="s">
        <v>1547</v>
      </c>
      <c r="D717" t="s">
        <v>2129</v>
      </c>
      <c r="E717" t="s">
        <v>2120</v>
      </c>
      <c r="F717">
        <v>13000000</v>
      </c>
      <c r="G717" t="s">
        <v>2265</v>
      </c>
      <c r="H717" s="1">
        <v>44534</v>
      </c>
    </row>
    <row r="718" spans="1:8" x14ac:dyDescent="0.25">
      <c r="A718" t="s">
        <v>1548</v>
      </c>
      <c r="B718" t="s">
        <v>2224</v>
      </c>
      <c r="C718" t="s">
        <v>1549</v>
      </c>
      <c r="D718" t="s">
        <v>2133</v>
      </c>
      <c r="E718" t="s">
        <v>2130</v>
      </c>
      <c r="F718">
        <v>13000000</v>
      </c>
      <c r="G718" t="s">
        <v>2131</v>
      </c>
      <c r="H718" s="1">
        <v>44231</v>
      </c>
    </row>
    <row r="719" spans="1:8" x14ac:dyDescent="0.25">
      <c r="A719" t="s">
        <v>1550</v>
      </c>
      <c r="B719" t="s">
        <v>2244</v>
      </c>
      <c r="C719" t="s">
        <v>1551</v>
      </c>
      <c r="D719" t="s">
        <v>2133</v>
      </c>
      <c r="E719" t="s">
        <v>2130</v>
      </c>
      <c r="F719">
        <v>10500000</v>
      </c>
      <c r="G719" t="s">
        <v>2188</v>
      </c>
      <c r="H719" s="1">
        <v>44971</v>
      </c>
    </row>
    <row r="720" spans="1:8" x14ac:dyDescent="0.25">
      <c r="A720" t="s">
        <v>1552</v>
      </c>
      <c r="B720" t="s">
        <v>2221</v>
      </c>
      <c r="C720" t="s">
        <v>1553</v>
      </c>
      <c r="D720" t="s">
        <v>42</v>
      </c>
      <c r="E720" t="s">
        <v>2134</v>
      </c>
      <c r="F720">
        <v>6500000</v>
      </c>
      <c r="G720" t="s">
        <v>2227</v>
      </c>
      <c r="H720" s="1">
        <v>43871</v>
      </c>
    </row>
    <row r="721" spans="1:8" x14ac:dyDescent="0.25">
      <c r="A721" t="s">
        <v>1554</v>
      </c>
      <c r="B721" t="s">
        <v>2238</v>
      </c>
      <c r="C721" t="s">
        <v>1555</v>
      </c>
      <c r="D721" t="s">
        <v>23</v>
      </c>
      <c r="E721" t="s">
        <v>2134</v>
      </c>
      <c r="F721">
        <v>13000000</v>
      </c>
      <c r="G721" t="s">
        <v>2170</v>
      </c>
      <c r="H721" s="1">
        <v>43922</v>
      </c>
    </row>
    <row r="722" spans="1:8" x14ac:dyDescent="0.25">
      <c r="A722" t="s">
        <v>1556</v>
      </c>
      <c r="B722" t="s">
        <v>2194</v>
      </c>
      <c r="C722" t="s">
        <v>1557</v>
      </c>
      <c r="D722" t="s">
        <v>2144</v>
      </c>
      <c r="E722" t="s">
        <v>2134</v>
      </c>
      <c r="F722">
        <v>10500000</v>
      </c>
      <c r="G722" t="s">
        <v>2250</v>
      </c>
      <c r="H722" s="1">
        <v>45060</v>
      </c>
    </row>
    <row r="723" spans="1:8" x14ac:dyDescent="0.25">
      <c r="A723" t="s">
        <v>1558</v>
      </c>
      <c r="B723" t="s">
        <v>2371</v>
      </c>
      <c r="C723" t="s">
        <v>1559</v>
      </c>
      <c r="D723" t="s">
        <v>2137</v>
      </c>
      <c r="E723" t="s">
        <v>2130</v>
      </c>
      <c r="F723">
        <v>6500000</v>
      </c>
      <c r="G723" t="s">
        <v>2135</v>
      </c>
      <c r="H723" s="1">
        <v>45355</v>
      </c>
    </row>
    <row r="724" spans="1:8" x14ac:dyDescent="0.25">
      <c r="A724" t="s">
        <v>1560</v>
      </c>
      <c r="B724" t="s">
        <v>2372</v>
      </c>
      <c r="C724" t="s">
        <v>1561</v>
      </c>
      <c r="D724" t="s">
        <v>2144</v>
      </c>
      <c r="E724" t="s">
        <v>2120</v>
      </c>
      <c r="F724">
        <v>8000000</v>
      </c>
      <c r="G724" t="s">
        <v>2172</v>
      </c>
      <c r="H724" s="1">
        <v>44764</v>
      </c>
    </row>
    <row r="725" spans="1:8" x14ac:dyDescent="0.25">
      <c r="A725" t="s">
        <v>1562</v>
      </c>
      <c r="B725" t="s">
        <v>2193</v>
      </c>
      <c r="C725" t="s">
        <v>1563</v>
      </c>
      <c r="D725" t="s">
        <v>2137</v>
      </c>
      <c r="E725" t="s">
        <v>2120</v>
      </c>
      <c r="F725">
        <v>5500000</v>
      </c>
      <c r="G725" t="s">
        <v>2170</v>
      </c>
      <c r="H725" s="1">
        <v>45118</v>
      </c>
    </row>
    <row r="726" spans="1:8" x14ac:dyDescent="0.25">
      <c r="A726" t="s">
        <v>1564</v>
      </c>
      <c r="B726" t="s">
        <v>2299</v>
      </c>
      <c r="C726" t="s">
        <v>1565</v>
      </c>
      <c r="D726" t="s">
        <v>2129</v>
      </c>
      <c r="E726" t="s">
        <v>2149</v>
      </c>
      <c r="F726">
        <v>6500000</v>
      </c>
      <c r="G726" t="s">
        <v>2163</v>
      </c>
      <c r="H726" s="1">
        <v>45165</v>
      </c>
    </row>
    <row r="727" spans="1:8" x14ac:dyDescent="0.25">
      <c r="A727" t="s">
        <v>1566</v>
      </c>
      <c r="B727" t="s">
        <v>2285</v>
      </c>
      <c r="C727" t="s">
        <v>1567</v>
      </c>
      <c r="D727" t="s">
        <v>2137</v>
      </c>
      <c r="E727" t="s">
        <v>2134</v>
      </c>
      <c r="F727">
        <v>5500000</v>
      </c>
      <c r="G727" t="s">
        <v>2227</v>
      </c>
      <c r="H727" s="1">
        <v>45651</v>
      </c>
    </row>
    <row r="728" spans="1:8" x14ac:dyDescent="0.25">
      <c r="A728" t="s">
        <v>1568</v>
      </c>
      <c r="B728" t="s">
        <v>2249</v>
      </c>
      <c r="C728" t="s">
        <v>1569</v>
      </c>
      <c r="D728" t="s">
        <v>2123</v>
      </c>
      <c r="E728" t="s">
        <v>2120</v>
      </c>
      <c r="F728">
        <v>10500000</v>
      </c>
      <c r="G728" t="s">
        <v>2246</v>
      </c>
      <c r="H728" s="1">
        <v>45282</v>
      </c>
    </row>
    <row r="729" spans="1:8" x14ac:dyDescent="0.25">
      <c r="A729" t="s">
        <v>1570</v>
      </c>
      <c r="B729" t="s">
        <v>2354</v>
      </c>
      <c r="C729" t="s">
        <v>1571</v>
      </c>
      <c r="D729" t="s">
        <v>2133</v>
      </c>
      <c r="E729" t="s">
        <v>2134</v>
      </c>
      <c r="F729">
        <v>8000000</v>
      </c>
      <c r="G729" t="s">
        <v>2277</v>
      </c>
      <c r="H729" s="1">
        <v>45520</v>
      </c>
    </row>
    <row r="730" spans="1:8" x14ac:dyDescent="0.25">
      <c r="A730" t="s">
        <v>1572</v>
      </c>
      <c r="B730" t="s">
        <v>2278</v>
      </c>
      <c r="C730" t="s">
        <v>1573</v>
      </c>
      <c r="D730" t="s">
        <v>2119</v>
      </c>
      <c r="E730" t="s">
        <v>2134</v>
      </c>
      <c r="F730">
        <v>6500000</v>
      </c>
      <c r="G730" t="s">
        <v>2240</v>
      </c>
      <c r="H730" s="1">
        <v>44984</v>
      </c>
    </row>
    <row r="731" spans="1:8" x14ac:dyDescent="0.25">
      <c r="A731" t="s">
        <v>1574</v>
      </c>
      <c r="B731" t="s">
        <v>2275</v>
      </c>
      <c r="C731" t="s">
        <v>1575</v>
      </c>
      <c r="D731" t="s">
        <v>2123</v>
      </c>
      <c r="E731" t="s">
        <v>2120</v>
      </c>
      <c r="F731">
        <v>13000000</v>
      </c>
      <c r="G731" t="s">
        <v>2142</v>
      </c>
      <c r="H731" s="1">
        <v>44278</v>
      </c>
    </row>
    <row r="732" spans="1:8" x14ac:dyDescent="0.25">
      <c r="A732" t="s">
        <v>1576</v>
      </c>
      <c r="B732" t="s">
        <v>2327</v>
      </c>
      <c r="C732" t="s">
        <v>1577</v>
      </c>
      <c r="D732" t="s">
        <v>2129</v>
      </c>
      <c r="E732" t="s">
        <v>2134</v>
      </c>
      <c r="F732">
        <v>8000000</v>
      </c>
      <c r="G732" t="s">
        <v>2201</v>
      </c>
      <c r="H732" s="1">
        <v>45631</v>
      </c>
    </row>
    <row r="733" spans="1:8" x14ac:dyDescent="0.25">
      <c r="A733" t="s">
        <v>1578</v>
      </c>
      <c r="B733" t="s">
        <v>2350</v>
      </c>
      <c r="C733" t="s">
        <v>1579</v>
      </c>
      <c r="D733" t="s">
        <v>2119</v>
      </c>
      <c r="E733" t="s">
        <v>2124</v>
      </c>
      <c r="F733">
        <v>8000000</v>
      </c>
      <c r="G733" t="s">
        <v>2168</v>
      </c>
      <c r="H733" s="1">
        <v>45966</v>
      </c>
    </row>
    <row r="734" spans="1:8" x14ac:dyDescent="0.25">
      <c r="A734" t="s">
        <v>1580</v>
      </c>
      <c r="B734" t="s">
        <v>2348</v>
      </c>
      <c r="C734" t="s">
        <v>1581</v>
      </c>
      <c r="D734" t="s">
        <v>2123</v>
      </c>
      <c r="E734" t="s">
        <v>2134</v>
      </c>
      <c r="F734">
        <v>10500000</v>
      </c>
      <c r="G734" t="s">
        <v>2352</v>
      </c>
      <c r="H734" s="1">
        <v>45190</v>
      </c>
    </row>
    <row r="735" spans="1:8" x14ac:dyDescent="0.25">
      <c r="A735" t="s">
        <v>1582</v>
      </c>
      <c r="B735" t="s">
        <v>2212</v>
      </c>
      <c r="C735" t="s">
        <v>1583</v>
      </c>
      <c r="D735" t="s">
        <v>2129</v>
      </c>
      <c r="E735" t="s">
        <v>2120</v>
      </c>
      <c r="F735">
        <v>5500000</v>
      </c>
      <c r="G735" t="s">
        <v>2240</v>
      </c>
      <c r="H735" s="1">
        <v>45372</v>
      </c>
    </row>
    <row r="736" spans="1:8" x14ac:dyDescent="0.25">
      <c r="A736" t="s">
        <v>1584</v>
      </c>
      <c r="B736" t="s">
        <v>2270</v>
      </c>
      <c r="C736" t="s">
        <v>1585</v>
      </c>
      <c r="D736" t="s">
        <v>2144</v>
      </c>
      <c r="E736" t="s">
        <v>2120</v>
      </c>
      <c r="F736">
        <v>6500000</v>
      </c>
      <c r="G736" t="s">
        <v>2201</v>
      </c>
      <c r="H736" s="1">
        <v>45489</v>
      </c>
    </row>
    <row r="737" spans="1:8" x14ac:dyDescent="0.25">
      <c r="A737" t="s">
        <v>1586</v>
      </c>
      <c r="B737" t="s">
        <v>2313</v>
      </c>
      <c r="C737" t="s">
        <v>1587</v>
      </c>
      <c r="D737" t="s">
        <v>2144</v>
      </c>
      <c r="E737" t="s">
        <v>2149</v>
      </c>
      <c r="F737">
        <v>6500000</v>
      </c>
      <c r="G737" t="s">
        <v>2127</v>
      </c>
      <c r="H737" s="1">
        <v>43884</v>
      </c>
    </row>
    <row r="738" spans="1:8" x14ac:dyDescent="0.25">
      <c r="A738" t="s">
        <v>1588</v>
      </c>
      <c r="B738" t="s">
        <v>2373</v>
      </c>
      <c r="C738" t="s">
        <v>1589</v>
      </c>
      <c r="D738" t="s">
        <v>2129</v>
      </c>
      <c r="E738" t="s">
        <v>2124</v>
      </c>
      <c r="F738">
        <v>6500000</v>
      </c>
      <c r="G738" t="s">
        <v>2157</v>
      </c>
      <c r="H738" s="1">
        <v>44353</v>
      </c>
    </row>
    <row r="739" spans="1:8" x14ac:dyDescent="0.25">
      <c r="A739" t="s">
        <v>1590</v>
      </c>
      <c r="B739" t="s">
        <v>2259</v>
      </c>
      <c r="C739" t="s">
        <v>1591</v>
      </c>
      <c r="D739" t="s">
        <v>2144</v>
      </c>
      <c r="E739" t="s">
        <v>2124</v>
      </c>
      <c r="F739">
        <v>13000000</v>
      </c>
      <c r="G739" t="s">
        <v>2159</v>
      </c>
      <c r="H739" s="1">
        <v>45946</v>
      </c>
    </row>
    <row r="740" spans="1:8" x14ac:dyDescent="0.25">
      <c r="A740" t="s">
        <v>1592</v>
      </c>
      <c r="B740" t="s">
        <v>2164</v>
      </c>
      <c r="C740" t="s">
        <v>1593</v>
      </c>
      <c r="D740" t="s">
        <v>2137</v>
      </c>
      <c r="E740" t="s">
        <v>2134</v>
      </c>
      <c r="F740">
        <v>10500000</v>
      </c>
      <c r="G740" t="s">
        <v>2170</v>
      </c>
      <c r="H740" s="1">
        <v>44419</v>
      </c>
    </row>
    <row r="741" spans="1:8" x14ac:dyDescent="0.25">
      <c r="A741" t="s">
        <v>1594</v>
      </c>
      <c r="B741" t="s">
        <v>2223</v>
      </c>
      <c r="C741" t="s">
        <v>1595</v>
      </c>
      <c r="D741" t="s">
        <v>2119</v>
      </c>
      <c r="E741" t="s">
        <v>2149</v>
      </c>
      <c r="F741">
        <v>8000000</v>
      </c>
      <c r="G741" t="s">
        <v>2201</v>
      </c>
      <c r="H741" s="1">
        <v>44549</v>
      </c>
    </row>
    <row r="742" spans="1:8" x14ac:dyDescent="0.25">
      <c r="A742" t="s">
        <v>1596</v>
      </c>
      <c r="B742" t="s">
        <v>2197</v>
      </c>
      <c r="C742" t="s">
        <v>1597</v>
      </c>
      <c r="D742" t="s">
        <v>2133</v>
      </c>
      <c r="E742" t="s">
        <v>2130</v>
      </c>
      <c r="F742">
        <v>10500000</v>
      </c>
      <c r="G742" t="s">
        <v>2175</v>
      </c>
      <c r="H742" s="1">
        <v>44344</v>
      </c>
    </row>
    <row r="743" spans="1:8" x14ac:dyDescent="0.25">
      <c r="A743" t="s">
        <v>1598</v>
      </c>
      <c r="B743" t="s">
        <v>2223</v>
      </c>
      <c r="C743" t="s">
        <v>1599</v>
      </c>
      <c r="D743" t="s">
        <v>42</v>
      </c>
      <c r="E743" t="s">
        <v>2149</v>
      </c>
      <c r="F743">
        <v>6500000</v>
      </c>
      <c r="G743" t="s">
        <v>2246</v>
      </c>
      <c r="H743" s="1">
        <v>44877</v>
      </c>
    </row>
    <row r="744" spans="1:8" x14ac:dyDescent="0.25">
      <c r="A744" t="s">
        <v>1600</v>
      </c>
      <c r="B744" t="s">
        <v>2255</v>
      </c>
      <c r="C744" t="s">
        <v>1601</v>
      </c>
      <c r="D744" t="s">
        <v>23</v>
      </c>
      <c r="E744" t="s">
        <v>2134</v>
      </c>
      <c r="F744">
        <v>10500000</v>
      </c>
      <c r="G744" t="s">
        <v>2151</v>
      </c>
      <c r="H744" s="1">
        <v>44850</v>
      </c>
    </row>
    <row r="745" spans="1:8" x14ac:dyDescent="0.25">
      <c r="A745" t="s">
        <v>1602</v>
      </c>
      <c r="B745" t="s">
        <v>2260</v>
      </c>
      <c r="C745" t="s">
        <v>1603</v>
      </c>
      <c r="D745" t="s">
        <v>2144</v>
      </c>
      <c r="E745" t="s">
        <v>2130</v>
      </c>
      <c r="F745">
        <v>6500000</v>
      </c>
      <c r="G745" t="s">
        <v>2210</v>
      </c>
      <c r="H745" s="1">
        <v>44728</v>
      </c>
    </row>
    <row r="746" spans="1:8" x14ac:dyDescent="0.25">
      <c r="A746" t="s">
        <v>235</v>
      </c>
      <c r="B746" t="s">
        <v>2174</v>
      </c>
      <c r="C746" t="s">
        <v>201</v>
      </c>
      <c r="D746" t="s">
        <v>2119</v>
      </c>
      <c r="E746" t="s">
        <v>2149</v>
      </c>
      <c r="F746">
        <v>5500000</v>
      </c>
      <c r="G746" t="s">
        <v>2180</v>
      </c>
      <c r="H746" s="1">
        <v>44549</v>
      </c>
    </row>
    <row r="747" spans="1:8" x14ac:dyDescent="0.25">
      <c r="A747" t="s">
        <v>1604</v>
      </c>
      <c r="B747" t="s">
        <v>2258</v>
      </c>
      <c r="C747" t="s">
        <v>1605</v>
      </c>
      <c r="D747" t="s">
        <v>2119</v>
      </c>
      <c r="E747" t="s">
        <v>2149</v>
      </c>
      <c r="F747">
        <v>10500000</v>
      </c>
      <c r="G747" t="s">
        <v>2207</v>
      </c>
      <c r="H747" s="1">
        <v>45256</v>
      </c>
    </row>
    <row r="748" spans="1:8" x14ac:dyDescent="0.25">
      <c r="A748" t="s">
        <v>1606</v>
      </c>
      <c r="B748" t="s">
        <v>2222</v>
      </c>
      <c r="C748" t="s">
        <v>1607</v>
      </c>
      <c r="D748" t="s">
        <v>2144</v>
      </c>
      <c r="E748" t="s">
        <v>2149</v>
      </c>
      <c r="F748">
        <v>5500000</v>
      </c>
      <c r="G748" t="s">
        <v>2180</v>
      </c>
      <c r="H748" s="1">
        <v>44608</v>
      </c>
    </row>
    <row r="749" spans="1:8" x14ac:dyDescent="0.25">
      <c r="A749" t="s">
        <v>1608</v>
      </c>
      <c r="B749" t="s">
        <v>2226</v>
      </c>
      <c r="C749" t="s">
        <v>1609</v>
      </c>
      <c r="D749" t="s">
        <v>2144</v>
      </c>
      <c r="E749" t="s">
        <v>2120</v>
      </c>
      <c r="F749">
        <v>8000000</v>
      </c>
      <c r="G749" t="s">
        <v>2240</v>
      </c>
      <c r="H749" s="1">
        <v>45044</v>
      </c>
    </row>
    <row r="750" spans="1:8" x14ac:dyDescent="0.25">
      <c r="A750" t="s">
        <v>1610</v>
      </c>
      <c r="B750" t="s">
        <v>2167</v>
      </c>
      <c r="C750" t="s">
        <v>1611</v>
      </c>
      <c r="D750" t="s">
        <v>18</v>
      </c>
      <c r="E750" t="s">
        <v>2124</v>
      </c>
      <c r="F750">
        <v>13000000</v>
      </c>
      <c r="G750" t="s">
        <v>2170</v>
      </c>
      <c r="H750" s="1">
        <v>45339</v>
      </c>
    </row>
    <row r="751" spans="1:8" x14ac:dyDescent="0.25">
      <c r="A751" t="s">
        <v>1612</v>
      </c>
      <c r="B751" t="s">
        <v>2161</v>
      </c>
      <c r="C751" t="s">
        <v>1613</v>
      </c>
      <c r="D751" t="s">
        <v>2129</v>
      </c>
      <c r="E751" t="s">
        <v>2149</v>
      </c>
      <c r="F751">
        <v>13000000</v>
      </c>
      <c r="G751" t="s">
        <v>2170</v>
      </c>
      <c r="H751" s="1">
        <v>44125</v>
      </c>
    </row>
    <row r="752" spans="1:8" x14ac:dyDescent="0.25">
      <c r="A752" t="s">
        <v>1614</v>
      </c>
      <c r="B752" t="s">
        <v>2162</v>
      </c>
      <c r="C752" t="s">
        <v>1615</v>
      </c>
      <c r="D752" t="s">
        <v>37</v>
      </c>
      <c r="E752" t="s">
        <v>2124</v>
      </c>
      <c r="F752">
        <v>6500000</v>
      </c>
      <c r="G752" t="s">
        <v>2277</v>
      </c>
      <c r="H752" s="1">
        <v>45733</v>
      </c>
    </row>
    <row r="753" spans="1:8" x14ac:dyDescent="0.25">
      <c r="A753" t="s">
        <v>1616</v>
      </c>
      <c r="B753" t="s">
        <v>2323</v>
      </c>
      <c r="C753" t="s">
        <v>1617</v>
      </c>
      <c r="D753" t="s">
        <v>2123</v>
      </c>
      <c r="E753" t="s">
        <v>2120</v>
      </c>
      <c r="F753">
        <v>13000000</v>
      </c>
      <c r="G753" t="s">
        <v>2170</v>
      </c>
      <c r="H753" s="1">
        <v>44900</v>
      </c>
    </row>
    <row r="754" spans="1:8" x14ac:dyDescent="0.25">
      <c r="A754" t="s">
        <v>1618</v>
      </c>
      <c r="B754" t="s">
        <v>2167</v>
      </c>
      <c r="C754" t="s">
        <v>1619</v>
      </c>
      <c r="D754" t="s">
        <v>2144</v>
      </c>
      <c r="E754" t="s">
        <v>2124</v>
      </c>
      <c r="F754">
        <v>6500000</v>
      </c>
      <c r="G754" t="s">
        <v>2177</v>
      </c>
      <c r="H754" s="1">
        <v>43866</v>
      </c>
    </row>
    <row r="755" spans="1:8" x14ac:dyDescent="0.25">
      <c r="A755" t="s">
        <v>1620</v>
      </c>
      <c r="B755" t="s">
        <v>2254</v>
      </c>
      <c r="C755" t="s">
        <v>1621</v>
      </c>
      <c r="D755" t="s">
        <v>33</v>
      </c>
      <c r="E755" t="s">
        <v>2124</v>
      </c>
      <c r="F755">
        <v>13000000</v>
      </c>
      <c r="G755" t="s">
        <v>2219</v>
      </c>
      <c r="H755" s="1">
        <v>44024</v>
      </c>
    </row>
    <row r="756" spans="1:8" x14ac:dyDescent="0.25">
      <c r="A756" t="s">
        <v>1622</v>
      </c>
      <c r="B756" t="s">
        <v>2253</v>
      </c>
      <c r="C756" t="s">
        <v>1623</v>
      </c>
      <c r="D756" t="s">
        <v>2129</v>
      </c>
      <c r="E756" t="s">
        <v>2149</v>
      </c>
      <c r="F756">
        <v>6500000</v>
      </c>
      <c r="G756" t="s">
        <v>2277</v>
      </c>
      <c r="H756" s="1">
        <v>43934</v>
      </c>
    </row>
    <row r="757" spans="1:8" x14ac:dyDescent="0.25">
      <c r="A757" t="s">
        <v>1624</v>
      </c>
      <c r="B757" t="s">
        <v>2169</v>
      </c>
      <c r="C757" t="s">
        <v>1625</v>
      </c>
      <c r="D757" t="s">
        <v>2123</v>
      </c>
      <c r="E757" t="s">
        <v>2149</v>
      </c>
      <c r="F757">
        <v>10500000</v>
      </c>
      <c r="G757" t="s">
        <v>2140</v>
      </c>
      <c r="H757" s="1">
        <v>44140</v>
      </c>
    </row>
    <row r="758" spans="1:8" x14ac:dyDescent="0.25">
      <c r="A758" t="s">
        <v>1626</v>
      </c>
      <c r="B758" t="s">
        <v>2185</v>
      </c>
      <c r="C758" t="s">
        <v>1627</v>
      </c>
      <c r="D758" t="s">
        <v>2144</v>
      </c>
      <c r="E758" t="s">
        <v>2120</v>
      </c>
      <c r="F758">
        <v>10500000</v>
      </c>
      <c r="G758" t="s">
        <v>2207</v>
      </c>
      <c r="H758" s="1">
        <v>44640</v>
      </c>
    </row>
    <row r="759" spans="1:8" x14ac:dyDescent="0.25">
      <c r="A759" t="s">
        <v>1628</v>
      </c>
      <c r="B759" t="s">
        <v>2283</v>
      </c>
      <c r="C759" t="s">
        <v>1629</v>
      </c>
      <c r="D759" t="s">
        <v>2144</v>
      </c>
      <c r="E759" t="s">
        <v>2134</v>
      </c>
      <c r="F759">
        <v>5500000</v>
      </c>
      <c r="G759" t="s">
        <v>2227</v>
      </c>
      <c r="H759" s="1">
        <v>44724</v>
      </c>
    </row>
    <row r="760" spans="1:8" x14ac:dyDescent="0.25">
      <c r="A760" t="s">
        <v>1630</v>
      </c>
      <c r="B760" t="s">
        <v>2160</v>
      </c>
      <c r="C760" t="s">
        <v>1631</v>
      </c>
      <c r="D760" t="s">
        <v>2137</v>
      </c>
      <c r="E760" t="s">
        <v>2149</v>
      </c>
      <c r="F760">
        <v>6500000</v>
      </c>
      <c r="G760" t="s">
        <v>2207</v>
      </c>
      <c r="H760" s="1">
        <v>45702</v>
      </c>
    </row>
    <row r="761" spans="1:8" x14ac:dyDescent="0.25">
      <c r="A761" t="s">
        <v>1632</v>
      </c>
      <c r="B761" t="s">
        <v>2192</v>
      </c>
      <c r="C761" t="s">
        <v>1633</v>
      </c>
      <c r="D761" t="s">
        <v>2144</v>
      </c>
      <c r="E761" t="s">
        <v>2124</v>
      </c>
      <c r="F761">
        <v>10500000</v>
      </c>
      <c r="G761" t="s">
        <v>2163</v>
      </c>
      <c r="H761" s="1">
        <v>44209</v>
      </c>
    </row>
    <row r="762" spans="1:8" x14ac:dyDescent="0.25">
      <c r="A762" t="s">
        <v>1634</v>
      </c>
      <c r="B762" t="s">
        <v>2195</v>
      </c>
      <c r="C762" t="s">
        <v>1635</v>
      </c>
      <c r="D762" t="s">
        <v>2133</v>
      </c>
      <c r="E762" t="s">
        <v>2134</v>
      </c>
      <c r="F762">
        <v>6500000</v>
      </c>
      <c r="G762" t="s">
        <v>2138</v>
      </c>
      <c r="H762" s="1">
        <v>45895</v>
      </c>
    </row>
    <row r="763" spans="1:8" x14ac:dyDescent="0.25">
      <c r="A763" t="s">
        <v>1636</v>
      </c>
      <c r="B763" t="s">
        <v>2216</v>
      </c>
      <c r="C763" t="s">
        <v>1637</v>
      </c>
      <c r="D763" t="s">
        <v>2133</v>
      </c>
      <c r="E763" t="s">
        <v>2124</v>
      </c>
      <c r="F763">
        <v>10500000</v>
      </c>
      <c r="G763" t="s">
        <v>2196</v>
      </c>
      <c r="H763" s="1">
        <v>45542</v>
      </c>
    </row>
    <row r="764" spans="1:8" x14ac:dyDescent="0.25">
      <c r="A764" t="s">
        <v>1638</v>
      </c>
      <c r="B764" t="s">
        <v>2245</v>
      </c>
      <c r="C764" t="s">
        <v>1639</v>
      </c>
      <c r="D764" t="s">
        <v>2119</v>
      </c>
      <c r="E764" t="s">
        <v>2124</v>
      </c>
      <c r="F764">
        <v>10500000</v>
      </c>
      <c r="G764" t="s">
        <v>2153</v>
      </c>
      <c r="H764" s="1">
        <v>45440</v>
      </c>
    </row>
    <row r="765" spans="1:8" x14ac:dyDescent="0.25">
      <c r="A765" t="s">
        <v>1640</v>
      </c>
      <c r="B765" t="s">
        <v>2374</v>
      </c>
      <c r="C765" t="s">
        <v>1641</v>
      </c>
      <c r="D765" t="s">
        <v>2133</v>
      </c>
      <c r="E765" t="s">
        <v>2130</v>
      </c>
      <c r="F765">
        <v>5500000</v>
      </c>
      <c r="G765" t="s">
        <v>2188</v>
      </c>
      <c r="H765" s="1">
        <v>43995</v>
      </c>
    </row>
    <row r="766" spans="1:8" x14ac:dyDescent="0.25">
      <c r="A766" t="s">
        <v>1642</v>
      </c>
      <c r="B766" t="s">
        <v>2375</v>
      </c>
      <c r="C766" t="s">
        <v>1643</v>
      </c>
      <c r="D766" t="s">
        <v>2123</v>
      </c>
      <c r="E766" t="s">
        <v>2149</v>
      </c>
      <c r="F766">
        <v>10500000</v>
      </c>
      <c r="G766" t="s">
        <v>2127</v>
      </c>
      <c r="H766" s="1">
        <v>44605</v>
      </c>
    </row>
    <row r="767" spans="1:8" x14ac:dyDescent="0.25">
      <c r="A767" t="s">
        <v>1644</v>
      </c>
      <c r="B767" t="s">
        <v>2300</v>
      </c>
      <c r="C767" t="s">
        <v>1645</v>
      </c>
      <c r="D767" t="s">
        <v>2133</v>
      </c>
      <c r="E767" t="s">
        <v>2130</v>
      </c>
      <c r="F767">
        <v>13000000</v>
      </c>
      <c r="G767" t="s">
        <v>2154</v>
      </c>
      <c r="H767" s="1">
        <v>45968</v>
      </c>
    </row>
    <row r="768" spans="1:8" x14ac:dyDescent="0.25">
      <c r="A768" t="s">
        <v>1646</v>
      </c>
      <c r="B768" t="s">
        <v>2174</v>
      </c>
      <c r="C768" t="s">
        <v>1647</v>
      </c>
      <c r="D768" t="s">
        <v>2129</v>
      </c>
      <c r="E768" t="s">
        <v>2130</v>
      </c>
      <c r="F768">
        <v>6500000</v>
      </c>
      <c r="G768" t="s">
        <v>2142</v>
      </c>
      <c r="H768" s="1">
        <v>45759</v>
      </c>
    </row>
    <row r="769" spans="1:8" x14ac:dyDescent="0.25">
      <c r="A769" t="s">
        <v>1648</v>
      </c>
      <c r="B769" t="s">
        <v>2268</v>
      </c>
      <c r="C769" t="s">
        <v>1649</v>
      </c>
      <c r="D769" t="s">
        <v>2137</v>
      </c>
      <c r="E769" t="s">
        <v>2149</v>
      </c>
      <c r="F769">
        <v>6500000</v>
      </c>
      <c r="G769" t="s">
        <v>2182</v>
      </c>
      <c r="H769" s="1">
        <v>45752</v>
      </c>
    </row>
    <row r="770" spans="1:8" x14ac:dyDescent="0.25">
      <c r="A770" t="s">
        <v>1650</v>
      </c>
      <c r="B770" t="s">
        <v>2190</v>
      </c>
      <c r="C770" t="s">
        <v>1651</v>
      </c>
      <c r="D770" t="s">
        <v>2144</v>
      </c>
      <c r="E770" t="s">
        <v>2130</v>
      </c>
      <c r="F770">
        <v>10500000</v>
      </c>
      <c r="G770" t="s">
        <v>2376</v>
      </c>
      <c r="H770" s="1">
        <v>45435</v>
      </c>
    </row>
    <row r="771" spans="1:8" x14ac:dyDescent="0.25">
      <c r="A771" t="s">
        <v>1652</v>
      </c>
      <c r="B771" t="s">
        <v>2279</v>
      </c>
      <c r="C771" t="s">
        <v>1653</v>
      </c>
      <c r="D771" t="s">
        <v>2119</v>
      </c>
      <c r="E771" t="s">
        <v>2149</v>
      </c>
      <c r="F771">
        <v>10500000</v>
      </c>
      <c r="G771" t="s">
        <v>2240</v>
      </c>
      <c r="H771" s="1">
        <v>45458</v>
      </c>
    </row>
    <row r="772" spans="1:8" x14ac:dyDescent="0.25">
      <c r="A772" t="s">
        <v>1654</v>
      </c>
      <c r="B772" t="s">
        <v>2275</v>
      </c>
      <c r="C772" t="s">
        <v>1655</v>
      </c>
      <c r="D772" t="s">
        <v>2133</v>
      </c>
      <c r="E772" t="s">
        <v>2130</v>
      </c>
      <c r="F772">
        <v>10500000</v>
      </c>
      <c r="G772" t="s">
        <v>2219</v>
      </c>
      <c r="H772" s="1">
        <v>45225</v>
      </c>
    </row>
    <row r="773" spans="1:8" x14ac:dyDescent="0.25">
      <c r="A773" t="s">
        <v>1656</v>
      </c>
      <c r="B773" t="s">
        <v>2217</v>
      </c>
      <c r="C773" t="s">
        <v>1657</v>
      </c>
      <c r="D773" t="s">
        <v>2144</v>
      </c>
      <c r="E773" t="s">
        <v>2120</v>
      </c>
      <c r="F773">
        <v>8000000</v>
      </c>
      <c r="G773" t="s">
        <v>2151</v>
      </c>
      <c r="H773" s="1">
        <v>44613</v>
      </c>
    </row>
    <row r="774" spans="1:8" x14ac:dyDescent="0.25">
      <c r="A774" t="s">
        <v>1658</v>
      </c>
      <c r="B774" t="s">
        <v>2200</v>
      </c>
      <c r="C774" t="s">
        <v>1659</v>
      </c>
      <c r="D774" t="s">
        <v>2119</v>
      </c>
      <c r="E774" t="s">
        <v>2149</v>
      </c>
      <c r="F774">
        <v>10500000</v>
      </c>
      <c r="G774" t="s">
        <v>2172</v>
      </c>
      <c r="H774" s="1">
        <v>44959</v>
      </c>
    </row>
    <row r="775" spans="1:8" x14ac:dyDescent="0.25">
      <c r="A775" t="s">
        <v>1660</v>
      </c>
      <c r="B775" t="s">
        <v>2323</v>
      </c>
      <c r="C775" t="s">
        <v>1661</v>
      </c>
      <c r="D775" t="s">
        <v>2123</v>
      </c>
      <c r="E775" t="s">
        <v>2149</v>
      </c>
      <c r="F775">
        <v>6500000</v>
      </c>
      <c r="G775" t="s">
        <v>2175</v>
      </c>
      <c r="H775" s="1">
        <v>44899</v>
      </c>
    </row>
    <row r="776" spans="1:8" x14ac:dyDescent="0.25">
      <c r="A776" t="s">
        <v>1662</v>
      </c>
      <c r="B776" t="s">
        <v>2313</v>
      </c>
      <c r="C776" t="s">
        <v>1663</v>
      </c>
      <c r="D776" t="s">
        <v>2129</v>
      </c>
      <c r="E776" t="s">
        <v>2149</v>
      </c>
      <c r="F776">
        <v>8000000</v>
      </c>
      <c r="G776" t="s">
        <v>2177</v>
      </c>
      <c r="H776" s="1">
        <v>44208</v>
      </c>
    </row>
    <row r="777" spans="1:8" x14ac:dyDescent="0.25">
      <c r="A777" t="s">
        <v>1664</v>
      </c>
      <c r="B777" t="s">
        <v>2192</v>
      </c>
      <c r="C777" t="s">
        <v>1665</v>
      </c>
      <c r="D777" t="s">
        <v>2137</v>
      </c>
      <c r="E777" t="s">
        <v>2124</v>
      </c>
      <c r="F777">
        <v>8000000</v>
      </c>
      <c r="G777" t="s">
        <v>2377</v>
      </c>
      <c r="H777" s="1">
        <v>44878</v>
      </c>
    </row>
    <row r="778" spans="1:8" x14ac:dyDescent="0.25">
      <c r="A778" t="s">
        <v>1666</v>
      </c>
      <c r="B778" t="s">
        <v>2285</v>
      </c>
      <c r="C778" t="s">
        <v>1667</v>
      </c>
      <c r="D778" t="s">
        <v>2119</v>
      </c>
      <c r="E778" t="s">
        <v>2134</v>
      </c>
      <c r="F778">
        <v>8000000</v>
      </c>
      <c r="G778" t="s">
        <v>2240</v>
      </c>
      <c r="H778" s="1">
        <v>46000</v>
      </c>
    </row>
    <row r="779" spans="1:8" x14ac:dyDescent="0.25">
      <c r="A779" t="s">
        <v>1668</v>
      </c>
      <c r="B779" t="s">
        <v>2209</v>
      </c>
      <c r="C779" t="s">
        <v>1669</v>
      </c>
      <c r="D779" t="s">
        <v>2123</v>
      </c>
      <c r="E779" t="s">
        <v>2120</v>
      </c>
      <c r="F779">
        <v>13000000</v>
      </c>
      <c r="G779" t="s">
        <v>2378</v>
      </c>
      <c r="H779" s="1">
        <v>45427</v>
      </c>
    </row>
    <row r="780" spans="1:8" x14ac:dyDescent="0.25">
      <c r="A780" t="s">
        <v>1670</v>
      </c>
      <c r="B780" t="s">
        <v>2223</v>
      </c>
      <c r="C780" t="s">
        <v>1671</v>
      </c>
      <c r="D780" t="s">
        <v>2129</v>
      </c>
      <c r="E780" t="s">
        <v>2149</v>
      </c>
      <c r="F780">
        <v>8000000</v>
      </c>
      <c r="G780" t="s">
        <v>2170</v>
      </c>
      <c r="H780" s="1">
        <v>45743</v>
      </c>
    </row>
    <row r="781" spans="1:8" x14ac:dyDescent="0.25">
      <c r="A781" t="s">
        <v>1672</v>
      </c>
      <c r="B781" t="s">
        <v>2373</v>
      </c>
      <c r="C781" t="s">
        <v>1673</v>
      </c>
      <c r="D781" t="s">
        <v>2129</v>
      </c>
      <c r="E781" t="s">
        <v>2149</v>
      </c>
      <c r="F781">
        <v>13000000</v>
      </c>
      <c r="G781" t="s">
        <v>2142</v>
      </c>
      <c r="H781" s="1">
        <v>44031</v>
      </c>
    </row>
    <row r="782" spans="1:8" x14ac:dyDescent="0.25">
      <c r="A782" t="s">
        <v>1674</v>
      </c>
      <c r="B782" t="s">
        <v>2275</v>
      </c>
      <c r="C782" t="s">
        <v>1675</v>
      </c>
      <c r="D782" t="s">
        <v>2129</v>
      </c>
      <c r="E782" t="s">
        <v>2149</v>
      </c>
      <c r="F782">
        <v>6500000</v>
      </c>
      <c r="G782" t="s">
        <v>2227</v>
      </c>
      <c r="H782" s="1">
        <v>44582</v>
      </c>
    </row>
    <row r="783" spans="1:8" x14ac:dyDescent="0.25">
      <c r="A783" t="s">
        <v>1676</v>
      </c>
      <c r="B783" t="s">
        <v>2161</v>
      </c>
      <c r="C783" t="s">
        <v>1677</v>
      </c>
      <c r="D783" t="s">
        <v>23</v>
      </c>
      <c r="E783" t="s">
        <v>2124</v>
      </c>
      <c r="F783">
        <v>13000000</v>
      </c>
      <c r="G783" t="s">
        <v>2157</v>
      </c>
      <c r="H783" s="1">
        <v>44051</v>
      </c>
    </row>
    <row r="784" spans="1:8" x14ac:dyDescent="0.25">
      <c r="A784" t="s">
        <v>1678</v>
      </c>
      <c r="B784" t="s">
        <v>2215</v>
      </c>
      <c r="C784" t="s">
        <v>1679</v>
      </c>
      <c r="D784" t="s">
        <v>42</v>
      </c>
      <c r="E784" t="s">
        <v>2149</v>
      </c>
      <c r="F784">
        <v>5500000</v>
      </c>
      <c r="G784" t="s">
        <v>2135</v>
      </c>
      <c r="H784" s="1">
        <v>45395</v>
      </c>
    </row>
    <row r="785" spans="1:8" x14ac:dyDescent="0.25">
      <c r="A785" t="s">
        <v>1680</v>
      </c>
      <c r="B785" t="s">
        <v>2225</v>
      </c>
      <c r="C785" t="s">
        <v>1681</v>
      </c>
      <c r="D785" t="s">
        <v>2123</v>
      </c>
      <c r="E785" t="s">
        <v>2124</v>
      </c>
      <c r="F785">
        <v>5500000</v>
      </c>
      <c r="G785" t="s">
        <v>2153</v>
      </c>
      <c r="H785" s="1">
        <v>45731</v>
      </c>
    </row>
    <row r="786" spans="1:8" x14ac:dyDescent="0.25">
      <c r="A786" t="s">
        <v>1682</v>
      </c>
      <c r="B786" t="s">
        <v>2176</v>
      </c>
      <c r="C786" t="s">
        <v>1683</v>
      </c>
      <c r="D786" t="s">
        <v>2137</v>
      </c>
      <c r="E786" t="s">
        <v>2130</v>
      </c>
      <c r="F786">
        <v>10500000</v>
      </c>
      <c r="G786" t="s">
        <v>2250</v>
      </c>
      <c r="H786" s="1">
        <v>45346</v>
      </c>
    </row>
    <row r="787" spans="1:8" x14ac:dyDescent="0.25">
      <c r="A787" t="s">
        <v>1684</v>
      </c>
      <c r="B787" t="s">
        <v>2195</v>
      </c>
      <c r="C787" t="s">
        <v>1685</v>
      </c>
      <c r="D787" t="s">
        <v>2119</v>
      </c>
      <c r="E787" t="s">
        <v>2134</v>
      </c>
      <c r="F787">
        <v>13000000</v>
      </c>
      <c r="G787" t="s">
        <v>2140</v>
      </c>
      <c r="H787" s="1">
        <v>44256</v>
      </c>
    </row>
    <row r="788" spans="1:8" x14ac:dyDescent="0.25">
      <c r="A788" t="s">
        <v>1686</v>
      </c>
      <c r="B788" t="s">
        <v>2187</v>
      </c>
      <c r="C788" t="s">
        <v>1687</v>
      </c>
      <c r="D788" t="s">
        <v>2119</v>
      </c>
      <c r="E788" t="s">
        <v>2120</v>
      </c>
      <c r="F788">
        <v>10500000</v>
      </c>
      <c r="G788" t="s">
        <v>2168</v>
      </c>
      <c r="H788" s="1">
        <v>45304</v>
      </c>
    </row>
    <row r="789" spans="1:8" x14ac:dyDescent="0.25">
      <c r="A789" t="s">
        <v>1688</v>
      </c>
      <c r="B789" t="s">
        <v>2292</v>
      </c>
      <c r="C789" t="s">
        <v>1689</v>
      </c>
      <c r="D789" t="s">
        <v>2129</v>
      </c>
      <c r="E789" t="s">
        <v>2149</v>
      </c>
      <c r="F789">
        <v>5500000</v>
      </c>
      <c r="G789" t="s">
        <v>2157</v>
      </c>
      <c r="H789" s="1">
        <v>44551</v>
      </c>
    </row>
    <row r="790" spans="1:8" x14ac:dyDescent="0.25">
      <c r="A790" t="s">
        <v>1690</v>
      </c>
      <c r="B790" t="s">
        <v>2259</v>
      </c>
      <c r="C790" t="s">
        <v>1691</v>
      </c>
      <c r="D790" t="s">
        <v>2123</v>
      </c>
      <c r="E790" t="s">
        <v>2130</v>
      </c>
      <c r="F790">
        <v>13000000</v>
      </c>
      <c r="G790" t="s">
        <v>2198</v>
      </c>
      <c r="H790" s="1">
        <v>43962</v>
      </c>
    </row>
    <row r="791" spans="1:8" x14ac:dyDescent="0.25">
      <c r="A791" t="s">
        <v>1692</v>
      </c>
      <c r="B791" t="s">
        <v>2143</v>
      </c>
      <c r="C791" t="s">
        <v>1693</v>
      </c>
      <c r="D791" t="s">
        <v>2133</v>
      </c>
      <c r="E791" t="s">
        <v>2124</v>
      </c>
      <c r="F791">
        <v>13000000</v>
      </c>
      <c r="G791" t="s">
        <v>2204</v>
      </c>
      <c r="H791" s="1">
        <v>44936</v>
      </c>
    </row>
    <row r="792" spans="1:8" x14ac:dyDescent="0.25">
      <c r="A792" t="s">
        <v>1694</v>
      </c>
      <c r="B792" t="s">
        <v>2379</v>
      </c>
      <c r="C792" t="s">
        <v>1695</v>
      </c>
      <c r="D792" t="s">
        <v>2133</v>
      </c>
      <c r="E792" t="s">
        <v>2134</v>
      </c>
      <c r="F792">
        <v>10500000</v>
      </c>
      <c r="G792" t="s">
        <v>2227</v>
      </c>
      <c r="H792" s="1">
        <v>44137</v>
      </c>
    </row>
    <row r="793" spans="1:8" x14ac:dyDescent="0.25">
      <c r="A793" t="s">
        <v>1696</v>
      </c>
      <c r="B793" t="s">
        <v>2264</v>
      </c>
      <c r="C793" t="s">
        <v>1697</v>
      </c>
      <c r="D793" t="s">
        <v>2144</v>
      </c>
      <c r="E793" t="s">
        <v>2124</v>
      </c>
      <c r="F793">
        <v>6500000</v>
      </c>
      <c r="G793" t="s">
        <v>2196</v>
      </c>
      <c r="H793" s="1">
        <v>44566</v>
      </c>
    </row>
    <row r="794" spans="1:8" x14ac:dyDescent="0.25">
      <c r="A794" t="s">
        <v>91</v>
      </c>
      <c r="B794" t="s">
        <v>2296</v>
      </c>
      <c r="C794" t="s">
        <v>95</v>
      </c>
      <c r="D794" t="s">
        <v>2133</v>
      </c>
      <c r="E794" t="s">
        <v>2120</v>
      </c>
      <c r="F794">
        <v>10500000</v>
      </c>
      <c r="G794" t="s">
        <v>2151</v>
      </c>
      <c r="H794" s="1">
        <v>45922</v>
      </c>
    </row>
    <row r="795" spans="1:8" x14ac:dyDescent="0.25">
      <c r="A795" t="s">
        <v>1698</v>
      </c>
      <c r="B795" t="s">
        <v>2267</v>
      </c>
      <c r="C795" t="s">
        <v>1699</v>
      </c>
      <c r="D795" t="s">
        <v>2129</v>
      </c>
      <c r="E795" t="s">
        <v>2120</v>
      </c>
      <c r="F795">
        <v>6500000</v>
      </c>
      <c r="G795" t="s">
        <v>2165</v>
      </c>
      <c r="H795" s="1">
        <v>45493</v>
      </c>
    </row>
    <row r="796" spans="1:8" x14ac:dyDescent="0.25">
      <c r="A796" t="s">
        <v>1700</v>
      </c>
      <c r="B796" t="s">
        <v>2183</v>
      </c>
      <c r="C796" t="s">
        <v>1701</v>
      </c>
      <c r="D796" t="s">
        <v>2137</v>
      </c>
      <c r="E796" t="s">
        <v>2120</v>
      </c>
      <c r="F796">
        <v>10500000</v>
      </c>
      <c r="G796" t="s">
        <v>2153</v>
      </c>
      <c r="H796" s="1">
        <v>45357</v>
      </c>
    </row>
    <row r="797" spans="1:8" x14ac:dyDescent="0.25">
      <c r="A797" t="s">
        <v>1702</v>
      </c>
      <c r="B797" t="s">
        <v>2286</v>
      </c>
      <c r="C797" t="s">
        <v>1703</v>
      </c>
      <c r="D797" t="s">
        <v>2137</v>
      </c>
      <c r="E797" t="s">
        <v>2130</v>
      </c>
      <c r="F797">
        <v>6500000</v>
      </c>
      <c r="G797" t="s">
        <v>2210</v>
      </c>
      <c r="H797" s="1">
        <v>43851</v>
      </c>
    </row>
    <row r="798" spans="1:8" x14ac:dyDescent="0.25">
      <c r="A798" t="s">
        <v>1704</v>
      </c>
      <c r="B798" t="s">
        <v>2167</v>
      </c>
      <c r="C798" t="s">
        <v>1705</v>
      </c>
      <c r="D798" t="s">
        <v>2144</v>
      </c>
      <c r="E798" t="s">
        <v>2120</v>
      </c>
      <c r="F798">
        <v>10500000</v>
      </c>
      <c r="G798" t="s">
        <v>2140</v>
      </c>
      <c r="H798" s="1">
        <v>45888</v>
      </c>
    </row>
    <row r="799" spans="1:8" x14ac:dyDescent="0.25">
      <c r="A799" t="s">
        <v>1706</v>
      </c>
      <c r="B799" t="s">
        <v>2200</v>
      </c>
      <c r="C799" t="s">
        <v>1707</v>
      </c>
      <c r="D799" t="s">
        <v>2119</v>
      </c>
      <c r="E799" t="s">
        <v>2130</v>
      </c>
      <c r="F799">
        <v>13000000</v>
      </c>
      <c r="G799" t="s">
        <v>2250</v>
      </c>
      <c r="H799" s="1">
        <v>43932</v>
      </c>
    </row>
    <row r="800" spans="1:8" x14ac:dyDescent="0.25">
      <c r="A800" t="s">
        <v>1708</v>
      </c>
      <c r="B800" t="s">
        <v>2298</v>
      </c>
      <c r="C800" t="s">
        <v>1709</v>
      </c>
      <c r="D800" t="s">
        <v>2144</v>
      </c>
      <c r="E800" t="s">
        <v>2130</v>
      </c>
      <c r="F800">
        <v>8000000</v>
      </c>
      <c r="G800" t="s">
        <v>2168</v>
      </c>
      <c r="H800" s="1">
        <v>44643</v>
      </c>
    </row>
    <row r="801" spans="1:8" x14ac:dyDescent="0.25">
      <c r="A801" t="s">
        <v>1710</v>
      </c>
      <c r="B801" t="s">
        <v>2241</v>
      </c>
      <c r="C801" t="s">
        <v>1711</v>
      </c>
      <c r="D801" t="s">
        <v>2133</v>
      </c>
      <c r="E801" t="s">
        <v>2134</v>
      </c>
      <c r="F801">
        <v>8000000</v>
      </c>
      <c r="G801" t="s">
        <v>2265</v>
      </c>
      <c r="H801" s="1">
        <v>45691</v>
      </c>
    </row>
    <row r="802" spans="1:8" x14ac:dyDescent="0.25">
      <c r="A802" t="s">
        <v>1712</v>
      </c>
      <c r="B802" t="s">
        <v>2160</v>
      </c>
      <c r="C802" t="s">
        <v>1713</v>
      </c>
      <c r="D802" t="s">
        <v>2133</v>
      </c>
      <c r="E802" t="s">
        <v>2130</v>
      </c>
      <c r="F802">
        <v>8000000</v>
      </c>
      <c r="G802" t="s">
        <v>2138</v>
      </c>
      <c r="H802" s="1">
        <v>44175</v>
      </c>
    </row>
    <row r="803" spans="1:8" x14ac:dyDescent="0.25">
      <c r="A803" t="s">
        <v>1714</v>
      </c>
      <c r="B803" t="s">
        <v>2236</v>
      </c>
      <c r="C803" t="s">
        <v>1715</v>
      </c>
      <c r="D803" t="s">
        <v>2119</v>
      </c>
      <c r="E803" t="s">
        <v>2130</v>
      </c>
      <c r="F803">
        <v>6500000</v>
      </c>
      <c r="G803" t="s">
        <v>2277</v>
      </c>
      <c r="H803" s="1">
        <v>45633</v>
      </c>
    </row>
    <row r="804" spans="1:8" x14ac:dyDescent="0.25">
      <c r="A804" t="s">
        <v>1716</v>
      </c>
      <c r="B804" t="s">
        <v>2281</v>
      </c>
      <c r="C804" t="s">
        <v>1717</v>
      </c>
      <c r="D804" t="s">
        <v>2137</v>
      </c>
      <c r="E804" t="s">
        <v>2120</v>
      </c>
      <c r="F804">
        <v>13000000</v>
      </c>
      <c r="G804" t="s">
        <v>2172</v>
      </c>
      <c r="H804" s="1">
        <v>45418</v>
      </c>
    </row>
    <row r="805" spans="1:8" x14ac:dyDescent="0.25">
      <c r="A805" t="s">
        <v>1718</v>
      </c>
      <c r="B805" t="s">
        <v>2241</v>
      </c>
      <c r="C805" t="s">
        <v>1719</v>
      </c>
      <c r="D805" t="s">
        <v>2129</v>
      </c>
      <c r="E805" t="s">
        <v>2149</v>
      </c>
      <c r="F805">
        <v>5500000</v>
      </c>
      <c r="G805" t="s">
        <v>2219</v>
      </c>
      <c r="H805" s="1">
        <v>44727</v>
      </c>
    </row>
    <row r="806" spans="1:8" x14ac:dyDescent="0.25">
      <c r="A806" t="s">
        <v>1720</v>
      </c>
      <c r="B806" t="s">
        <v>2341</v>
      </c>
      <c r="C806" t="s">
        <v>1721</v>
      </c>
      <c r="D806" t="s">
        <v>2133</v>
      </c>
      <c r="E806" t="s">
        <v>2120</v>
      </c>
      <c r="F806">
        <v>6500000</v>
      </c>
      <c r="G806" t="s">
        <v>2159</v>
      </c>
      <c r="H806" s="1">
        <v>44584</v>
      </c>
    </row>
    <row r="807" spans="1:8" x14ac:dyDescent="0.25">
      <c r="A807" t="s">
        <v>1722</v>
      </c>
      <c r="B807" t="s">
        <v>2118</v>
      </c>
      <c r="C807" t="s">
        <v>1723</v>
      </c>
      <c r="D807" t="s">
        <v>2144</v>
      </c>
      <c r="E807" t="s">
        <v>2134</v>
      </c>
      <c r="F807">
        <v>10500000</v>
      </c>
      <c r="G807" t="s">
        <v>2157</v>
      </c>
      <c r="H807" s="1">
        <v>44543</v>
      </c>
    </row>
    <row r="808" spans="1:8" x14ac:dyDescent="0.25">
      <c r="A808" t="s">
        <v>1724</v>
      </c>
      <c r="B808" t="s">
        <v>2267</v>
      </c>
      <c r="C808" t="s">
        <v>1725</v>
      </c>
      <c r="D808" t="s">
        <v>2119</v>
      </c>
      <c r="E808" t="s">
        <v>2124</v>
      </c>
      <c r="F808">
        <v>5500000</v>
      </c>
      <c r="G808" t="s">
        <v>2246</v>
      </c>
      <c r="H808" s="1">
        <v>44519</v>
      </c>
    </row>
    <row r="809" spans="1:8" x14ac:dyDescent="0.25">
      <c r="A809" t="s">
        <v>1726</v>
      </c>
      <c r="B809" t="s">
        <v>2173</v>
      </c>
      <c r="C809" t="s">
        <v>1727</v>
      </c>
      <c r="D809" t="s">
        <v>18</v>
      </c>
      <c r="E809" t="s">
        <v>2120</v>
      </c>
      <c r="F809">
        <v>8000000</v>
      </c>
      <c r="G809" t="s">
        <v>2172</v>
      </c>
      <c r="H809" s="1">
        <v>44975</v>
      </c>
    </row>
    <row r="810" spans="1:8" x14ac:dyDescent="0.25">
      <c r="A810" t="s">
        <v>1728</v>
      </c>
      <c r="B810" t="s">
        <v>2181</v>
      </c>
      <c r="C810" t="s">
        <v>1729</v>
      </c>
      <c r="D810" t="s">
        <v>2119</v>
      </c>
      <c r="E810" t="s">
        <v>2120</v>
      </c>
      <c r="F810">
        <v>10500000</v>
      </c>
      <c r="G810" t="s">
        <v>2277</v>
      </c>
      <c r="H810" s="1">
        <v>45437</v>
      </c>
    </row>
    <row r="811" spans="1:8" x14ac:dyDescent="0.25">
      <c r="A811" t="s">
        <v>1730</v>
      </c>
      <c r="B811" t="s">
        <v>2368</v>
      </c>
      <c r="C811" t="s">
        <v>1731</v>
      </c>
      <c r="D811" t="s">
        <v>2133</v>
      </c>
      <c r="E811" t="s">
        <v>2130</v>
      </c>
      <c r="F811">
        <v>6500000</v>
      </c>
      <c r="G811" t="s">
        <v>2380</v>
      </c>
      <c r="H811" s="1">
        <v>44845</v>
      </c>
    </row>
    <row r="812" spans="1:8" x14ac:dyDescent="0.25">
      <c r="A812" t="s">
        <v>1732</v>
      </c>
      <c r="B812" t="s">
        <v>2212</v>
      </c>
      <c r="C812" t="s">
        <v>1733</v>
      </c>
      <c r="D812" t="s">
        <v>2137</v>
      </c>
      <c r="E812" t="s">
        <v>2120</v>
      </c>
      <c r="F812">
        <v>10500000</v>
      </c>
      <c r="G812" t="s">
        <v>2170</v>
      </c>
      <c r="H812" s="1">
        <v>44277</v>
      </c>
    </row>
    <row r="813" spans="1:8" x14ac:dyDescent="0.25">
      <c r="A813" t="s">
        <v>1734</v>
      </c>
      <c r="B813" t="s">
        <v>2208</v>
      </c>
      <c r="C813" t="s">
        <v>1735</v>
      </c>
      <c r="D813" t="s">
        <v>2133</v>
      </c>
      <c r="E813" t="s">
        <v>2134</v>
      </c>
      <c r="F813">
        <v>13000000</v>
      </c>
      <c r="G813" t="s">
        <v>2165</v>
      </c>
      <c r="H813" s="1">
        <v>45297</v>
      </c>
    </row>
    <row r="814" spans="1:8" x14ac:dyDescent="0.25">
      <c r="A814" t="s">
        <v>1736</v>
      </c>
      <c r="B814" t="s">
        <v>2296</v>
      </c>
      <c r="C814" t="s">
        <v>1737</v>
      </c>
      <c r="D814" t="s">
        <v>2137</v>
      </c>
      <c r="E814" t="s">
        <v>2149</v>
      </c>
      <c r="F814">
        <v>6500000</v>
      </c>
      <c r="G814" t="s">
        <v>2203</v>
      </c>
      <c r="H814" s="1">
        <v>45954</v>
      </c>
    </row>
    <row r="815" spans="1:8" x14ac:dyDescent="0.25">
      <c r="A815" t="s">
        <v>1738</v>
      </c>
      <c r="B815" t="s">
        <v>2223</v>
      </c>
      <c r="C815" t="s">
        <v>1739</v>
      </c>
      <c r="D815" t="s">
        <v>2144</v>
      </c>
      <c r="E815" t="s">
        <v>2130</v>
      </c>
      <c r="F815">
        <v>8000000</v>
      </c>
      <c r="G815" t="s">
        <v>2153</v>
      </c>
      <c r="H815" s="1">
        <v>45934</v>
      </c>
    </row>
    <row r="816" spans="1:8" x14ac:dyDescent="0.25">
      <c r="A816" t="s">
        <v>1740</v>
      </c>
      <c r="B816" t="s">
        <v>2381</v>
      </c>
      <c r="C816" t="s">
        <v>1741</v>
      </c>
      <c r="D816" t="s">
        <v>2137</v>
      </c>
      <c r="E816" t="s">
        <v>2130</v>
      </c>
      <c r="F816">
        <v>6500000</v>
      </c>
      <c r="G816" t="s">
        <v>2163</v>
      </c>
      <c r="H816" s="1">
        <v>45429</v>
      </c>
    </row>
    <row r="817" spans="1:8" x14ac:dyDescent="0.25">
      <c r="A817" t="s">
        <v>1742</v>
      </c>
      <c r="B817" t="s">
        <v>2174</v>
      </c>
      <c r="C817" t="s">
        <v>1743</v>
      </c>
      <c r="D817" t="s">
        <v>2133</v>
      </c>
      <c r="E817" t="s">
        <v>2134</v>
      </c>
      <c r="F817">
        <v>6500000</v>
      </c>
      <c r="G817" t="s">
        <v>2131</v>
      </c>
      <c r="H817" s="1">
        <v>45060</v>
      </c>
    </row>
    <row r="818" spans="1:8" x14ac:dyDescent="0.25">
      <c r="A818" t="s">
        <v>1744</v>
      </c>
      <c r="B818" t="s">
        <v>2238</v>
      </c>
      <c r="C818" t="s">
        <v>1745</v>
      </c>
      <c r="D818" t="s">
        <v>2133</v>
      </c>
      <c r="E818" t="s">
        <v>2130</v>
      </c>
      <c r="F818">
        <v>6500000</v>
      </c>
      <c r="G818" t="s">
        <v>2191</v>
      </c>
      <c r="H818" s="1">
        <v>44531</v>
      </c>
    </row>
    <row r="819" spans="1:8" x14ac:dyDescent="0.25">
      <c r="A819" t="s">
        <v>1746</v>
      </c>
      <c r="B819" t="s">
        <v>2382</v>
      </c>
      <c r="C819" t="s">
        <v>1747</v>
      </c>
      <c r="D819" t="s">
        <v>2137</v>
      </c>
      <c r="E819" t="s">
        <v>2149</v>
      </c>
      <c r="F819">
        <v>13000000</v>
      </c>
      <c r="G819" t="s">
        <v>2177</v>
      </c>
      <c r="H819" s="1">
        <v>45176</v>
      </c>
    </row>
    <row r="820" spans="1:8" x14ac:dyDescent="0.25">
      <c r="A820" t="s">
        <v>1748</v>
      </c>
      <c r="B820" t="s">
        <v>2232</v>
      </c>
      <c r="C820" t="s">
        <v>1749</v>
      </c>
      <c r="D820" t="s">
        <v>2144</v>
      </c>
      <c r="E820" t="s">
        <v>2149</v>
      </c>
      <c r="F820">
        <v>13000000</v>
      </c>
      <c r="G820" t="s">
        <v>2138</v>
      </c>
      <c r="H820" s="1">
        <v>45996</v>
      </c>
    </row>
    <row r="821" spans="1:8" x14ac:dyDescent="0.25">
      <c r="A821" t="s">
        <v>1750</v>
      </c>
      <c r="B821" t="s">
        <v>2217</v>
      </c>
      <c r="C821" t="s">
        <v>1751</v>
      </c>
      <c r="D821" t="s">
        <v>2129</v>
      </c>
      <c r="E821" t="s">
        <v>2130</v>
      </c>
      <c r="F821">
        <v>6500000</v>
      </c>
      <c r="G821" t="s">
        <v>2198</v>
      </c>
      <c r="H821" s="1">
        <v>44432</v>
      </c>
    </row>
    <row r="822" spans="1:8" x14ac:dyDescent="0.25">
      <c r="A822" t="s">
        <v>1752</v>
      </c>
      <c r="B822" t="s">
        <v>2190</v>
      </c>
      <c r="C822" t="s">
        <v>1753</v>
      </c>
      <c r="D822" t="s">
        <v>2123</v>
      </c>
      <c r="E822" t="s">
        <v>2124</v>
      </c>
      <c r="F822">
        <v>6500000</v>
      </c>
      <c r="G822" t="s">
        <v>2142</v>
      </c>
      <c r="H822" s="1">
        <v>44746</v>
      </c>
    </row>
    <row r="823" spans="1:8" x14ac:dyDescent="0.25">
      <c r="A823" t="s">
        <v>1754</v>
      </c>
      <c r="B823" t="s">
        <v>2294</v>
      </c>
      <c r="C823" t="s">
        <v>1755</v>
      </c>
      <c r="D823" t="s">
        <v>14</v>
      </c>
      <c r="E823" t="s">
        <v>2124</v>
      </c>
      <c r="F823">
        <v>10500000</v>
      </c>
      <c r="G823" t="s">
        <v>2157</v>
      </c>
      <c r="H823" s="1">
        <v>45359</v>
      </c>
    </row>
    <row r="824" spans="1:8" x14ac:dyDescent="0.25">
      <c r="A824" t="s">
        <v>1756</v>
      </c>
      <c r="B824" t="s">
        <v>2173</v>
      </c>
      <c r="C824" t="s">
        <v>1757</v>
      </c>
      <c r="D824" t="s">
        <v>2144</v>
      </c>
      <c r="E824" t="s">
        <v>2124</v>
      </c>
      <c r="F824">
        <v>6500000</v>
      </c>
      <c r="G824" t="s">
        <v>2191</v>
      </c>
      <c r="H824" s="1">
        <v>45385</v>
      </c>
    </row>
    <row r="825" spans="1:8" x14ac:dyDescent="0.25">
      <c r="A825" t="s">
        <v>1758</v>
      </c>
      <c r="B825" t="s">
        <v>2141</v>
      </c>
      <c r="C825" t="s">
        <v>1759</v>
      </c>
      <c r="D825" t="s">
        <v>2119</v>
      </c>
      <c r="E825" t="s">
        <v>2130</v>
      </c>
      <c r="F825">
        <v>8000000</v>
      </c>
      <c r="G825" t="s">
        <v>2127</v>
      </c>
      <c r="H825" s="1">
        <v>44793</v>
      </c>
    </row>
    <row r="826" spans="1:8" x14ac:dyDescent="0.25">
      <c r="A826" t="s">
        <v>1760</v>
      </c>
      <c r="B826" t="s">
        <v>2253</v>
      </c>
      <c r="C826" t="s">
        <v>1761</v>
      </c>
      <c r="D826" t="s">
        <v>2123</v>
      </c>
      <c r="E826" t="s">
        <v>2124</v>
      </c>
      <c r="F826">
        <v>6500000</v>
      </c>
      <c r="G826" t="s">
        <v>2250</v>
      </c>
      <c r="H826" s="1">
        <v>45969</v>
      </c>
    </row>
    <row r="827" spans="1:8" x14ac:dyDescent="0.25">
      <c r="A827" t="s">
        <v>1762</v>
      </c>
      <c r="B827" t="s">
        <v>2158</v>
      </c>
      <c r="C827" t="s">
        <v>1763</v>
      </c>
      <c r="D827" t="s">
        <v>2123</v>
      </c>
      <c r="E827" t="s">
        <v>2134</v>
      </c>
      <c r="F827">
        <v>6500000</v>
      </c>
      <c r="G827" t="s">
        <v>2219</v>
      </c>
      <c r="H827" s="1">
        <v>44506</v>
      </c>
    </row>
    <row r="828" spans="1:8" x14ac:dyDescent="0.25">
      <c r="A828" t="s">
        <v>1764</v>
      </c>
      <c r="B828" t="s">
        <v>2126</v>
      </c>
      <c r="C828" t="s">
        <v>1765</v>
      </c>
      <c r="D828" t="s">
        <v>2119</v>
      </c>
      <c r="E828" t="s">
        <v>2134</v>
      </c>
      <c r="F828">
        <v>6500000</v>
      </c>
      <c r="G828" t="s">
        <v>2157</v>
      </c>
      <c r="H828" s="1">
        <v>44390</v>
      </c>
    </row>
    <row r="829" spans="1:8" x14ac:dyDescent="0.25">
      <c r="A829" t="s">
        <v>1766</v>
      </c>
      <c r="B829" t="s">
        <v>2270</v>
      </c>
      <c r="C829" t="s">
        <v>1767</v>
      </c>
      <c r="D829" t="s">
        <v>2137</v>
      </c>
      <c r="E829" t="s">
        <v>2120</v>
      </c>
      <c r="F829">
        <v>5500000</v>
      </c>
      <c r="G829" t="s">
        <v>2175</v>
      </c>
      <c r="H829" s="1">
        <v>45902</v>
      </c>
    </row>
    <row r="830" spans="1:8" x14ac:dyDescent="0.25">
      <c r="A830" t="s">
        <v>1768</v>
      </c>
      <c r="B830" t="s">
        <v>2247</v>
      </c>
      <c r="C830" t="s">
        <v>1769</v>
      </c>
      <c r="D830" t="s">
        <v>2144</v>
      </c>
      <c r="E830" t="s">
        <v>2149</v>
      </c>
      <c r="F830">
        <v>6500000</v>
      </c>
      <c r="G830" t="s">
        <v>2203</v>
      </c>
      <c r="H830" s="1">
        <v>45419</v>
      </c>
    </row>
    <row r="831" spans="1:8" x14ac:dyDescent="0.25">
      <c r="A831" t="s">
        <v>1770</v>
      </c>
      <c r="B831" t="s">
        <v>2371</v>
      </c>
      <c r="C831" t="s">
        <v>1771</v>
      </c>
      <c r="D831" t="s">
        <v>2137</v>
      </c>
      <c r="E831" t="s">
        <v>2149</v>
      </c>
      <c r="F831">
        <v>6500000</v>
      </c>
      <c r="G831" t="s">
        <v>2240</v>
      </c>
      <c r="H831" s="1">
        <v>45942</v>
      </c>
    </row>
    <row r="832" spans="1:8" x14ac:dyDescent="0.25">
      <c r="A832" t="s">
        <v>1772</v>
      </c>
      <c r="B832" t="s">
        <v>2183</v>
      </c>
      <c r="C832" t="s">
        <v>1773</v>
      </c>
      <c r="D832" t="s">
        <v>14</v>
      </c>
      <c r="E832" t="s">
        <v>2134</v>
      </c>
      <c r="F832">
        <v>10500000</v>
      </c>
      <c r="G832" t="s">
        <v>2154</v>
      </c>
      <c r="H832" s="1">
        <v>45785</v>
      </c>
    </row>
    <row r="833" spans="1:8" x14ac:dyDescent="0.25">
      <c r="A833" t="s">
        <v>1774</v>
      </c>
      <c r="B833" t="s">
        <v>2209</v>
      </c>
      <c r="C833" t="s">
        <v>1775</v>
      </c>
      <c r="D833" t="s">
        <v>2144</v>
      </c>
      <c r="E833" t="s">
        <v>2130</v>
      </c>
      <c r="F833">
        <v>8000000</v>
      </c>
      <c r="G833" t="s">
        <v>2165</v>
      </c>
      <c r="H833" s="1">
        <v>45158</v>
      </c>
    </row>
    <row r="834" spans="1:8" x14ac:dyDescent="0.25">
      <c r="A834" t="s">
        <v>1776</v>
      </c>
      <c r="B834" t="s">
        <v>2208</v>
      </c>
      <c r="C834" t="s">
        <v>1777</v>
      </c>
      <c r="D834" t="s">
        <v>2144</v>
      </c>
      <c r="E834" t="s">
        <v>2120</v>
      </c>
      <c r="F834">
        <v>10500000</v>
      </c>
      <c r="G834" t="s">
        <v>2361</v>
      </c>
      <c r="H834" s="1">
        <v>44586</v>
      </c>
    </row>
    <row r="835" spans="1:8" x14ac:dyDescent="0.25">
      <c r="A835" t="s">
        <v>1778</v>
      </c>
      <c r="B835" t="s">
        <v>2185</v>
      </c>
      <c r="C835" t="s">
        <v>1779</v>
      </c>
      <c r="D835" t="s">
        <v>2123</v>
      </c>
      <c r="E835" t="s">
        <v>2120</v>
      </c>
      <c r="F835">
        <v>8000000</v>
      </c>
      <c r="G835" t="s">
        <v>2210</v>
      </c>
      <c r="H835" s="1">
        <v>45130</v>
      </c>
    </row>
    <row r="836" spans="1:8" x14ac:dyDescent="0.25">
      <c r="A836" t="s">
        <v>1780</v>
      </c>
      <c r="B836" t="s">
        <v>2363</v>
      </c>
      <c r="C836" t="s">
        <v>1781</v>
      </c>
      <c r="D836" t="s">
        <v>2123</v>
      </c>
      <c r="E836" t="s">
        <v>2149</v>
      </c>
      <c r="F836">
        <v>8000000</v>
      </c>
      <c r="G836" t="s">
        <v>2168</v>
      </c>
      <c r="H836" s="1">
        <v>44427</v>
      </c>
    </row>
    <row r="837" spans="1:8" x14ac:dyDescent="0.25">
      <c r="A837" t="s">
        <v>1782</v>
      </c>
      <c r="B837" t="s">
        <v>2293</v>
      </c>
      <c r="C837" t="s">
        <v>1783</v>
      </c>
      <c r="D837" t="s">
        <v>33</v>
      </c>
      <c r="E837" t="s">
        <v>2149</v>
      </c>
      <c r="F837">
        <v>8000000</v>
      </c>
      <c r="G837" t="s">
        <v>2219</v>
      </c>
      <c r="H837" s="1">
        <v>45035</v>
      </c>
    </row>
    <row r="838" spans="1:8" x14ac:dyDescent="0.25">
      <c r="A838" t="s">
        <v>1784</v>
      </c>
      <c r="B838" t="s">
        <v>2255</v>
      </c>
      <c r="C838" t="s">
        <v>1785</v>
      </c>
      <c r="D838" t="s">
        <v>2123</v>
      </c>
      <c r="E838" t="s">
        <v>2120</v>
      </c>
      <c r="F838">
        <v>13000000</v>
      </c>
      <c r="G838" t="s">
        <v>2168</v>
      </c>
      <c r="H838" s="1">
        <v>44292</v>
      </c>
    </row>
    <row r="839" spans="1:8" x14ac:dyDescent="0.25">
      <c r="A839" t="s">
        <v>1786</v>
      </c>
      <c r="B839" t="s">
        <v>2248</v>
      </c>
      <c r="C839" t="s">
        <v>1787</v>
      </c>
      <c r="D839" t="s">
        <v>2137</v>
      </c>
      <c r="E839" t="s">
        <v>2149</v>
      </c>
      <c r="F839">
        <v>6500000</v>
      </c>
      <c r="G839" t="s">
        <v>2145</v>
      </c>
      <c r="H839" s="1">
        <v>43850</v>
      </c>
    </row>
    <row r="840" spans="1:8" x14ac:dyDescent="0.25">
      <c r="A840" t="s">
        <v>1788</v>
      </c>
      <c r="B840" t="s">
        <v>2195</v>
      </c>
      <c r="C840" t="s">
        <v>1789</v>
      </c>
      <c r="D840" t="s">
        <v>2129</v>
      </c>
      <c r="E840" t="s">
        <v>2134</v>
      </c>
      <c r="F840">
        <v>13000000</v>
      </c>
      <c r="G840" t="s">
        <v>2246</v>
      </c>
      <c r="H840" s="1">
        <v>44070</v>
      </c>
    </row>
    <row r="841" spans="1:8" x14ac:dyDescent="0.25">
      <c r="A841" t="s">
        <v>1790</v>
      </c>
      <c r="B841" t="s">
        <v>2141</v>
      </c>
      <c r="C841" t="s">
        <v>1791</v>
      </c>
      <c r="D841" t="s">
        <v>2119</v>
      </c>
      <c r="E841" t="s">
        <v>2124</v>
      </c>
      <c r="F841">
        <v>13000000</v>
      </c>
      <c r="G841" t="s">
        <v>2204</v>
      </c>
      <c r="H841" s="1">
        <v>45054</v>
      </c>
    </row>
    <row r="842" spans="1:8" x14ac:dyDescent="0.25">
      <c r="A842" t="s">
        <v>1792</v>
      </c>
      <c r="B842" t="s">
        <v>2156</v>
      </c>
      <c r="C842" t="s">
        <v>1793</v>
      </c>
      <c r="D842" t="s">
        <v>2129</v>
      </c>
      <c r="E842" t="s">
        <v>2124</v>
      </c>
      <c r="F842">
        <v>10500000</v>
      </c>
      <c r="G842" t="s">
        <v>2213</v>
      </c>
      <c r="H842" s="1">
        <v>46005</v>
      </c>
    </row>
    <row r="843" spans="1:8" x14ac:dyDescent="0.25">
      <c r="A843" t="s">
        <v>1794</v>
      </c>
      <c r="B843" t="s">
        <v>2341</v>
      </c>
      <c r="C843" t="s">
        <v>1795</v>
      </c>
      <c r="D843" t="s">
        <v>2144</v>
      </c>
      <c r="E843" t="s">
        <v>2130</v>
      </c>
      <c r="F843">
        <v>6500000</v>
      </c>
      <c r="G843" t="s">
        <v>2159</v>
      </c>
      <c r="H843" s="1">
        <v>45602</v>
      </c>
    </row>
    <row r="844" spans="1:8" x14ac:dyDescent="0.25">
      <c r="A844" t="s">
        <v>1796</v>
      </c>
      <c r="B844" t="s">
        <v>2221</v>
      </c>
      <c r="C844" t="s">
        <v>1797</v>
      </c>
      <c r="D844" t="s">
        <v>2137</v>
      </c>
      <c r="E844" t="s">
        <v>2124</v>
      </c>
      <c r="F844">
        <v>5500000</v>
      </c>
      <c r="G844" t="s">
        <v>2265</v>
      </c>
      <c r="H844" s="1">
        <v>44784</v>
      </c>
    </row>
    <row r="845" spans="1:8" x14ac:dyDescent="0.25">
      <c r="A845" t="s">
        <v>1798</v>
      </c>
      <c r="B845" t="s">
        <v>2132</v>
      </c>
      <c r="C845" t="s">
        <v>1799</v>
      </c>
      <c r="D845" t="s">
        <v>2133</v>
      </c>
      <c r="E845" t="s">
        <v>2130</v>
      </c>
      <c r="F845">
        <v>6500000</v>
      </c>
      <c r="G845" t="s">
        <v>2184</v>
      </c>
      <c r="H845" s="1">
        <v>45154</v>
      </c>
    </row>
    <row r="846" spans="1:8" x14ac:dyDescent="0.25">
      <c r="A846" t="s">
        <v>1800</v>
      </c>
      <c r="B846" t="s">
        <v>2285</v>
      </c>
      <c r="C846" t="s">
        <v>1801</v>
      </c>
      <c r="D846" t="s">
        <v>2133</v>
      </c>
      <c r="E846" t="s">
        <v>2149</v>
      </c>
      <c r="F846">
        <v>13000000</v>
      </c>
      <c r="G846" t="s">
        <v>2127</v>
      </c>
      <c r="H846" s="1">
        <v>44253</v>
      </c>
    </row>
    <row r="847" spans="1:8" x14ac:dyDescent="0.25">
      <c r="A847" t="s">
        <v>1802</v>
      </c>
      <c r="B847" t="s">
        <v>2307</v>
      </c>
      <c r="C847" t="s">
        <v>1803</v>
      </c>
      <c r="D847" t="s">
        <v>2123</v>
      </c>
      <c r="E847" t="s">
        <v>2134</v>
      </c>
      <c r="F847">
        <v>5500000</v>
      </c>
      <c r="G847" t="s">
        <v>2121</v>
      </c>
      <c r="H847" s="1">
        <v>44953</v>
      </c>
    </row>
    <row r="848" spans="1:8" x14ac:dyDescent="0.25">
      <c r="A848" t="s">
        <v>1804</v>
      </c>
      <c r="B848" t="s">
        <v>2118</v>
      </c>
      <c r="C848" t="s">
        <v>1805</v>
      </c>
      <c r="D848" t="s">
        <v>2119</v>
      </c>
      <c r="E848" t="s">
        <v>2134</v>
      </c>
      <c r="F848">
        <v>8000000</v>
      </c>
      <c r="G848" t="s">
        <v>2138</v>
      </c>
      <c r="H848" s="1">
        <v>45372</v>
      </c>
    </row>
    <row r="849" spans="1:8" x14ac:dyDescent="0.25">
      <c r="A849" t="s">
        <v>1806</v>
      </c>
      <c r="B849" t="s">
        <v>2218</v>
      </c>
      <c r="C849" t="s">
        <v>1807</v>
      </c>
      <c r="D849" t="s">
        <v>2123</v>
      </c>
      <c r="E849" t="s">
        <v>2124</v>
      </c>
      <c r="F849">
        <v>10500000</v>
      </c>
      <c r="G849" t="s">
        <v>2203</v>
      </c>
      <c r="H849" s="1">
        <v>45764</v>
      </c>
    </row>
    <row r="850" spans="1:8" x14ac:dyDescent="0.25">
      <c r="A850" t="s">
        <v>1808</v>
      </c>
      <c r="B850" t="s">
        <v>2183</v>
      </c>
      <c r="C850" t="s">
        <v>1809</v>
      </c>
      <c r="D850" t="s">
        <v>2137</v>
      </c>
      <c r="E850" t="s">
        <v>2124</v>
      </c>
      <c r="F850">
        <v>13000000</v>
      </c>
      <c r="G850" t="s">
        <v>2127</v>
      </c>
      <c r="H850" s="1">
        <v>45116</v>
      </c>
    </row>
    <row r="851" spans="1:8" x14ac:dyDescent="0.25">
      <c r="A851" t="s">
        <v>1810</v>
      </c>
      <c r="B851" t="s">
        <v>2281</v>
      </c>
      <c r="C851" t="s">
        <v>1811</v>
      </c>
      <c r="D851" t="s">
        <v>2123</v>
      </c>
      <c r="E851" t="s">
        <v>2149</v>
      </c>
      <c r="F851">
        <v>6500000</v>
      </c>
      <c r="G851" t="s">
        <v>2121</v>
      </c>
      <c r="H851" s="1">
        <v>45358</v>
      </c>
    </row>
    <row r="852" spans="1:8" x14ac:dyDescent="0.25">
      <c r="A852" t="s">
        <v>1812</v>
      </c>
      <c r="B852" t="s">
        <v>2179</v>
      </c>
      <c r="C852" t="s">
        <v>1813</v>
      </c>
      <c r="D852" t="s">
        <v>2123</v>
      </c>
      <c r="E852" t="s">
        <v>2120</v>
      </c>
      <c r="F852">
        <v>5500000</v>
      </c>
      <c r="G852" t="s">
        <v>2203</v>
      </c>
      <c r="H852" s="1">
        <v>44959</v>
      </c>
    </row>
    <row r="853" spans="1:8" x14ac:dyDescent="0.25">
      <c r="A853" t="s">
        <v>1814</v>
      </c>
      <c r="B853" t="s">
        <v>2217</v>
      </c>
      <c r="C853" t="s">
        <v>1815</v>
      </c>
      <c r="D853" t="s">
        <v>2133</v>
      </c>
      <c r="E853" t="s">
        <v>2149</v>
      </c>
      <c r="F853">
        <v>5500000</v>
      </c>
      <c r="G853" t="s">
        <v>2138</v>
      </c>
      <c r="H853" s="1">
        <v>44702</v>
      </c>
    </row>
    <row r="854" spans="1:8" x14ac:dyDescent="0.25">
      <c r="A854" t="s">
        <v>1816</v>
      </c>
      <c r="B854" t="s">
        <v>2278</v>
      </c>
      <c r="C854" t="s">
        <v>1817</v>
      </c>
      <c r="D854" t="s">
        <v>2137</v>
      </c>
      <c r="E854" t="s">
        <v>2149</v>
      </c>
      <c r="F854">
        <v>6500000</v>
      </c>
      <c r="G854" t="s">
        <v>2240</v>
      </c>
      <c r="H854" s="1">
        <v>45132</v>
      </c>
    </row>
    <row r="855" spans="1:8" x14ac:dyDescent="0.25">
      <c r="A855" t="s">
        <v>106</v>
      </c>
      <c r="B855" t="s">
        <v>2205</v>
      </c>
      <c r="C855" t="s">
        <v>111</v>
      </c>
      <c r="D855" t="s">
        <v>37</v>
      </c>
      <c r="E855" t="s">
        <v>2149</v>
      </c>
      <c r="F855">
        <v>6500000</v>
      </c>
      <c r="G855" t="s">
        <v>2196</v>
      </c>
      <c r="H855" s="1">
        <v>45978</v>
      </c>
    </row>
    <row r="856" spans="1:8" x14ac:dyDescent="0.25">
      <c r="A856" t="s">
        <v>1818</v>
      </c>
      <c r="B856" t="s">
        <v>2304</v>
      </c>
      <c r="C856" t="s">
        <v>1819</v>
      </c>
      <c r="D856" t="s">
        <v>2133</v>
      </c>
      <c r="E856" t="s">
        <v>2120</v>
      </c>
      <c r="F856">
        <v>5500000</v>
      </c>
      <c r="G856" t="s">
        <v>2201</v>
      </c>
      <c r="H856" s="1">
        <v>45890</v>
      </c>
    </row>
    <row r="857" spans="1:8" x14ac:dyDescent="0.25">
      <c r="A857" t="s">
        <v>1820</v>
      </c>
      <c r="B857" t="s">
        <v>2268</v>
      </c>
      <c r="C857" t="s">
        <v>1821</v>
      </c>
      <c r="D857" t="s">
        <v>2123</v>
      </c>
      <c r="E857" t="s">
        <v>2130</v>
      </c>
      <c r="F857">
        <v>5500000</v>
      </c>
      <c r="G857" t="s">
        <v>2227</v>
      </c>
      <c r="H857" s="1">
        <v>45401</v>
      </c>
    </row>
    <row r="858" spans="1:8" x14ac:dyDescent="0.25">
      <c r="A858" t="s">
        <v>1822</v>
      </c>
      <c r="B858" t="s">
        <v>2272</v>
      </c>
      <c r="C858" t="s">
        <v>1823</v>
      </c>
      <c r="D858" t="s">
        <v>2133</v>
      </c>
      <c r="E858" t="s">
        <v>2124</v>
      </c>
      <c r="F858">
        <v>5500000</v>
      </c>
      <c r="G858" t="s">
        <v>2165</v>
      </c>
      <c r="H858" s="1">
        <v>43851</v>
      </c>
    </row>
    <row r="859" spans="1:8" x14ac:dyDescent="0.25">
      <c r="A859" t="s">
        <v>1824</v>
      </c>
      <c r="B859" t="s">
        <v>2299</v>
      </c>
      <c r="C859" t="s">
        <v>1825</v>
      </c>
      <c r="D859" t="s">
        <v>2137</v>
      </c>
      <c r="E859" t="s">
        <v>2149</v>
      </c>
      <c r="F859">
        <v>10500000</v>
      </c>
      <c r="G859" t="s">
        <v>2138</v>
      </c>
      <c r="H859" s="1">
        <v>45245</v>
      </c>
    </row>
    <row r="860" spans="1:8" x14ac:dyDescent="0.25">
      <c r="A860" t="s">
        <v>1826</v>
      </c>
      <c r="B860" t="s">
        <v>2222</v>
      </c>
      <c r="C860" t="s">
        <v>1827</v>
      </c>
      <c r="D860" t="s">
        <v>2137</v>
      </c>
      <c r="E860" t="s">
        <v>2130</v>
      </c>
      <c r="F860">
        <v>5500000</v>
      </c>
      <c r="G860" t="s">
        <v>2170</v>
      </c>
      <c r="H860" s="1">
        <v>44780</v>
      </c>
    </row>
    <row r="861" spans="1:8" x14ac:dyDescent="0.25">
      <c r="A861" t="s">
        <v>1828</v>
      </c>
      <c r="B861" t="s">
        <v>2249</v>
      </c>
      <c r="C861" t="s">
        <v>1829</v>
      </c>
      <c r="D861" t="s">
        <v>2129</v>
      </c>
      <c r="E861" t="s">
        <v>2134</v>
      </c>
      <c r="F861">
        <v>5500000</v>
      </c>
      <c r="G861" t="s">
        <v>2204</v>
      </c>
      <c r="H861" s="1">
        <v>45217</v>
      </c>
    </row>
    <row r="862" spans="1:8" x14ac:dyDescent="0.25">
      <c r="A862" t="s">
        <v>30</v>
      </c>
      <c r="B862" t="s">
        <v>2383</v>
      </c>
      <c r="C862" t="s">
        <v>36</v>
      </c>
      <c r="D862" t="s">
        <v>2137</v>
      </c>
      <c r="E862" t="s">
        <v>2134</v>
      </c>
      <c r="F862">
        <v>5500000</v>
      </c>
      <c r="G862" t="s">
        <v>2175</v>
      </c>
      <c r="H862" s="1">
        <v>43924</v>
      </c>
    </row>
    <row r="863" spans="1:8" x14ac:dyDescent="0.25">
      <c r="A863" t="s">
        <v>1830</v>
      </c>
      <c r="B863" t="s">
        <v>2298</v>
      </c>
      <c r="C863" t="s">
        <v>1831</v>
      </c>
      <c r="D863" t="s">
        <v>2123</v>
      </c>
      <c r="E863" t="s">
        <v>2120</v>
      </c>
      <c r="F863">
        <v>8000000</v>
      </c>
      <c r="G863" t="s">
        <v>2188</v>
      </c>
      <c r="H863" s="1">
        <v>45190</v>
      </c>
    </row>
    <row r="864" spans="1:8" x14ac:dyDescent="0.25">
      <c r="A864" t="s">
        <v>1832</v>
      </c>
      <c r="B864" t="s">
        <v>2260</v>
      </c>
      <c r="C864" t="s">
        <v>1833</v>
      </c>
      <c r="D864" t="s">
        <v>2119</v>
      </c>
      <c r="E864" t="s">
        <v>2130</v>
      </c>
      <c r="F864">
        <v>10500000</v>
      </c>
      <c r="G864" t="s">
        <v>2204</v>
      </c>
      <c r="H864" s="1">
        <v>45590</v>
      </c>
    </row>
    <row r="865" spans="1:8" x14ac:dyDescent="0.25">
      <c r="A865" t="s">
        <v>1834</v>
      </c>
      <c r="B865" t="s">
        <v>2185</v>
      </c>
      <c r="C865" t="s">
        <v>1835</v>
      </c>
      <c r="D865" t="s">
        <v>2123</v>
      </c>
      <c r="E865" t="s">
        <v>2149</v>
      </c>
      <c r="F865">
        <v>5500000</v>
      </c>
      <c r="G865" t="s">
        <v>2172</v>
      </c>
      <c r="H865" s="1">
        <v>45811</v>
      </c>
    </row>
    <row r="866" spans="1:8" x14ac:dyDescent="0.25">
      <c r="A866" t="s">
        <v>1836</v>
      </c>
      <c r="B866" t="s">
        <v>2261</v>
      </c>
      <c r="C866" t="s">
        <v>1837</v>
      </c>
      <c r="D866" t="s">
        <v>23</v>
      </c>
      <c r="E866" t="s">
        <v>2134</v>
      </c>
      <c r="F866">
        <v>10500000</v>
      </c>
      <c r="G866" t="s">
        <v>2180</v>
      </c>
      <c r="H866" s="1">
        <v>44170</v>
      </c>
    </row>
    <row r="867" spans="1:8" x14ac:dyDescent="0.25">
      <c r="A867" t="s">
        <v>1838</v>
      </c>
      <c r="B867" t="s">
        <v>2223</v>
      </c>
      <c r="C867" t="s">
        <v>1839</v>
      </c>
      <c r="D867" t="s">
        <v>2133</v>
      </c>
      <c r="E867" t="s">
        <v>2124</v>
      </c>
      <c r="F867">
        <v>8000000</v>
      </c>
      <c r="G867" t="s">
        <v>2145</v>
      </c>
      <c r="H867" s="1">
        <v>45258</v>
      </c>
    </row>
    <row r="868" spans="1:8" x14ac:dyDescent="0.25">
      <c r="A868" t="s">
        <v>1840</v>
      </c>
      <c r="B868" t="s">
        <v>2179</v>
      </c>
      <c r="C868" t="s">
        <v>1841</v>
      </c>
      <c r="D868" t="s">
        <v>2144</v>
      </c>
      <c r="E868" t="s">
        <v>2120</v>
      </c>
      <c r="F868">
        <v>8000000</v>
      </c>
      <c r="G868" t="s">
        <v>2246</v>
      </c>
      <c r="H868" s="1">
        <v>45526</v>
      </c>
    </row>
    <row r="869" spans="1:8" x14ac:dyDescent="0.25">
      <c r="A869" t="s">
        <v>1842</v>
      </c>
      <c r="B869" t="s">
        <v>2248</v>
      </c>
      <c r="C869" t="s">
        <v>1843</v>
      </c>
      <c r="D869" t="s">
        <v>2133</v>
      </c>
      <c r="E869" t="s">
        <v>2149</v>
      </c>
      <c r="F869">
        <v>8000000</v>
      </c>
      <c r="G869" t="s">
        <v>2370</v>
      </c>
      <c r="H869" s="1">
        <v>45268</v>
      </c>
    </row>
    <row r="870" spans="1:8" x14ac:dyDescent="0.25">
      <c r="A870" t="s">
        <v>1844</v>
      </c>
      <c r="B870" t="s">
        <v>2333</v>
      </c>
      <c r="C870" t="s">
        <v>1845</v>
      </c>
      <c r="D870" t="s">
        <v>2119</v>
      </c>
      <c r="E870" t="s">
        <v>2120</v>
      </c>
      <c r="F870">
        <v>13000000</v>
      </c>
      <c r="G870" t="s">
        <v>2138</v>
      </c>
      <c r="H870" s="1">
        <v>45071</v>
      </c>
    </row>
    <row r="871" spans="1:8" x14ac:dyDescent="0.25">
      <c r="A871" t="s">
        <v>1846</v>
      </c>
      <c r="B871" t="s">
        <v>2232</v>
      </c>
      <c r="C871" t="s">
        <v>1847</v>
      </c>
      <c r="D871" t="s">
        <v>2119</v>
      </c>
      <c r="E871" t="s">
        <v>2124</v>
      </c>
      <c r="F871">
        <v>8000000</v>
      </c>
      <c r="G871" t="s">
        <v>2170</v>
      </c>
      <c r="H871" s="1">
        <v>45480</v>
      </c>
    </row>
    <row r="872" spans="1:8" x14ac:dyDescent="0.25">
      <c r="A872" t="s">
        <v>1848</v>
      </c>
      <c r="B872" t="s">
        <v>2260</v>
      </c>
      <c r="C872" t="s">
        <v>1849</v>
      </c>
      <c r="D872" t="s">
        <v>2119</v>
      </c>
      <c r="E872" t="s">
        <v>2120</v>
      </c>
      <c r="F872">
        <v>8000000</v>
      </c>
      <c r="G872" t="s">
        <v>2227</v>
      </c>
      <c r="H872" s="1">
        <v>45880</v>
      </c>
    </row>
    <row r="873" spans="1:8" x14ac:dyDescent="0.25">
      <c r="A873" t="s">
        <v>1850</v>
      </c>
      <c r="B873" t="s">
        <v>2209</v>
      </c>
      <c r="C873" t="s">
        <v>1851</v>
      </c>
      <c r="D873" t="s">
        <v>2119</v>
      </c>
      <c r="E873" t="s">
        <v>2124</v>
      </c>
      <c r="F873">
        <v>10500000</v>
      </c>
      <c r="G873" t="s">
        <v>2153</v>
      </c>
      <c r="H873" s="1">
        <v>45650</v>
      </c>
    </row>
    <row r="874" spans="1:8" x14ac:dyDescent="0.25">
      <c r="A874" t="s">
        <v>1852</v>
      </c>
      <c r="B874" t="s">
        <v>2218</v>
      </c>
      <c r="C874" t="s">
        <v>1853</v>
      </c>
      <c r="D874" t="s">
        <v>2129</v>
      </c>
      <c r="E874" t="s">
        <v>2124</v>
      </c>
      <c r="F874">
        <v>13000000</v>
      </c>
      <c r="G874" t="s">
        <v>2182</v>
      </c>
      <c r="H874" s="1">
        <v>45767</v>
      </c>
    </row>
    <row r="875" spans="1:8" x14ac:dyDescent="0.25">
      <c r="A875" t="s">
        <v>1854</v>
      </c>
      <c r="B875" t="s">
        <v>2264</v>
      </c>
      <c r="C875" t="s">
        <v>1855</v>
      </c>
      <c r="D875" t="s">
        <v>2119</v>
      </c>
      <c r="E875" t="s">
        <v>2149</v>
      </c>
      <c r="F875">
        <v>10500000</v>
      </c>
      <c r="G875" t="s">
        <v>2196</v>
      </c>
      <c r="H875" s="1">
        <v>44916</v>
      </c>
    </row>
    <row r="876" spans="1:8" x14ac:dyDescent="0.25">
      <c r="A876" t="s">
        <v>1856</v>
      </c>
      <c r="B876" t="s">
        <v>2244</v>
      </c>
      <c r="C876" t="s">
        <v>1857</v>
      </c>
      <c r="D876" t="s">
        <v>2137</v>
      </c>
      <c r="E876" t="s">
        <v>2134</v>
      </c>
      <c r="F876">
        <v>6500000</v>
      </c>
      <c r="G876" t="s">
        <v>2196</v>
      </c>
      <c r="H876" s="1">
        <v>44171</v>
      </c>
    </row>
    <row r="877" spans="1:8" x14ac:dyDescent="0.25">
      <c r="A877" t="s">
        <v>1858</v>
      </c>
      <c r="B877" t="s">
        <v>2264</v>
      </c>
      <c r="C877" t="s">
        <v>1859</v>
      </c>
      <c r="D877" t="s">
        <v>2137</v>
      </c>
      <c r="E877" t="s">
        <v>2120</v>
      </c>
      <c r="F877">
        <v>10500000</v>
      </c>
      <c r="G877" t="s">
        <v>2154</v>
      </c>
      <c r="H877" s="1">
        <v>45980</v>
      </c>
    </row>
    <row r="878" spans="1:8" x14ac:dyDescent="0.25">
      <c r="A878" t="s">
        <v>1860</v>
      </c>
      <c r="B878" t="s">
        <v>2351</v>
      </c>
      <c r="C878" t="s">
        <v>1861</v>
      </c>
      <c r="D878" t="s">
        <v>2119</v>
      </c>
      <c r="E878" t="s">
        <v>2120</v>
      </c>
      <c r="F878">
        <v>13000000</v>
      </c>
      <c r="G878" t="s">
        <v>2177</v>
      </c>
      <c r="H878" s="1">
        <v>45812</v>
      </c>
    </row>
    <row r="879" spans="1:8" x14ac:dyDescent="0.25">
      <c r="A879" t="s">
        <v>1862</v>
      </c>
      <c r="B879" t="s">
        <v>2158</v>
      </c>
      <c r="C879" t="s">
        <v>1863</v>
      </c>
      <c r="D879" t="s">
        <v>2137</v>
      </c>
      <c r="E879" t="s">
        <v>2120</v>
      </c>
      <c r="F879">
        <v>5500000</v>
      </c>
      <c r="G879" t="s">
        <v>2203</v>
      </c>
      <c r="H879" s="1">
        <v>44373</v>
      </c>
    </row>
    <row r="880" spans="1:8" x14ac:dyDescent="0.25">
      <c r="A880" t="s">
        <v>1864</v>
      </c>
      <c r="B880" t="s">
        <v>2179</v>
      </c>
      <c r="C880" t="s">
        <v>1865</v>
      </c>
      <c r="D880" t="s">
        <v>2137</v>
      </c>
      <c r="E880" t="s">
        <v>2130</v>
      </c>
      <c r="F880">
        <v>5500000</v>
      </c>
      <c r="G880" t="s">
        <v>2127</v>
      </c>
      <c r="H880" s="1">
        <v>44750</v>
      </c>
    </row>
    <row r="881" spans="1:8" x14ac:dyDescent="0.25">
      <c r="A881" t="s">
        <v>1866</v>
      </c>
      <c r="B881" t="s">
        <v>2323</v>
      </c>
      <c r="C881" t="s">
        <v>1867</v>
      </c>
      <c r="D881" t="s">
        <v>37</v>
      </c>
      <c r="E881" t="s">
        <v>2149</v>
      </c>
      <c r="F881">
        <v>5500000</v>
      </c>
      <c r="G881" t="s">
        <v>2227</v>
      </c>
      <c r="H881" s="1">
        <v>44720</v>
      </c>
    </row>
    <row r="882" spans="1:8" x14ac:dyDescent="0.25">
      <c r="A882" t="s">
        <v>236</v>
      </c>
      <c r="B882" t="s">
        <v>2256</v>
      </c>
      <c r="C882" t="s">
        <v>201</v>
      </c>
      <c r="D882" t="s">
        <v>2119</v>
      </c>
      <c r="E882" t="s">
        <v>2134</v>
      </c>
      <c r="F882">
        <v>6500000</v>
      </c>
      <c r="G882" t="s">
        <v>2203</v>
      </c>
      <c r="H882" s="1">
        <v>44341</v>
      </c>
    </row>
    <row r="883" spans="1:8" x14ac:dyDescent="0.25">
      <c r="A883" t="s">
        <v>1868</v>
      </c>
      <c r="B883" t="s">
        <v>2264</v>
      </c>
      <c r="C883" t="s">
        <v>1869</v>
      </c>
      <c r="D883" t="s">
        <v>2123</v>
      </c>
      <c r="E883" t="s">
        <v>2124</v>
      </c>
      <c r="F883">
        <v>13000000</v>
      </c>
      <c r="G883" t="s">
        <v>2142</v>
      </c>
      <c r="H883" s="1">
        <v>43986</v>
      </c>
    </row>
    <row r="884" spans="1:8" x14ac:dyDescent="0.25">
      <c r="A884" t="s">
        <v>1870</v>
      </c>
      <c r="B884" t="s">
        <v>2236</v>
      </c>
      <c r="C884" t="s">
        <v>1871</v>
      </c>
      <c r="D884" t="s">
        <v>2133</v>
      </c>
      <c r="E884" t="s">
        <v>2124</v>
      </c>
      <c r="F884">
        <v>8000000</v>
      </c>
      <c r="G884" t="s">
        <v>2145</v>
      </c>
      <c r="H884" s="1">
        <v>43960</v>
      </c>
    </row>
    <row r="885" spans="1:8" x14ac:dyDescent="0.25">
      <c r="A885" t="s">
        <v>1872</v>
      </c>
      <c r="B885" t="s">
        <v>2255</v>
      </c>
      <c r="C885" t="s">
        <v>1873</v>
      </c>
      <c r="D885" t="s">
        <v>2119</v>
      </c>
      <c r="E885" t="s">
        <v>2124</v>
      </c>
      <c r="F885">
        <v>13000000</v>
      </c>
      <c r="G885" t="s">
        <v>2140</v>
      </c>
      <c r="H885" s="1">
        <v>44234</v>
      </c>
    </row>
    <row r="886" spans="1:8" x14ac:dyDescent="0.25">
      <c r="A886" t="s">
        <v>735</v>
      </c>
      <c r="B886" t="s">
        <v>2384</v>
      </c>
      <c r="C886" t="s">
        <v>734</v>
      </c>
      <c r="D886" t="s">
        <v>2133</v>
      </c>
      <c r="E886" t="s">
        <v>2124</v>
      </c>
      <c r="F886">
        <v>6500000</v>
      </c>
      <c r="G886" t="s">
        <v>2142</v>
      </c>
      <c r="H886" s="1">
        <v>45589</v>
      </c>
    </row>
    <row r="887" spans="1:8" x14ac:dyDescent="0.25">
      <c r="A887" t="s">
        <v>1874</v>
      </c>
      <c r="B887" t="s">
        <v>2262</v>
      </c>
      <c r="C887" t="s">
        <v>1875</v>
      </c>
      <c r="D887" t="s">
        <v>2144</v>
      </c>
      <c r="E887" t="s">
        <v>2134</v>
      </c>
      <c r="F887">
        <v>10500000</v>
      </c>
      <c r="G887" t="s">
        <v>2203</v>
      </c>
      <c r="H887" s="1">
        <v>44147</v>
      </c>
    </row>
    <row r="888" spans="1:8" x14ac:dyDescent="0.25">
      <c r="A888" t="s">
        <v>1876</v>
      </c>
      <c r="B888" t="s">
        <v>2141</v>
      </c>
      <c r="C888" t="s">
        <v>1877</v>
      </c>
      <c r="D888" t="s">
        <v>2137</v>
      </c>
      <c r="E888" t="s">
        <v>2130</v>
      </c>
      <c r="F888">
        <v>6500000</v>
      </c>
      <c r="G888" t="s">
        <v>2198</v>
      </c>
      <c r="H888" s="1">
        <v>45062</v>
      </c>
    </row>
    <row r="889" spans="1:8" x14ac:dyDescent="0.25">
      <c r="A889" t="s">
        <v>1878</v>
      </c>
      <c r="B889" t="s">
        <v>2186</v>
      </c>
      <c r="C889" t="s">
        <v>1879</v>
      </c>
      <c r="D889" t="s">
        <v>2144</v>
      </c>
      <c r="E889" t="s">
        <v>2149</v>
      </c>
      <c r="F889">
        <v>13000000</v>
      </c>
      <c r="G889" t="s">
        <v>2182</v>
      </c>
      <c r="H889" s="1">
        <v>45207</v>
      </c>
    </row>
    <row r="890" spans="1:8" x14ac:dyDescent="0.25">
      <c r="A890" t="s">
        <v>1880</v>
      </c>
      <c r="B890" t="s">
        <v>2267</v>
      </c>
      <c r="C890" t="s">
        <v>1881</v>
      </c>
      <c r="D890" t="s">
        <v>2129</v>
      </c>
      <c r="E890" t="s">
        <v>2134</v>
      </c>
      <c r="F890">
        <v>8000000</v>
      </c>
      <c r="G890" t="s">
        <v>2380</v>
      </c>
      <c r="H890" s="1">
        <v>45634</v>
      </c>
    </row>
    <row r="891" spans="1:8" x14ac:dyDescent="0.25">
      <c r="A891" t="s">
        <v>1882</v>
      </c>
      <c r="B891" t="s">
        <v>2205</v>
      </c>
      <c r="C891" t="s">
        <v>1883</v>
      </c>
      <c r="D891" t="s">
        <v>2123</v>
      </c>
      <c r="E891" t="s">
        <v>2134</v>
      </c>
      <c r="F891">
        <v>10500000</v>
      </c>
      <c r="G891" t="s">
        <v>2140</v>
      </c>
      <c r="H891" s="1">
        <v>44424</v>
      </c>
    </row>
    <row r="892" spans="1:8" x14ac:dyDescent="0.25">
      <c r="A892" t="s">
        <v>1884</v>
      </c>
      <c r="B892" t="s">
        <v>2189</v>
      </c>
      <c r="C892" t="s">
        <v>1885</v>
      </c>
      <c r="D892" t="s">
        <v>2133</v>
      </c>
      <c r="E892" t="s">
        <v>2120</v>
      </c>
      <c r="F892">
        <v>10500000</v>
      </c>
      <c r="G892" t="s">
        <v>2170</v>
      </c>
      <c r="H892" s="1">
        <v>45507</v>
      </c>
    </row>
    <row r="893" spans="1:8" x14ac:dyDescent="0.25">
      <c r="A893" t="s">
        <v>1886</v>
      </c>
      <c r="B893" t="s">
        <v>2205</v>
      </c>
      <c r="C893" t="s">
        <v>1887</v>
      </c>
      <c r="D893" t="s">
        <v>2144</v>
      </c>
      <c r="E893" t="s">
        <v>2120</v>
      </c>
      <c r="F893">
        <v>13000000</v>
      </c>
      <c r="G893" t="s">
        <v>2175</v>
      </c>
      <c r="H893" s="1">
        <v>43946</v>
      </c>
    </row>
    <row r="894" spans="1:8" x14ac:dyDescent="0.25">
      <c r="A894" t="s">
        <v>1888</v>
      </c>
      <c r="B894" t="s">
        <v>2294</v>
      </c>
      <c r="C894" t="s">
        <v>1889</v>
      </c>
      <c r="D894" t="s">
        <v>2133</v>
      </c>
      <c r="E894" t="s">
        <v>2149</v>
      </c>
      <c r="F894">
        <v>10500000</v>
      </c>
      <c r="G894" t="s">
        <v>2147</v>
      </c>
      <c r="H894" s="1">
        <v>44628</v>
      </c>
    </row>
    <row r="895" spans="1:8" x14ac:dyDescent="0.25">
      <c r="A895" t="s">
        <v>1890</v>
      </c>
      <c r="B895" t="s">
        <v>2281</v>
      </c>
      <c r="C895" t="s">
        <v>1891</v>
      </c>
      <c r="D895" t="s">
        <v>33</v>
      </c>
      <c r="E895" t="s">
        <v>2149</v>
      </c>
      <c r="F895">
        <v>6500000</v>
      </c>
      <c r="G895" t="s">
        <v>2246</v>
      </c>
      <c r="H895" s="1">
        <v>44637</v>
      </c>
    </row>
    <row r="896" spans="1:8" x14ac:dyDescent="0.25">
      <c r="A896" t="s">
        <v>1892</v>
      </c>
      <c r="B896" t="s">
        <v>2350</v>
      </c>
      <c r="C896" t="s">
        <v>1893</v>
      </c>
      <c r="D896" t="s">
        <v>2123</v>
      </c>
      <c r="E896" t="s">
        <v>2120</v>
      </c>
      <c r="F896">
        <v>13000000</v>
      </c>
      <c r="G896" t="s">
        <v>2131</v>
      </c>
      <c r="H896" s="1">
        <v>45592</v>
      </c>
    </row>
    <row r="897" spans="1:8" x14ac:dyDescent="0.25">
      <c r="A897" t="s">
        <v>1894</v>
      </c>
      <c r="B897" t="s">
        <v>2218</v>
      </c>
      <c r="C897" t="s">
        <v>1895</v>
      </c>
      <c r="D897" t="s">
        <v>2137</v>
      </c>
      <c r="E897" t="s">
        <v>2149</v>
      </c>
      <c r="F897">
        <v>6500000</v>
      </c>
      <c r="G897" t="s">
        <v>2163</v>
      </c>
      <c r="H897" s="1">
        <v>45047</v>
      </c>
    </row>
    <row r="898" spans="1:8" x14ac:dyDescent="0.25">
      <c r="A898" t="s">
        <v>1896</v>
      </c>
      <c r="B898" t="s">
        <v>2267</v>
      </c>
      <c r="C898" t="s">
        <v>1897</v>
      </c>
      <c r="D898" t="s">
        <v>2123</v>
      </c>
      <c r="E898" t="s">
        <v>2124</v>
      </c>
      <c r="F898">
        <v>8000000</v>
      </c>
      <c r="G898" t="s">
        <v>2147</v>
      </c>
      <c r="H898" s="1">
        <v>44338</v>
      </c>
    </row>
    <row r="899" spans="1:8" x14ac:dyDescent="0.25">
      <c r="A899" t="s">
        <v>1898</v>
      </c>
      <c r="B899" t="s">
        <v>2314</v>
      </c>
      <c r="C899" t="s">
        <v>1899</v>
      </c>
      <c r="D899" t="s">
        <v>2144</v>
      </c>
      <c r="E899" t="s">
        <v>2149</v>
      </c>
      <c r="F899">
        <v>5500000</v>
      </c>
      <c r="G899" t="s">
        <v>2210</v>
      </c>
      <c r="H899" s="1">
        <v>44351</v>
      </c>
    </row>
    <row r="900" spans="1:8" x14ac:dyDescent="0.25">
      <c r="A900" t="s">
        <v>1900</v>
      </c>
      <c r="B900" t="s">
        <v>2385</v>
      </c>
      <c r="C900" t="s">
        <v>1901</v>
      </c>
      <c r="D900" t="s">
        <v>2144</v>
      </c>
      <c r="E900" t="s">
        <v>2149</v>
      </c>
      <c r="F900">
        <v>10500000</v>
      </c>
      <c r="G900" t="s">
        <v>2172</v>
      </c>
      <c r="H900" s="1">
        <v>45277</v>
      </c>
    </row>
    <row r="901" spans="1:8" x14ac:dyDescent="0.25">
      <c r="A901" t="s">
        <v>1902</v>
      </c>
      <c r="B901" t="s">
        <v>2192</v>
      </c>
      <c r="C901" t="s">
        <v>1903</v>
      </c>
      <c r="D901" t="s">
        <v>2137</v>
      </c>
      <c r="E901" t="s">
        <v>2120</v>
      </c>
      <c r="F901">
        <v>13000000</v>
      </c>
      <c r="G901" t="s">
        <v>2177</v>
      </c>
      <c r="H901" s="1">
        <v>44619</v>
      </c>
    </row>
    <row r="902" spans="1:8" x14ac:dyDescent="0.25">
      <c r="A902" t="s">
        <v>1904</v>
      </c>
      <c r="B902" t="s">
        <v>2304</v>
      </c>
      <c r="C902" t="s">
        <v>1905</v>
      </c>
      <c r="D902" t="s">
        <v>2133</v>
      </c>
      <c r="E902" t="s">
        <v>2134</v>
      </c>
      <c r="F902">
        <v>10500000</v>
      </c>
      <c r="G902" t="s">
        <v>2153</v>
      </c>
      <c r="H902" s="1">
        <v>44535</v>
      </c>
    </row>
    <row r="903" spans="1:8" x14ac:dyDescent="0.25">
      <c r="A903" t="s">
        <v>1906</v>
      </c>
      <c r="B903" t="s">
        <v>2169</v>
      </c>
      <c r="C903" t="s">
        <v>1907</v>
      </c>
      <c r="D903" t="s">
        <v>2144</v>
      </c>
      <c r="E903" t="s">
        <v>2120</v>
      </c>
      <c r="F903">
        <v>10500000</v>
      </c>
      <c r="G903" t="s">
        <v>2250</v>
      </c>
      <c r="H903" s="1">
        <v>44145</v>
      </c>
    </row>
    <row r="904" spans="1:8" x14ac:dyDescent="0.25">
      <c r="A904" t="s">
        <v>1908</v>
      </c>
      <c r="B904" t="s">
        <v>2166</v>
      </c>
      <c r="C904" t="s">
        <v>1909</v>
      </c>
      <c r="D904" t="s">
        <v>42</v>
      </c>
      <c r="E904" t="s">
        <v>2124</v>
      </c>
      <c r="F904">
        <v>13000000</v>
      </c>
      <c r="G904" t="s">
        <v>2191</v>
      </c>
      <c r="H904" s="1">
        <v>44599</v>
      </c>
    </row>
    <row r="905" spans="1:8" x14ac:dyDescent="0.25">
      <c r="A905" t="s">
        <v>1910</v>
      </c>
      <c r="B905" t="s">
        <v>2139</v>
      </c>
      <c r="C905" t="s">
        <v>1911</v>
      </c>
      <c r="D905" t="s">
        <v>2119</v>
      </c>
      <c r="E905" t="s">
        <v>2134</v>
      </c>
      <c r="F905">
        <v>10500000</v>
      </c>
      <c r="G905" t="s">
        <v>2265</v>
      </c>
      <c r="H905" s="1">
        <v>45675</v>
      </c>
    </row>
    <row r="906" spans="1:8" x14ac:dyDescent="0.25">
      <c r="A906" t="s">
        <v>1912</v>
      </c>
      <c r="B906" t="s">
        <v>2217</v>
      </c>
      <c r="C906" t="s">
        <v>1913</v>
      </c>
      <c r="D906" t="s">
        <v>2119</v>
      </c>
      <c r="E906" t="s">
        <v>2124</v>
      </c>
      <c r="F906">
        <v>6500000</v>
      </c>
      <c r="G906" t="s">
        <v>2277</v>
      </c>
      <c r="H906" s="1">
        <v>45080</v>
      </c>
    </row>
    <row r="907" spans="1:8" x14ac:dyDescent="0.25">
      <c r="A907" t="s">
        <v>1914</v>
      </c>
      <c r="B907" t="s">
        <v>2241</v>
      </c>
      <c r="C907" t="s">
        <v>1915</v>
      </c>
      <c r="D907" t="s">
        <v>2129</v>
      </c>
      <c r="E907" t="s">
        <v>2134</v>
      </c>
      <c r="F907">
        <v>6500000</v>
      </c>
      <c r="G907" t="s">
        <v>2250</v>
      </c>
      <c r="H907" s="1">
        <v>44977</v>
      </c>
    </row>
    <row r="908" spans="1:8" x14ac:dyDescent="0.25">
      <c r="A908" t="s">
        <v>1916</v>
      </c>
      <c r="B908" t="s">
        <v>2136</v>
      </c>
      <c r="C908" t="s">
        <v>1917</v>
      </c>
      <c r="D908" t="s">
        <v>2129</v>
      </c>
      <c r="E908" t="s">
        <v>2149</v>
      </c>
      <c r="F908">
        <v>5500000</v>
      </c>
      <c r="G908" t="s">
        <v>2121</v>
      </c>
      <c r="H908" s="1">
        <v>44277</v>
      </c>
    </row>
    <row r="909" spans="1:8" x14ac:dyDescent="0.25">
      <c r="A909" t="s">
        <v>1918</v>
      </c>
      <c r="B909" t="s">
        <v>2386</v>
      </c>
      <c r="C909" t="s">
        <v>1919</v>
      </c>
      <c r="D909" t="s">
        <v>2137</v>
      </c>
      <c r="E909" t="s">
        <v>2120</v>
      </c>
      <c r="F909">
        <v>13000000</v>
      </c>
      <c r="G909" t="s">
        <v>2138</v>
      </c>
      <c r="H909" s="1">
        <v>45684</v>
      </c>
    </row>
    <row r="910" spans="1:8" x14ac:dyDescent="0.25">
      <c r="A910" t="s">
        <v>1920</v>
      </c>
      <c r="B910" t="s">
        <v>2327</v>
      </c>
      <c r="C910" t="s">
        <v>1921</v>
      </c>
      <c r="D910" t="s">
        <v>2144</v>
      </c>
      <c r="E910" t="s">
        <v>2124</v>
      </c>
      <c r="F910">
        <v>5500000</v>
      </c>
      <c r="G910" t="s">
        <v>2203</v>
      </c>
      <c r="H910" s="1">
        <v>44987</v>
      </c>
    </row>
    <row r="911" spans="1:8" x14ac:dyDescent="0.25">
      <c r="A911" t="s">
        <v>1922</v>
      </c>
      <c r="B911" t="s">
        <v>2278</v>
      </c>
      <c r="C911" t="s">
        <v>1923</v>
      </c>
      <c r="D911" t="s">
        <v>2119</v>
      </c>
      <c r="E911" t="s">
        <v>2134</v>
      </c>
      <c r="F911">
        <v>5500000</v>
      </c>
      <c r="G911" t="s">
        <v>2240</v>
      </c>
      <c r="H911" s="1">
        <v>44031</v>
      </c>
    </row>
    <row r="912" spans="1:8" x14ac:dyDescent="0.25">
      <c r="A912" t="s">
        <v>1924</v>
      </c>
      <c r="B912" t="s">
        <v>2259</v>
      </c>
      <c r="C912" t="s">
        <v>1925</v>
      </c>
      <c r="D912" t="s">
        <v>18</v>
      </c>
      <c r="E912" t="s">
        <v>2130</v>
      </c>
      <c r="F912">
        <v>5500000</v>
      </c>
      <c r="G912" t="s">
        <v>2172</v>
      </c>
      <c r="H912" s="1">
        <v>44814</v>
      </c>
    </row>
    <row r="913" spans="1:8" x14ac:dyDescent="0.25">
      <c r="A913" t="s">
        <v>1926</v>
      </c>
      <c r="B913" t="s">
        <v>2288</v>
      </c>
      <c r="C913" t="s">
        <v>1927</v>
      </c>
      <c r="D913" t="s">
        <v>2137</v>
      </c>
      <c r="E913" t="s">
        <v>2134</v>
      </c>
      <c r="F913">
        <v>5500000</v>
      </c>
      <c r="G913" t="s">
        <v>2135</v>
      </c>
      <c r="H913" s="1">
        <v>44202</v>
      </c>
    </row>
    <row r="914" spans="1:8" x14ac:dyDescent="0.25">
      <c r="A914" t="s">
        <v>1928</v>
      </c>
      <c r="B914" t="s">
        <v>2211</v>
      </c>
      <c r="C914" t="s">
        <v>1929</v>
      </c>
      <c r="D914" t="s">
        <v>2129</v>
      </c>
      <c r="E914" t="s">
        <v>2120</v>
      </c>
      <c r="F914">
        <v>6500000</v>
      </c>
      <c r="G914" t="s">
        <v>2135</v>
      </c>
      <c r="H914" s="1">
        <v>43897</v>
      </c>
    </row>
    <row r="915" spans="1:8" x14ac:dyDescent="0.25">
      <c r="A915" t="s">
        <v>1930</v>
      </c>
      <c r="B915" t="s">
        <v>2237</v>
      </c>
      <c r="C915" t="s">
        <v>1931</v>
      </c>
      <c r="D915" t="s">
        <v>2144</v>
      </c>
      <c r="E915" t="s">
        <v>2120</v>
      </c>
      <c r="F915">
        <v>5500000</v>
      </c>
      <c r="G915" t="s">
        <v>2168</v>
      </c>
      <c r="H915" s="1">
        <v>44939</v>
      </c>
    </row>
    <row r="916" spans="1:8" x14ac:dyDescent="0.25">
      <c r="A916" t="s">
        <v>1932</v>
      </c>
      <c r="B916" t="s">
        <v>2365</v>
      </c>
      <c r="C916" t="s">
        <v>1933</v>
      </c>
      <c r="D916" t="s">
        <v>2129</v>
      </c>
      <c r="E916" t="s">
        <v>2149</v>
      </c>
      <c r="F916">
        <v>6500000</v>
      </c>
      <c r="G916" t="s">
        <v>2387</v>
      </c>
      <c r="H916" s="1">
        <v>44197</v>
      </c>
    </row>
    <row r="917" spans="1:8" x14ac:dyDescent="0.25">
      <c r="A917" t="s">
        <v>1934</v>
      </c>
      <c r="B917" t="s">
        <v>2272</v>
      </c>
      <c r="C917" t="s">
        <v>1935</v>
      </c>
      <c r="D917" t="s">
        <v>2119</v>
      </c>
      <c r="E917" t="s">
        <v>2134</v>
      </c>
      <c r="F917">
        <v>6500000</v>
      </c>
      <c r="G917" t="s">
        <v>2277</v>
      </c>
      <c r="H917" s="1">
        <v>44969</v>
      </c>
    </row>
    <row r="918" spans="1:8" x14ac:dyDescent="0.25">
      <c r="A918" t="s">
        <v>1936</v>
      </c>
      <c r="B918" t="s">
        <v>2176</v>
      </c>
      <c r="C918" t="s">
        <v>1937</v>
      </c>
      <c r="D918" t="s">
        <v>2137</v>
      </c>
      <c r="E918" t="s">
        <v>2120</v>
      </c>
      <c r="F918">
        <v>10500000</v>
      </c>
      <c r="G918" t="s">
        <v>2196</v>
      </c>
      <c r="H918" s="1">
        <v>44873</v>
      </c>
    </row>
    <row r="919" spans="1:8" x14ac:dyDescent="0.25">
      <c r="A919" t="s">
        <v>1938</v>
      </c>
      <c r="B919" t="s">
        <v>2232</v>
      </c>
      <c r="C919" t="s">
        <v>1939</v>
      </c>
      <c r="D919" t="s">
        <v>2123</v>
      </c>
      <c r="E919" t="s">
        <v>2134</v>
      </c>
      <c r="F919">
        <v>5500000</v>
      </c>
      <c r="G919" t="s">
        <v>2127</v>
      </c>
      <c r="H919" s="1">
        <v>45722</v>
      </c>
    </row>
    <row r="920" spans="1:8" x14ac:dyDescent="0.25">
      <c r="A920" t="s">
        <v>1940</v>
      </c>
      <c r="B920" t="s">
        <v>2185</v>
      </c>
      <c r="C920" t="s">
        <v>1941</v>
      </c>
      <c r="D920" t="s">
        <v>37</v>
      </c>
      <c r="E920" t="s">
        <v>2130</v>
      </c>
      <c r="F920">
        <v>6500000</v>
      </c>
      <c r="G920" t="s">
        <v>2127</v>
      </c>
      <c r="H920" s="1">
        <v>45997</v>
      </c>
    </row>
    <row r="921" spans="1:8" x14ac:dyDescent="0.25">
      <c r="A921" t="s">
        <v>1942</v>
      </c>
      <c r="B921" t="s">
        <v>2268</v>
      </c>
      <c r="C921" t="s">
        <v>1943</v>
      </c>
      <c r="D921" t="s">
        <v>18</v>
      </c>
      <c r="E921" t="s">
        <v>2130</v>
      </c>
      <c r="F921">
        <v>6500000</v>
      </c>
      <c r="G921" t="s">
        <v>2170</v>
      </c>
      <c r="H921" s="1">
        <v>44358</v>
      </c>
    </row>
    <row r="922" spans="1:8" x14ac:dyDescent="0.25">
      <c r="A922" t="s">
        <v>1944</v>
      </c>
      <c r="B922" t="s">
        <v>2195</v>
      </c>
      <c r="C922" t="s">
        <v>1945</v>
      </c>
      <c r="D922" t="s">
        <v>14</v>
      </c>
      <c r="E922" t="s">
        <v>2124</v>
      </c>
      <c r="F922">
        <v>8000000</v>
      </c>
      <c r="G922" t="s">
        <v>2170</v>
      </c>
      <c r="H922" s="1">
        <v>44300</v>
      </c>
    </row>
    <row r="923" spans="1:8" x14ac:dyDescent="0.25">
      <c r="A923" t="s">
        <v>1946</v>
      </c>
      <c r="B923" t="s">
        <v>2285</v>
      </c>
      <c r="C923" t="s">
        <v>1947</v>
      </c>
      <c r="D923" t="s">
        <v>2133</v>
      </c>
      <c r="E923" t="s">
        <v>2120</v>
      </c>
      <c r="F923">
        <v>13000000</v>
      </c>
      <c r="G923" t="s">
        <v>2180</v>
      </c>
      <c r="H923" s="1">
        <v>45328</v>
      </c>
    </row>
    <row r="924" spans="1:8" x14ac:dyDescent="0.25">
      <c r="A924" t="s">
        <v>1948</v>
      </c>
      <c r="B924" t="s">
        <v>2273</v>
      </c>
      <c r="C924" t="s">
        <v>1949</v>
      </c>
      <c r="D924" t="s">
        <v>2144</v>
      </c>
      <c r="E924" t="s">
        <v>2134</v>
      </c>
      <c r="F924">
        <v>13000000</v>
      </c>
      <c r="G924" t="s">
        <v>2127</v>
      </c>
      <c r="H924" s="1">
        <v>45405</v>
      </c>
    </row>
    <row r="925" spans="1:8" x14ac:dyDescent="0.25">
      <c r="A925" t="s">
        <v>1950</v>
      </c>
      <c r="B925" t="s">
        <v>2223</v>
      </c>
      <c r="C925" t="s">
        <v>1951</v>
      </c>
      <c r="D925" t="s">
        <v>37</v>
      </c>
      <c r="E925" t="s">
        <v>2149</v>
      </c>
      <c r="F925">
        <v>13000000</v>
      </c>
      <c r="G925" t="s">
        <v>2157</v>
      </c>
      <c r="H925" s="1">
        <v>44928</v>
      </c>
    </row>
    <row r="926" spans="1:8" x14ac:dyDescent="0.25">
      <c r="A926" t="s">
        <v>1952</v>
      </c>
      <c r="B926" t="s">
        <v>2267</v>
      </c>
      <c r="C926" t="s">
        <v>1953</v>
      </c>
      <c r="D926" t="s">
        <v>2119</v>
      </c>
      <c r="E926" t="s">
        <v>2130</v>
      </c>
      <c r="F926">
        <v>6500000</v>
      </c>
      <c r="G926" t="s">
        <v>2203</v>
      </c>
      <c r="H926" s="1">
        <v>44518</v>
      </c>
    </row>
    <row r="927" spans="1:8" x14ac:dyDescent="0.25">
      <c r="A927" t="s">
        <v>1954</v>
      </c>
      <c r="B927" t="s">
        <v>2161</v>
      </c>
      <c r="C927" t="s">
        <v>1955</v>
      </c>
      <c r="D927" t="s">
        <v>2144</v>
      </c>
      <c r="E927" t="s">
        <v>2120</v>
      </c>
      <c r="F927">
        <v>8000000</v>
      </c>
      <c r="G927" t="s">
        <v>2172</v>
      </c>
      <c r="H927" s="1">
        <v>44534</v>
      </c>
    </row>
    <row r="928" spans="1:8" x14ac:dyDescent="0.25">
      <c r="A928" t="s">
        <v>1956</v>
      </c>
      <c r="B928" t="s">
        <v>2228</v>
      </c>
      <c r="C928" t="s">
        <v>1957</v>
      </c>
      <c r="D928" t="s">
        <v>2133</v>
      </c>
      <c r="E928" t="s">
        <v>2134</v>
      </c>
      <c r="F928">
        <v>8000000</v>
      </c>
      <c r="G928" t="s">
        <v>2219</v>
      </c>
      <c r="H928" s="1">
        <v>45153</v>
      </c>
    </row>
    <row r="929" spans="1:8" x14ac:dyDescent="0.25">
      <c r="A929" t="s">
        <v>1958</v>
      </c>
      <c r="B929" t="s">
        <v>2143</v>
      </c>
      <c r="C929" t="s">
        <v>1959</v>
      </c>
      <c r="D929" t="s">
        <v>2129</v>
      </c>
      <c r="E929" t="s">
        <v>2134</v>
      </c>
      <c r="F929">
        <v>10500000</v>
      </c>
      <c r="G929" t="s">
        <v>2135</v>
      </c>
      <c r="H929" s="1">
        <v>45836</v>
      </c>
    </row>
    <row r="930" spans="1:8" x14ac:dyDescent="0.25">
      <c r="A930" t="s">
        <v>1960</v>
      </c>
      <c r="B930" t="s">
        <v>2190</v>
      </c>
      <c r="C930" t="s">
        <v>1961</v>
      </c>
      <c r="D930" t="s">
        <v>2144</v>
      </c>
      <c r="E930" t="s">
        <v>2130</v>
      </c>
      <c r="F930">
        <v>5500000</v>
      </c>
      <c r="G930" t="s">
        <v>2240</v>
      </c>
      <c r="H930" s="1">
        <v>45102</v>
      </c>
    </row>
    <row r="931" spans="1:8" x14ac:dyDescent="0.25">
      <c r="A931" t="s">
        <v>1962</v>
      </c>
      <c r="B931" t="s">
        <v>2288</v>
      </c>
      <c r="C931" t="s">
        <v>1963</v>
      </c>
      <c r="D931" t="s">
        <v>14</v>
      </c>
      <c r="E931" t="s">
        <v>2149</v>
      </c>
      <c r="F931">
        <v>8000000</v>
      </c>
      <c r="G931" t="s">
        <v>2145</v>
      </c>
      <c r="H931" s="1">
        <v>44958</v>
      </c>
    </row>
    <row r="932" spans="1:8" x14ac:dyDescent="0.25">
      <c r="A932" t="s">
        <v>1964</v>
      </c>
      <c r="B932" t="s">
        <v>2193</v>
      </c>
      <c r="C932" t="s">
        <v>1965</v>
      </c>
      <c r="D932" t="s">
        <v>2129</v>
      </c>
      <c r="E932" t="s">
        <v>2124</v>
      </c>
      <c r="F932">
        <v>13000000</v>
      </c>
      <c r="G932" t="s">
        <v>2198</v>
      </c>
      <c r="H932" s="1">
        <v>44427</v>
      </c>
    </row>
    <row r="933" spans="1:8" x14ac:dyDescent="0.25">
      <c r="A933" t="s">
        <v>1966</v>
      </c>
      <c r="B933" t="s">
        <v>2181</v>
      </c>
      <c r="C933" t="s">
        <v>1967</v>
      </c>
      <c r="D933" t="s">
        <v>33</v>
      </c>
      <c r="E933" t="s">
        <v>2134</v>
      </c>
      <c r="F933">
        <v>13000000</v>
      </c>
      <c r="G933" t="s">
        <v>2203</v>
      </c>
      <c r="H933" s="1">
        <v>44597</v>
      </c>
    </row>
    <row r="934" spans="1:8" x14ac:dyDescent="0.25">
      <c r="A934" t="s">
        <v>1968</v>
      </c>
      <c r="B934" t="s">
        <v>2212</v>
      </c>
      <c r="C934" t="s">
        <v>1969</v>
      </c>
      <c r="D934" t="s">
        <v>2137</v>
      </c>
      <c r="E934" t="s">
        <v>2134</v>
      </c>
      <c r="F934">
        <v>10500000</v>
      </c>
      <c r="G934" t="s">
        <v>2191</v>
      </c>
      <c r="H934" s="1">
        <v>45073</v>
      </c>
    </row>
    <row r="935" spans="1:8" x14ac:dyDescent="0.25">
      <c r="A935" t="s">
        <v>1970</v>
      </c>
      <c r="B935" t="s">
        <v>2248</v>
      </c>
      <c r="C935" t="s">
        <v>1971</v>
      </c>
      <c r="D935" t="s">
        <v>2129</v>
      </c>
      <c r="E935" t="s">
        <v>2149</v>
      </c>
      <c r="F935">
        <v>8000000</v>
      </c>
      <c r="G935" t="s">
        <v>2198</v>
      </c>
      <c r="H935" s="1">
        <v>45787</v>
      </c>
    </row>
    <row r="936" spans="1:8" x14ac:dyDescent="0.25">
      <c r="A936" t="s">
        <v>1972</v>
      </c>
      <c r="B936" t="s">
        <v>2350</v>
      </c>
      <c r="C936" t="s">
        <v>1973</v>
      </c>
      <c r="D936" t="s">
        <v>2137</v>
      </c>
      <c r="E936" t="s">
        <v>2149</v>
      </c>
      <c r="F936">
        <v>10500000</v>
      </c>
      <c r="G936" t="s">
        <v>2151</v>
      </c>
      <c r="H936" s="1">
        <v>45906</v>
      </c>
    </row>
    <row r="937" spans="1:8" x14ac:dyDescent="0.25">
      <c r="A937" t="s">
        <v>1974</v>
      </c>
      <c r="B937" t="s">
        <v>2171</v>
      </c>
      <c r="C937" t="s">
        <v>1975</v>
      </c>
      <c r="D937" t="s">
        <v>2119</v>
      </c>
      <c r="E937" t="s">
        <v>2124</v>
      </c>
      <c r="F937">
        <v>13000000</v>
      </c>
      <c r="G937" t="s">
        <v>2131</v>
      </c>
      <c r="H937" s="1">
        <v>45431</v>
      </c>
    </row>
    <row r="938" spans="1:8" x14ac:dyDescent="0.25">
      <c r="A938" t="s">
        <v>1976</v>
      </c>
      <c r="B938" t="s">
        <v>2186</v>
      </c>
      <c r="C938" t="s">
        <v>1977</v>
      </c>
      <c r="D938" t="s">
        <v>2129</v>
      </c>
      <c r="E938" t="s">
        <v>2124</v>
      </c>
      <c r="F938">
        <v>13000000</v>
      </c>
      <c r="G938" t="s">
        <v>2182</v>
      </c>
      <c r="H938" s="1">
        <v>44570</v>
      </c>
    </row>
    <row r="939" spans="1:8" x14ac:dyDescent="0.25">
      <c r="A939" t="s">
        <v>1978</v>
      </c>
      <c r="B939" t="s">
        <v>2176</v>
      </c>
      <c r="C939" t="s">
        <v>1979</v>
      </c>
      <c r="D939" t="s">
        <v>23</v>
      </c>
      <c r="E939" t="s">
        <v>2134</v>
      </c>
      <c r="F939">
        <v>10500000</v>
      </c>
      <c r="G939" t="s">
        <v>2345</v>
      </c>
      <c r="H939" s="1">
        <v>44327</v>
      </c>
    </row>
    <row r="940" spans="1:8" x14ac:dyDescent="0.25">
      <c r="A940" t="s">
        <v>104</v>
      </c>
      <c r="B940" t="s">
        <v>2195</v>
      </c>
      <c r="C940" t="s">
        <v>103</v>
      </c>
      <c r="D940" t="s">
        <v>2133</v>
      </c>
      <c r="E940" t="s">
        <v>2149</v>
      </c>
      <c r="F940">
        <v>5500000</v>
      </c>
      <c r="G940" t="s">
        <v>2191</v>
      </c>
      <c r="H940" s="1">
        <v>45190</v>
      </c>
    </row>
    <row r="941" spans="1:8" x14ac:dyDescent="0.25">
      <c r="A941" t="s">
        <v>1980</v>
      </c>
      <c r="B941" t="s">
        <v>2293</v>
      </c>
      <c r="C941" t="s">
        <v>1981</v>
      </c>
      <c r="D941" t="s">
        <v>2137</v>
      </c>
      <c r="E941" t="s">
        <v>2149</v>
      </c>
      <c r="F941">
        <v>10500000</v>
      </c>
      <c r="G941" t="s">
        <v>2121</v>
      </c>
      <c r="H941" s="1">
        <v>45861</v>
      </c>
    </row>
    <row r="942" spans="1:8" x14ac:dyDescent="0.25">
      <c r="A942" t="s">
        <v>1982</v>
      </c>
      <c r="B942" t="s">
        <v>2263</v>
      </c>
      <c r="C942" t="s">
        <v>1983</v>
      </c>
      <c r="D942" t="s">
        <v>2123</v>
      </c>
      <c r="E942" t="s">
        <v>2149</v>
      </c>
      <c r="F942">
        <v>8000000</v>
      </c>
      <c r="G942" t="s">
        <v>2182</v>
      </c>
      <c r="H942" s="1">
        <v>45113</v>
      </c>
    </row>
    <row r="943" spans="1:8" x14ac:dyDescent="0.25">
      <c r="A943" t="s">
        <v>1984</v>
      </c>
      <c r="B943" t="s">
        <v>2307</v>
      </c>
      <c r="C943" t="s">
        <v>1985</v>
      </c>
      <c r="D943" t="s">
        <v>42</v>
      </c>
      <c r="E943" t="s">
        <v>2134</v>
      </c>
      <c r="F943">
        <v>13000000</v>
      </c>
      <c r="G943" t="s">
        <v>2184</v>
      </c>
      <c r="H943" s="1">
        <v>44661</v>
      </c>
    </row>
    <row r="944" spans="1:8" x14ac:dyDescent="0.25">
      <c r="A944" t="s">
        <v>1986</v>
      </c>
      <c r="B944" t="s">
        <v>2249</v>
      </c>
      <c r="C944" t="s">
        <v>1987</v>
      </c>
      <c r="D944" t="s">
        <v>2123</v>
      </c>
      <c r="E944" t="s">
        <v>2134</v>
      </c>
      <c r="F944">
        <v>5500000</v>
      </c>
      <c r="G944" t="s">
        <v>2188</v>
      </c>
      <c r="H944" s="1">
        <v>44296</v>
      </c>
    </row>
    <row r="945" spans="1:8" x14ac:dyDescent="0.25">
      <c r="A945" t="s">
        <v>1988</v>
      </c>
      <c r="B945" t="s">
        <v>2216</v>
      </c>
      <c r="C945" t="s">
        <v>1989</v>
      </c>
      <c r="D945" t="s">
        <v>23</v>
      </c>
      <c r="E945" t="s">
        <v>2130</v>
      </c>
      <c r="F945">
        <v>5500000</v>
      </c>
      <c r="G945" t="s">
        <v>2227</v>
      </c>
      <c r="H945" s="1">
        <v>44512</v>
      </c>
    </row>
    <row r="946" spans="1:8" x14ac:dyDescent="0.25">
      <c r="A946" t="s">
        <v>1990</v>
      </c>
      <c r="B946" t="s">
        <v>2169</v>
      </c>
      <c r="C946" t="s">
        <v>1991</v>
      </c>
      <c r="D946" t="s">
        <v>2119</v>
      </c>
      <c r="E946" t="s">
        <v>2149</v>
      </c>
      <c r="F946">
        <v>10500000</v>
      </c>
      <c r="G946" t="s">
        <v>2240</v>
      </c>
      <c r="H946" s="1">
        <v>44169</v>
      </c>
    </row>
    <row r="947" spans="1:8" x14ac:dyDescent="0.25">
      <c r="A947" t="s">
        <v>1992</v>
      </c>
      <c r="B947" t="s">
        <v>2174</v>
      </c>
      <c r="C947" t="s">
        <v>1993</v>
      </c>
      <c r="D947" t="s">
        <v>2123</v>
      </c>
      <c r="E947" t="s">
        <v>2120</v>
      </c>
      <c r="F947">
        <v>13000000</v>
      </c>
      <c r="G947" t="s">
        <v>2219</v>
      </c>
      <c r="H947" s="1">
        <v>44845</v>
      </c>
    </row>
    <row r="948" spans="1:8" x14ac:dyDescent="0.25">
      <c r="A948" t="s">
        <v>1994</v>
      </c>
      <c r="B948" t="s">
        <v>2270</v>
      </c>
      <c r="C948" t="s">
        <v>1995</v>
      </c>
      <c r="D948" t="s">
        <v>2123</v>
      </c>
      <c r="E948" t="s">
        <v>2149</v>
      </c>
      <c r="F948">
        <v>6500000</v>
      </c>
      <c r="G948" t="s">
        <v>2246</v>
      </c>
      <c r="H948" s="1">
        <v>44663</v>
      </c>
    </row>
    <row r="949" spans="1:8" x14ac:dyDescent="0.25">
      <c r="A949" t="s">
        <v>1996</v>
      </c>
      <c r="B949" t="s">
        <v>2216</v>
      </c>
      <c r="C949" t="s">
        <v>1997</v>
      </c>
      <c r="D949" t="s">
        <v>2123</v>
      </c>
      <c r="E949" t="s">
        <v>2120</v>
      </c>
      <c r="F949">
        <v>8000000</v>
      </c>
      <c r="G949" t="s">
        <v>2121</v>
      </c>
      <c r="H949" s="1">
        <v>44968</v>
      </c>
    </row>
    <row r="950" spans="1:8" x14ac:dyDescent="0.25">
      <c r="A950" t="s">
        <v>1998</v>
      </c>
      <c r="B950" t="s">
        <v>2126</v>
      </c>
      <c r="C950" t="s">
        <v>1999</v>
      </c>
      <c r="D950" t="s">
        <v>2119</v>
      </c>
      <c r="E950" t="s">
        <v>2124</v>
      </c>
      <c r="F950">
        <v>6500000</v>
      </c>
      <c r="G950" t="s">
        <v>2239</v>
      </c>
      <c r="H950" s="1">
        <v>44570</v>
      </c>
    </row>
    <row r="951" spans="1:8" x14ac:dyDescent="0.25">
      <c r="A951" t="s">
        <v>2000</v>
      </c>
      <c r="B951" t="s">
        <v>2194</v>
      </c>
      <c r="C951" t="s">
        <v>2001</v>
      </c>
      <c r="D951" t="s">
        <v>2129</v>
      </c>
      <c r="E951" t="s">
        <v>2149</v>
      </c>
      <c r="F951">
        <v>5500000</v>
      </c>
      <c r="G951" t="s">
        <v>2159</v>
      </c>
      <c r="H951" s="1">
        <v>44384</v>
      </c>
    </row>
    <row r="952" spans="1:8" x14ac:dyDescent="0.25">
      <c r="A952" t="s">
        <v>2002</v>
      </c>
      <c r="B952" t="s">
        <v>2189</v>
      </c>
      <c r="C952" t="s">
        <v>2003</v>
      </c>
      <c r="D952" t="s">
        <v>2119</v>
      </c>
      <c r="E952" t="s">
        <v>2130</v>
      </c>
      <c r="F952">
        <v>8000000</v>
      </c>
      <c r="G952" t="s">
        <v>2250</v>
      </c>
      <c r="H952" s="1">
        <v>45768</v>
      </c>
    </row>
    <row r="953" spans="1:8" x14ac:dyDescent="0.25">
      <c r="A953" t="s">
        <v>2004</v>
      </c>
      <c r="B953" t="s">
        <v>2193</v>
      </c>
      <c r="C953" t="s">
        <v>2005</v>
      </c>
      <c r="D953" t="s">
        <v>14</v>
      </c>
      <c r="E953" t="s">
        <v>2134</v>
      </c>
      <c r="F953">
        <v>5500000</v>
      </c>
      <c r="G953" t="s">
        <v>2163</v>
      </c>
      <c r="H953" s="1">
        <v>45462</v>
      </c>
    </row>
    <row r="954" spans="1:8" x14ac:dyDescent="0.25">
      <c r="A954" t="s">
        <v>2006</v>
      </c>
      <c r="B954" t="s">
        <v>2281</v>
      </c>
      <c r="C954" t="s">
        <v>2007</v>
      </c>
      <c r="D954" t="s">
        <v>2144</v>
      </c>
      <c r="E954" t="s">
        <v>2124</v>
      </c>
      <c r="F954">
        <v>5500000</v>
      </c>
      <c r="G954" t="s">
        <v>2210</v>
      </c>
      <c r="H954" s="1">
        <v>45191</v>
      </c>
    </row>
    <row r="955" spans="1:8" x14ac:dyDescent="0.25">
      <c r="A955" t="s">
        <v>2008</v>
      </c>
      <c r="B955" t="s">
        <v>2183</v>
      </c>
      <c r="C955" t="s">
        <v>2009</v>
      </c>
      <c r="D955" t="s">
        <v>2123</v>
      </c>
      <c r="E955" t="s">
        <v>2149</v>
      </c>
      <c r="F955">
        <v>6500000</v>
      </c>
      <c r="G955" t="s">
        <v>2121</v>
      </c>
      <c r="H955" s="1">
        <v>45078</v>
      </c>
    </row>
    <row r="956" spans="1:8" x14ac:dyDescent="0.25">
      <c r="A956" t="s">
        <v>2010</v>
      </c>
      <c r="B956" t="s">
        <v>2314</v>
      </c>
      <c r="C956" t="s">
        <v>2011</v>
      </c>
      <c r="D956" t="s">
        <v>2137</v>
      </c>
      <c r="E956" t="s">
        <v>2124</v>
      </c>
      <c r="F956">
        <v>8000000</v>
      </c>
      <c r="G956" t="s">
        <v>2163</v>
      </c>
      <c r="H956" s="1">
        <v>44884</v>
      </c>
    </row>
    <row r="957" spans="1:8" x14ac:dyDescent="0.25">
      <c r="A957" t="s">
        <v>2012</v>
      </c>
      <c r="B957" t="s">
        <v>2232</v>
      </c>
      <c r="C957" t="s">
        <v>2013</v>
      </c>
      <c r="D957" t="s">
        <v>2133</v>
      </c>
      <c r="E957" t="s">
        <v>2130</v>
      </c>
      <c r="F957">
        <v>13000000</v>
      </c>
      <c r="G957" t="s">
        <v>2201</v>
      </c>
      <c r="H957" s="1">
        <v>45566</v>
      </c>
    </row>
    <row r="958" spans="1:8" x14ac:dyDescent="0.25">
      <c r="A958" t="s">
        <v>2014</v>
      </c>
      <c r="B958" t="s">
        <v>2224</v>
      </c>
      <c r="C958" t="s">
        <v>2015</v>
      </c>
      <c r="D958" t="s">
        <v>2119</v>
      </c>
      <c r="E958" t="s">
        <v>2134</v>
      </c>
      <c r="F958">
        <v>13000000</v>
      </c>
      <c r="G958" t="s">
        <v>2246</v>
      </c>
      <c r="H958" s="1">
        <v>45951</v>
      </c>
    </row>
    <row r="959" spans="1:8" x14ac:dyDescent="0.25">
      <c r="A959" t="s">
        <v>2016</v>
      </c>
      <c r="B959" t="s">
        <v>2146</v>
      </c>
      <c r="C959" t="s">
        <v>2017</v>
      </c>
      <c r="D959" t="s">
        <v>2137</v>
      </c>
      <c r="E959" t="s">
        <v>2124</v>
      </c>
      <c r="F959">
        <v>5500000</v>
      </c>
      <c r="G959" t="s">
        <v>2135</v>
      </c>
      <c r="H959" s="1">
        <v>44289</v>
      </c>
    </row>
    <row r="960" spans="1:8" x14ac:dyDescent="0.25">
      <c r="A960" t="s">
        <v>2018</v>
      </c>
      <c r="B960" t="s">
        <v>2253</v>
      </c>
      <c r="C960" t="s">
        <v>2019</v>
      </c>
      <c r="D960" t="s">
        <v>23</v>
      </c>
      <c r="E960" t="s">
        <v>2120</v>
      </c>
      <c r="F960">
        <v>13000000</v>
      </c>
      <c r="G960" t="s">
        <v>2175</v>
      </c>
      <c r="H960" s="1">
        <v>45580</v>
      </c>
    </row>
    <row r="961" spans="1:8" x14ac:dyDescent="0.25">
      <c r="A961" t="s">
        <v>2020</v>
      </c>
      <c r="B961" t="s">
        <v>2218</v>
      </c>
      <c r="C961" t="s">
        <v>2021</v>
      </c>
      <c r="D961" t="s">
        <v>2137</v>
      </c>
      <c r="E961" t="s">
        <v>2149</v>
      </c>
      <c r="F961">
        <v>13000000</v>
      </c>
      <c r="G961" t="s">
        <v>2177</v>
      </c>
      <c r="H961" s="1">
        <v>44932</v>
      </c>
    </row>
    <row r="962" spans="1:8" x14ac:dyDescent="0.25">
      <c r="A962" t="s">
        <v>2022</v>
      </c>
      <c r="B962" t="s">
        <v>2141</v>
      </c>
      <c r="C962" t="s">
        <v>2023</v>
      </c>
      <c r="D962" t="s">
        <v>2119</v>
      </c>
      <c r="E962" t="s">
        <v>2134</v>
      </c>
      <c r="F962">
        <v>5500000</v>
      </c>
      <c r="G962" t="s">
        <v>2140</v>
      </c>
      <c r="H962" s="1">
        <v>45494</v>
      </c>
    </row>
    <row r="963" spans="1:8" x14ac:dyDescent="0.25">
      <c r="A963" t="s">
        <v>2024</v>
      </c>
      <c r="B963" t="s">
        <v>2307</v>
      </c>
      <c r="C963" t="s">
        <v>2025</v>
      </c>
      <c r="D963" t="s">
        <v>2129</v>
      </c>
      <c r="E963" t="s">
        <v>2149</v>
      </c>
      <c r="F963">
        <v>13000000</v>
      </c>
      <c r="G963" t="s">
        <v>2165</v>
      </c>
      <c r="H963" s="1">
        <v>45814</v>
      </c>
    </row>
    <row r="964" spans="1:8" x14ac:dyDescent="0.25">
      <c r="A964" t="s">
        <v>2026</v>
      </c>
      <c r="B964" t="s">
        <v>2217</v>
      </c>
      <c r="C964" t="s">
        <v>2027</v>
      </c>
      <c r="D964" t="s">
        <v>2144</v>
      </c>
      <c r="E964" t="s">
        <v>2149</v>
      </c>
      <c r="F964">
        <v>8000000</v>
      </c>
      <c r="G964" t="s">
        <v>2131</v>
      </c>
      <c r="H964" s="1">
        <v>45897</v>
      </c>
    </row>
    <row r="965" spans="1:8" x14ac:dyDescent="0.25">
      <c r="A965" t="s">
        <v>2028</v>
      </c>
      <c r="B965" t="s">
        <v>2388</v>
      </c>
      <c r="C965" t="s">
        <v>2029</v>
      </c>
      <c r="D965" t="s">
        <v>2123</v>
      </c>
      <c r="E965" t="s">
        <v>2124</v>
      </c>
      <c r="F965">
        <v>10500000</v>
      </c>
      <c r="G965" t="s">
        <v>2127</v>
      </c>
      <c r="H965" s="1">
        <v>45978</v>
      </c>
    </row>
    <row r="966" spans="1:8" x14ac:dyDescent="0.25">
      <c r="A966" t="s">
        <v>2030</v>
      </c>
      <c r="B966" t="s">
        <v>2128</v>
      </c>
      <c r="C966" t="s">
        <v>2031</v>
      </c>
      <c r="D966" t="s">
        <v>2119</v>
      </c>
      <c r="E966" t="s">
        <v>2124</v>
      </c>
      <c r="F966">
        <v>5500000</v>
      </c>
      <c r="G966" t="s">
        <v>2201</v>
      </c>
      <c r="H966" s="1">
        <v>45172</v>
      </c>
    </row>
    <row r="967" spans="1:8" x14ac:dyDescent="0.25">
      <c r="A967" t="s">
        <v>2032</v>
      </c>
      <c r="B967" t="s">
        <v>2174</v>
      </c>
      <c r="C967" t="s">
        <v>2033</v>
      </c>
      <c r="D967" t="s">
        <v>2123</v>
      </c>
      <c r="E967" t="s">
        <v>2120</v>
      </c>
      <c r="F967">
        <v>10500000</v>
      </c>
      <c r="G967" t="s">
        <v>2207</v>
      </c>
      <c r="H967" s="1">
        <v>44066</v>
      </c>
    </row>
    <row r="968" spans="1:8" x14ac:dyDescent="0.25">
      <c r="A968" t="s">
        <v>2034</v>
      </c>
      <c r="B968" t="s">
        <v>2190</v>
      </c>
      <c r="C968" t="s">
        <v>2035</v>
      </c>
      <c r="D968" t="s">
        <v>42</v>
      </c>
      <c r="E968" t="s">
        <v>2130</v>
      </c>
      <c r="F968">
        <v>5500000</v>
      </c>
      <c r="G968" t="s">
        <v>2172</v>
      </c>
      <c r="H968" s="1">
        <v>46019</v>
      </c>
    </row>
    <row r="969" spans="1:8" x14ac:dyDescent="0.25">
      <c r="A969" t="s">
        <v>2036</v>
      </c>
      <c r="B969" t="s">
        <v>2264</v>
      </c>
      <c r="C969" t="s">
        <v>2037</v>
      </c>
      <c r="D969" t="s">
        <v>2129</v>
      </c>
      <c r="E969" t="s">
        <v>2130</v>
      </c>
      <c r="F969">
        <v>5500000</v>
      </c>
      <c r="G969" t="s">
        <v>2250</v>
      </c>
      <c r="H969" s="1">
        <v>44565</v>
      </c>
    </row>
    <row r="970" spans="1:8" x14ac:dyDescent="0.25">
      <c r="A970" t="s">
        <v>2038</v>
      </c>
      <c r="B970" t="s">
        <v>2126</v>
      </c>
      <c r="C970" t="s">
        <v>2039</v>
      </c>
      <c r="D970" t="s">
        <v>2129</v>
      </c>
      <c r="E970" t="s">
        <v>2120</v>
      </c>
      <c r="F970">
        <v>6500000</v>
      </c>
      <c r="G970" t="s">
        <v>2213</v>
      </c>
      <c r="H970" s="1">
        <v>44765</v>
      </c>
    </row>
    <row r="971" spans="1:8" x14ac:dyDescent="0.25">
      <c r="A971" t="s">
        <v>2040</v>
      </c>
      <c r="B971" t="s">
        <v>2233</v>
      </c>
      <c r="C971" t="s">
        <v>2041</v>
      </c>
      <c r="D971" t="s">
        <v>2129</v>
      </c>
      <c r="E971" t="s">
        <v>2134</v>
      </c>
      <c r="F971">
        <v>8000000</v>
      </c>
      <c r="G971" t="s">
        <v>2207</v>
      </c>
      <c r="H971" s="1">
        <v>43868</v>
      </c>
    </row>
    <row r="972" spans="1:8" x14ac:dyDescent="0.25">
      <c r="A972" t="s">
        <v>2042</v>
      </c>
      <c r="B972" t="s">
        <v>2389</v>
      </c>
      <c r="C972" t="s">
        <v>2043</v>
      </c>
      <c r="D972" t="s">
        <v>2129</v>
      </c>
      <c r="E972" t="s">
        <v>2124</v>
      </c>
      <c r="F972">
        <v>5500000</v>
      </c>
      <c r="G972" t="s">
        <v>2277</v>
      </c>
      <c r="H972" s="1">
        <v>44645</v>
      </c>
    </row>
    <row r="973" spans="1:8" x14ac:dyDescent="0.25">
      <c r="A973" t="s">
        <v>2044</v>
      </c>
      <c r="B973" t="s">
        <v>2220</v>
      </c>
      <c r="C973" t="s">
        <v>2045</v>
      </c>
      <c r="D973" t="s">
        <v>2129</v>
      </c>
      <c r="E973" t="s">
        <v>2134</v>
      </c>
      <c r="F973">
        <v>8000000</v>
      </c>
      <c r="G973" t="s">
        <v>2265</v>
      </c>
      <c r="H973" s="1">
        <v>45697</v>
      </c>
    </row>
    <row r="974" spans="1:8" x14ac:dyDescent="0.25">
      <c r="A974" t="s">
        <v>112</v>
      </c>
      <c r="B974" t="s">
        <v>2343</v>
      </c>
      <c r="C974" t="s">
        <v>116</v>
      </c>
      <c r="D974" t="s">
        <v>2133</v>
      </c>
      <c r="E974" t="s">
        <v>2120</v>
      </c>
      <c r="F974">
        <v>10500000</v>
      </c>
      <c r="G974" t="s">
        <v>2131</v>
      </c>
      <c r="H974" s="1">
        <v>43972</v>
      </c>
    </row>
    <row r="975" spans="1:8" x14ac:dyDescent="0.25">
      <c r="A975" t="s">
        <v>2046</v>
      </c>
      <c r="B975" t="s">
        <v>2304</v>
      </c>
      <c r="C975" t="s">
        <v>2047</v>
      </c>
      <c r="D975" t="s">
        <v>2144</v>
      </c>
      <c r="E975" t="s">
        <v>2149</v>
      </c>
      <c r="F975">
        <v>6500000</v>
      </c>
      <c r="G975" t="s">
        <v>2250</v>
      </c>
      <c r="H975" s="1">
        <v>43894</v>
      </c>
    </row>
    <row r="976" spans="1:8" x14ac:dyDescent="0.25">
      <c r="A976" t="s">
        <v>11</v>
      </c>
      <c r="B976" t="s">
        <v>2288</v>
      </c>
      <c r="C976" t="s">
        <v>17</v>
      </c>
      <c r="D976" t="s">
        <v>2144</v>
      </c>
      <c r="E976" t="s">
        <v>2149</v>
      </c>
      <c r="F976">
        <v>13000000</v>
      </c>
      <c r="G976" t="s">
        <v>2180</v>
      </c>
      <c r="H976" s="1">
        <v>45681</v>
      </c>
    </row>
    <row r="977" spans="1:8" x14ac:dyDescent="0.25">
      <c r="A977" t="s">
        <v>2048</v>
      </c>
      <c r="B977" t="s">
        <v>2158</v>
      </c>
      <c r="C977" t="s">
        <v>2049</v>
      </c>
      <c r="D977" t="s">
        <v>2119</v>
      </c>
      <c r="E977" t="s">
        <v>2124</v>
      </c>
      <c r="F977">
        <v>6500000</v>
      </c>
      <c r="G977" t="s">
        <v>2142</v>
      </c>
      <c r="H977" s="1">
        <v>45718</v>
      </c>
    </row>
    <row r="978" spans="1:8" x14ac:dyDescent="0.25">
      <c r="A978" t="s">
        <v>2050</v>
      </c>
      <c r="B978" t="s">
        <v>2132</v>
      </c>
      <c r="C978" t="s">
        <v>2051</v>
      </c>
      <c r="D978" t="s">
        <v>2133</v>
      </c>
      <c r="E978" t="s">
        <v>2134</v>
      </c>
      <c r="F978">
        <v>6500000</v>
      </c>
      <c r="G978" t="s">
        <v>2154</v>
      </c>
      <c r="H978" s="1">
        <v>45210</v>
      </c>
    </row>
    <row r="979" spans="1:8" x14ac:dyDescent="0.25">
      <c r="A979" t="s">
        <v>2052</v>
      </c>
      <c r="B979" t="s">
        <v>2183</v>
      </c>
      <c r="C979" t="s">
        <v>2053</v>
      </c>
      <c r="D979" t="s">
        <v>2119</v>
      </c>
      <c r="E979" t="s">
        <v>2130</v>
      </c>
      <c r="F979">
        <v>13000000</v>
      </c>
      <c r="G979" t="s">
        <v>2207</v>
      </c>
      <c r="H979" s="1">
        <v>45556</v>
      </c>
    </row>
    <row r="980" spans="1:8" x14ac:dyDescent="0.25">
      <c r="A980" t="s">
        <v>2054</v>
      </c>
      <c r="B980" t="s">
        <v>2181</v>
      </c>
      <c r="C980" t="s">
        <v>2055</v>
      </c>
      <c r="D980" t="s">
        <v>2137</v>
      </c>
      <c r="E980" t="s">
        <v>2134</v>
      </c>
      <c r="F980">
        <v>8000000</v>
      </c>
      <c r="G980" t="s">
        <v>2127</v>
      </c>
      <c r="H980" s="1">
        <v>44629</v>
      </c>
    </row>
    <row r="981" spans="1:8" x14ac:dyDescent="0.25">
      <c r="A981" t="s">
        <v>2056</v>
      </c>
      <c r="B981" t="s">
        <v>2215</v>
      </c>
      <c r="C981" t="s">
        <v>2057</v>
      </c>
      <c r="D981" t="s">
        <v>2137</v>
      </c>
      <c r="E981" t="s">
        <v>2120</v>
      </c>
      <c r="F981">
        <v>6500000</v>
      </c>
      <c r="G981" t="s">
        <v>2219</v>
      </c>
      <c r="H981" s="1">
        <v>45466</v>
      </c>
    </row>
    <row r="982" spans="1:8" x14ac:dyDescent="0.25">
      <c r="A982" t="s">
        <v>2058</v>
      </c>
      <c r="B982" t="s">
        <v>2226</v>
      </c>
      <c r="C982" t="s">
        <v>2059</v>
      </c>
      <c r="D982" t="s">
        <v>2123</v>
      </c>
      <c r="E982" t="s">
        <v>2134</v>
      </c>
      <c r="F982">
        <v>5500000</v>
      </c>
      <c r="G982" t="s">
        <v>2184</v>
      </c>
      <c r="H982" s="1">
        <v>44444</v>
      </c>
    </row>
    <row r="983" spans="1:8" x14ac:dyDescent="0.25">
      <c r="A983" t="s">
        <v>2060</v>
      </c>
      <c r="B983" t="s">
        <v>2245</v>
      </c>
      <c r="C983" t="s">
        <v>2061</v>
      </c>
      <c r="D983" t="s">
        <v>2144</v>
      </c>
      <c r="E983" t="s">
        <v>2124</v>
      </c>
      <c r="F983">
        <v>6500000</v>
      </c>
      <c r="G983" t="s">
        <v>2227</v>
      </c>
      <c r="H983" s="1">
        <v>45235</v>
      </c>
    </row>
    <row r="984" spans="1:8" x14ac:dyDescent="0.25">
      <c r="A984" t="s">
        <v>2062</v>
      </c>
      <c r="B984" t="s">
        <v>2222</v>
      </c>
      <c r="C984" t="s">
        <v>2063</v>
      </c>
      <c r="D984" t="s">
        <v>2133</v>
      </c>
      <c r="E984" t="s">
        <v>2124</v>
      </c>
      <c r="F984">
        <v>10500000</v>
      </c>
      <c r="G984" t="s">
        <v>2239</v>
      </c>
      <c r="H984" s="1">
        <v>45586</v>
      </c>
    </row>
    <row r="985" spans="1:8" x14ac:dyDescent="0.25">
      <c r="A985" t="s">
        <v>2064</v>
      </c>
      <c r="B985" t="s">
        <v>2212</v>
      </c>
      <c r="C985" t="s">
        <v>2065</v>
      </c>
      <c r="D985" t="s">
        <v>2133</v>
      </c>
      <c r="E985" t="s">
        <v>2149</v>
      </c>
      <c r="F985">
        <v>8000000</v>
      </c>
      <c r="G985" t="s">
        <v>2125</v>
      </c>
      <c r="H985" s="1">
        <v>44096</v>
      </c>
    </row>
    <row r="986" spans="1:8" x14ac:dyDescent="0.25">
      <c r="A986" t="s">
        <v>2066</v>
      </c>
      <c r="B986" t="s">
        <v>2261</v>
      </c>
      <c r="C986" t="s">
        <v>2067</v>
      </c>
      <c r="D986" t="s">
        <v>2123</v>
      </c>
      <c r="E986" t="s">
        <v>2124</v>
      </c>
      <c r="F986">
        <v>8000000</v>
      </c>
      <c r="G986" t="s">
        <v>2239</v>
      </c>
      <c r="H986" s="1">
        <v>44348</v>
      </c>
    </row>
    <row r="987" spans="1:8" x14ac:dyDescent="0.25">
      <c r="A987" t="s">
        <v>2068</v>
      </c>
      <c r="B987" t="s">
        <v>2216</v>
      </c>
      <c r="C987" t="s">
        <v>2069</v>
      </c>
      <c r="D987" t="s">
        <v>2123</v>
      </c>
      <c r="E987" t="s">
        <v>2130</v>
      </c>
      <c r="F987">
        <v>5500000</v>
      </c>
      <c r="G987" t="s">
        <v>2177</v>
      </c>
      <c r="H987" s="1">
        <v>45462</v>
      </c>
    </row>
    <row r="988" spans="1:8" x14ac:dyDescent="0.25">
      <c r="A988" t="s">
        <v>2070</v>
      </c>
      <c r="B988" t="s">
        <v>2231</v>
      </c>
      <c r="C988" t="s">
        <v>2071</v>
      </c>
      <c r="D988" t="s">
        <v>2123</v>
      </c>
      <c r="E988" t="s">
        <v>2130</v>
      </c>
      <c r="F988">
        <v>13000000</v>
      </c>
      <c r="G988" t="s">
        <v>2203</v>
      </c>
      <c r="H988" s="1">
        <v>44789</v>
      </c>
    </row>
    <row r="989" spans="1:8" x14ac:dyDescent="0.25">
      <c r="A989" t="s">
        <v>2072</v>
      </c>
      <c r="B989" t="s">
        <v>2285</v>
      </c>
      <c r="C989" t="s">
        <v>2073</v>
      </c>
      <c r="D989" t="s">
        <v>2144</v>
      </c>
      <c r="E989" t="s">
        <v>2149</v>
      </c>
      <c r="F989">
        <v>13000000</v>
      </c>
      <c r="G989" t="s">
        <v>2277</v>
      </c>
      <c r="H989" s="1">
        <v>45724</v>
      </c>
    </row>
    <row r="990" spans="1:8" x14ac:dyDescent="0.25">
      <c r="A990" t="s">
        <v>2074</v>
      </c>
      <c r="B990" t="s">
        <v>2189</v>
      </c>
      <c r="C990" t="s">
        <v>2075</v>
      </c>
      <c r="D990" t="s">
        <v>2137</v>
      </c>
      <c r="E990" t="s">
        <v>2134</v>
      </c>
      <c r="F990">
        <v>6500000</v>
      </c>
      <c r="G990" t="s">
        <v>2184</v>
      </c>
      <c r="H990" s="1">
        <v>46001</v>
      </c>
    </row>
    <row r="991" spans="1:8" x14ac:dyDescent="0.25">
      <c r="A991" t="s">
        <v>2076</v>
      </c>
      <c r="B991" t="s">
        <v>2237</v>
      </c>
      <c r="C991" t="s">
        <v>2077</v>
      </c>
      <c r="D991" t="s">
        <v>2123</v>
      </c>
      <c r="E991" t="s">
        <v>2149</v>
      </c>
      <c r="F991">
        <v>6500000</v>
      </c>
      <c r="G991" t="s">
        <v>2265</v>
      </c>
      <c r="H991" s="1">
        <v>44694</v>
      </c>
    </row>
    <row r="992" spans="1:8" x14ac:dyDescent="0.25">
      <c r="A992" t="s">
        <v>2078</v>
      </c>
      <c r="B992" t="s">
        <v>2220</v>
      </c>
      <c r="C992" t="s">
        <v>2079</v>
      </c>
      <c r="D992" t="s">
        <v>2133</v>
      </c>
      <c r="E992" t="s">
        <v>2124</v>
      </c>
      <c r="F992">
        <v>10500000</v>
      </c>
      <c r="G992" t="s">
        <v>2140</v>
      </c>
      <c r="H992" s="1">
        <v>44792</v>
      </c>
    </row>
    <row r="993" spans="1:8" x14ac:dyDescent="0.25">
      <c r="A993" t="s">
        <v>2080</v>
      </c>
      <c r="B993" t="s">
        <v>2169</v>
      </c>
      <c r="C993" t="s">
        <v>2081</v>
      </c>
      <c r="D993" t="s">
        <v>2137</v>
      </c>
      <c r="E993" t="s">
        <v>2124</v>
      </c>
      <c r="F993">
        <v>13000000</v>
      </c>
      <c r="G993" t="s">
        <v>2376</v>
      </c>
      <c r="H993" s="1">
        <v>45020</v>
      </c>
    </row>
    <row r="994" spans="1:8" x14ac:dyDescent="0.25">
      <c r="A994" t="s">
        <v>2082</v>
      </c>
      <c r="B994" t="s">
        <v>2309</v>
      </c>
      <c r="C994" t="s">
        <v>2083</v>
      </c>
      <c r="D994" t="s">
        <v>2144</v>
      </c>
      <c r="E994" t="s">
        <v>2120</v>
      </c>
      <c r="F994">
        <v>8000000</v>
      </c>
      <c r="G994" t="s">
        <v>2203</v>
      </c>
      <c r="H994" s="1">
        <v>43936</v>
      </c>
    </row>
    <row r="995" spans="1:8" x14ac:dyDescent="0.25">
      <c r="A995" t="s">
        <v>2084</v>
      </c>
      <c r="B995" t="s">
        <v>2274</v>
      </c>
      <c r="C995" t="s">
        <v>2085</v>
      </c>
      <c r="D995" t="s">
        <v>2137</v>
      </c>
      <c r="E995" t="s">
        <v>2130</v>
      </c>
      <c r="F995">
        <v>5500000</v>
      </c>
      <c r="G995" t="s">
        <v>2135</v>
      </c>
      <c r="H995" s="1">
        <v>44442</v>
      </c>
    </row>
    <row r="996" spans="1:8" x14ac:dyDescent="0.25">
      <c r="A996" t="s">
        <v>2086</v>
      </c>
      <c r="B996" t="s">
        <v>2327</v>
      </c>
      <c r="C996" t="s">
        <v>2087</v>
      </c>
      <c r="D996" t="s">
        <v>2123</v>
      </c>
      <c r="E996" t="s">
        <v>2124</v>
      </c>
      <c r="F996">
        <v>6500000</v>
      </c>
      <c r="G996" t="s">
        <v>2127</v>
      </c>
      <c r="H996" s="1">
        <v>43858</v>
      </c>
    </row>
    <row r="997" spans="1:8" x14ac:dyDescent="0.25">
      <c r="A997" t="s">
        <v>2088</v>
      </c>
      <c r="B997" t="s">
        <v>2132</v>
      </c>
      <c r="C997" t="s">
        <v>2089</v>
      </c>
      <c r="D997" t="s">
        <v>2119</v>
      </c>
      <c r="E997" t="s">
        <v>2134</v>
      </c>
      <c r="F997">
        <v>10500000</v>
      </c>
      <c r="G997" t="s">
        <v>2390</v>
      </c>
      <c r="H997" s="1">
        <v>45967</v>
      </c>
    </row>
    <row r="998" spans="1:8" x14ac:dyDescent="0.25">
      <c r="A998" t="s">
        <v>2090</v>
      </c>
      <c r="B998" t="s">
        <v>2278</v>
      </c>
      <c r="C998" t="s">
        <v>2091</v>
      </c>
      <c r="D998" t="s">
        <v>18</v>
      </c>
      <c r="E998" t="s">
        <v>2124</v>
      </c>
      <c r="F998">
        <v>10500000</v>
      </c>
      <c r="G998" t="s">
        <v>2159</v>
      </c>
      <c r="H998" s="1">
        <v>44937</v>
      </c>
    </row>
    <row r="999" spans="1:8" x14ac:dyDescent="0.25">
      <c r="A999" t="s">
        <v>2092</v>
      </c>
      <c r="B999" t="s">
        <v>2136</v>
      </c>
      <c r="C999" t="s">
        <v>2093</v>
      </c>
      <c r="D999" t="s">
        <v>2144</v>
      </c>
      <c r="E999" t="s">
        <v>2130</v>
      </c>
      <c r="F999">
        <v>8000000</v>
      </c>
      <c r="G999" t="s">
        <v>2131</v>
      </c>
      <c r="H999" s="1">
        <v>45794</v>
      </c>
    </row>
    <row r="1000" spans="1:8" x14ac:dyDescent="0.25">
      <c r="A1000" t="s">
        <v>2094</v>
      </c>
      <c r="B1000" t="s">
        <v>2208</v>
      </c>
      <c r="C1000" t="s">
        <v>2095</v>
      </c>
      <c r="D1000" t="s">
        <v>2119</v>
      </c>
      <c r="E1000" t="s">
        <v>2124</v>
      </c>
      <c r="F1000">
        <v>6500000</v>
      </c>
      <c r="G1000" t="s">
        <v>2159</v>
      </c>
      <c r="H1000" s="1">
        <v>45678</v>
      </c>
    </row>
    <row r="1001" spans="1:8" x14ac:dyDescent="0.25">
      <c r="A1001" t="s">
        <v>2096</v>
      </c>
      <c r="B1001" t="s">
        <v>2173</v>
      </c>
      <c r="C1001" t="s">
        <v>2097</v>
      </c>
      <c r="D1001" t="s">
        <v>2119</v>
      </c>
      <c r="E1001" t="s">
        <v>2120</v>
      </c>
      <c r="F1001">
        <v>13000000</v>
      </c>
      <c r="G1001" t="s">
        <v>2127</v>
      </c>
      <c r="H1001" s="1">
        <v>44395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A8BBC-6E95-4DAB-923D-71DE7F0C4C3E}">
  <dimension ref="A1:I822"/>
  <sheetViews>
    <sheetView workbookViewId="0">
      <selection activeCell="E29" sqref="E29"/>
    </sheetView>
  </sheetViews>
  <sheetFormatPr defaultRowHeight="15" x14ac:dyDescent="0.25"/>
  <cols>
    <col min="1" max="1" width="15" bestFit="1" customWidth="1"/>
    <col min="2" max="2" width="18.5703125" bestFit="1" customWidth="1"/>
    <col min="3" max="3" width="17.28515625" bestFit="1" customWidth="1"/>
    <col min="4" max="4" width="23.85546875" bestFit="1" customWidth="1"/>
    <col min="5" max="5" width="13.42578125" bestFit="1" customWidth="1"/>
    <col min="6" max="6" width="17.85546875" bestFit="1" customWidth="1"/>
    <col min="7" max="7" width="24.28515625" bestFit="1" customWidth="1"/>
    <col min="8" max="8" width="12" bestFit="1" customWidth="1"/>
    <col min="9" max="9" width="14.5703125" bestFit="1" customWidth="1"/>
  </cols>
  <sheetData>
    <row r="1" spans="1:9" x14ac:dyDescent="0.25">
      <c r="A1" t="s">
        <v>0</v>
      </c>
      <c r="B1" t="s">
        <v>2</v>
      </c>
      <c r="C1" t="s">
        <v>2098</v>
      </c>
      <c r="D1" t="s">
        <v>5</v>
      </c>
      <c r="E1" t="s">
        <v>6</v>
      </c>
      <c r="F1" t="s">
        <v>7</v>
      </c>
      <c r="G1" t="s">
        <v>9</v>
      </c>
      <c r="H1" t="s">
        <v>10</v>
      </c>
      <c r="I1" t="s">
        <v>2099</v>
      </c>
    </row>
    <row r="2" spans="1:9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>
        <v>5500000</v>
      </c>
      <c r="G2">
        <v>20</v>
      </c>
      <c r="H2" s="1">
        <v>43887</v>
      </c>
      <c r="I2" t="s">
        <v>2104</v>
      </c>
    </row>
    <row r="3" spans="1:9" x14ac:dyDescent="0.25">
      <c r="A3" t="s">
        <v>45</v>
      </c>
      <c r="B3" t="s">
        <v>46</v>
      </c>
      <c r="C3" t="s">
        <v>47</v>
      </c>
      <c r="D3" t="s">
        <v>37</v>
      </c>
      <c r="E3" t="s">
        <v>15</v>
      </c>
      <c r="F3">
        <v>10500000</v>
      </c>
      <c r="G3">
        <v>37</v>
      </c>
      <c r="H3" s="1">
        <v>44612</v>
      </c>
      <c r="I3" t="s">
        <v>2104</v>
      </c>
    </row>
    <row r="4" spans="1:9" x14ac:dyDescent="0.25">
      <c r="A4" t="s">
        <v>53</v>
      </c>
      <c r="B4" t="s">
        <v>54</v>
      </c>
      <c r="C4" t="s">
        <v>55</v>
      </c>
      <c r="D4" t="s">
        <v>14</v>
      </c>
      <c r="E4" t="s">
        <v>24</v>
      </c>
      <c r="F4">
        <v>13000000</v>
      </c>
      <c r="G4">
        <v>7</v>
      </c>
      <c r="H4" s="1">
        <v>44874</v>
      </c>
      <c r="I4" t="s">
        <v>2104</v>
      </c>
    </row>
    <row r="5" spans="1:9" x14ac:dyDescent="0.25">
      <c r="A5" t="s">
        <v>56</v>
      </c>
      <c r="B5" t="s">
        <v>57</v>
      </c>
      <c r="C5" t="s">
        <v>58</v>
      </c>
      <c r="D5" t="s">
        <v>18</v>
      </c>
      <c r="E5" t="s">
        <v>24</v>
      </c>
      <c r="F5">
        <v>10500000</v>
      </c>
      <c r="G5">
        <v>28</v>
      </c>
      <c r="H5" s="1">
        <v>45000</v>
      </c>
      <c r="I5" t="s">
        <v>2104</v>
      </c>
    </row>
    <row r="6" spans="1:9" x14ac:dyDescent="0.25">
      <c r="A6" t="s">
        <v>62</v>
      </c>
      <c r="B6" t="s">
        <v>63</v>
      </c>
      <c r="C6" t="s">
        <v>64</v>
      </c>
      <c r="D6" t="s">
        <v>42</v>
      </c>
      <c r="E6" t="s">
        <v>19</v>
      </c>
      <c r="F6">
        <v>10500000</v>
      </c>
      <c r="G6">
        <v>20</v>
      </c>
      <c r="H6" s="1">
        <v>43881</v>
      </c>
      <c r="I6" t="s">
        <v>2104</v>
      </c>
    </row>
    <row r="7" spans="1:9" x14ac:dyDescent="0.25">
      <c r="A7" t="s">
        <v>70</v>
      </c>
      <c r="B7" t="s">
        <v>71</v>
      </c>
      <c r="C7" t="s">
        <v>72</v>
      </c>
      <c r="D7" t="s">
        <v>14</v>
      </c>
      <c r="E7" t="s">
        <v>19</v>
      </c>
      <c r="F7">
        <v>6500000</v>
      </c>
      <c r="G7">
        <v>30</v>
      </c>
      <c r="H7" s="1">
        <v>45924</v>
      </c>
      <c r="I7" t="s">
        <v>2104</v>
      </c>
    </row>
    <row r="8" spans="1:9" x14ac:dyDescent="0.25">
      <c r="A8" t="s">
        <v>77</v>
      </c>
      <c r="B8" t="s">
        <v>78</v>
      </c>
      <c r="C8" t="s">
        <v>79</v>
      </c>
      <c r="D8" t="s">
        <v>33</v>
      </c>
      <c r="E8" t="s">
        <v>15</v>
      </c>
      <c r="F8">
        <v>13000000</v>
      </c>
      <c r="G8">
        <v>25</v>
      </c>
      <c r="H8" s="1">
        <v>45894</v>
      </c>
      <c r="I8" t="s">
        <v>2104</v>
      </c>
    </row>
    <row r="9" spans="1:9" x14ac:dyDescent="0.25">
      <c r="A9" t="s">
        <v>80</v>
      </c>
      <c r="B9" t="s">
        <v>81</v>
      </c>
      <c r="C9" t="s">
        <v>82</v>
      </c>
      <c r="D9" t="s">
        <v>37</v>
      </c>
      <c r="E9" t="s">
        <v>19</v>
      </c>
      <c r="F9">
        <v>10500000</v>
      </c>
      <c r="G9">
        <v>10</v>
      </c>
      <c r="H9" s="1">
        <v>45700</v>
      </c>
      <c r="I9" t="s">
        <v>2104</v>
      </c>
    </row>
    <row r="10" spans="1:9" x14ac:dyDescent="0.25">
      <c r="A10" t="s">
        <v>88</v>
      </c>
      <c r="B10" t="s">
        <v>89</v>
      </c>
      <c r="C10" t="s">
        <v>90</v>
      </c>
      <c r="D10" t="s">
        <v>18</v>
      </c>
      <c r="E10" t="s">
        <v>15</v>
      </c>
      <c r="F10">
        <v>10500000</v>
      </c>
      <c r="G10">
        <v>37</v>
      </c>
      <c r="H10" s="1">
        <v>45368</v>
      </c>
      <c r="I10" t="s">
        <v>2104</v>
      </c>
    </row>
    <row r="11" spans="1:9" x14ac:dyDescent="0.25">
      <c r="A11" t="s">
        <v>96</v>
      </c>
      <c r="B11" t="s">
        <v>51</v>
      </c>
      <c r="C11" t="s">
        <v>97</v>
      </c>
      <c r="D11" t="s">
        <v>33</v>
      </c>
      <c r="E11" t="s">
        <v>34</v>
      </c>
      <c r="F11">
        <v>6500000</v>
      </c>
      <c r="G11">
        <v>34</v>
      </c>
      <c r="H11" s="1">
        <v>45873</v>
      </c>
      <c r="I11" t="s">
        <v>2104</v>
      </c>
    </row>
    <row r="12" spans="1:9" x14ac:dyDescent="0.25">
      <c r="A12" t="s">
        <v>98</v>
      </c>
      <c r="B12" t="s">
        <v>99</v>
      </c>
      <c r="C12" t="s">
        <v>100</v>
      </c>
      <c r="D12" t="s">
        <v>37</v>
      </c>
      <c r="E12" t="s">
        <v>15</v>
      </c>
      <c r="F12">
        <v>6500000</v>
      </c>
      <c r="G12">
        <v>4</v>
      </c>
      <c r="H12" s="1">
        <v>45391</v>
      </c>
      <c r="I12" t="s">
        <v>2104</v>
      </c>
    </row>
    <row r="13" spans="1:9" x14ac:dyDescent="0.25">
      <c r="A13" t="s">
        <v>117</v>
      </c>
      <c r="B13" t="s">
        <v>118</v>
      </c>
      <c r="C13" t="s">
        <v>119</v>
      </c>
      <c r="D13" t="s">
        <v>33</v>
      </c>
      <c r="E13" t="s">
        <v>38</v>
      </c>
      <c r="F13">
        <v>6500000</v>
      </c>
      <c r="G13">
        <v>3</v>
      </c>
      <c r="H13" s="1">
        <v>44242</v>
      </c>
      <c r="I13" t="s">
        <v>2104</v>
      </c>
    </row>
    <row r="14" spans="1:9" x14ac:dyDescent="0.25">
      <c r="A14" t="s">
        <v>137</v>
      </c>
      <c r="B14" t="s">
        <v>129</v>
      </c>
      <c r="C14" t="s">
        <v>138</v>
      </c>
      <c r="D14" t="s">
        <v>42</v>
      </c>
      <c r="E14" t="s">
        <v>34</v>
      </c>
      <c r="F14">
        <v>8000000</v>
      </c>
      <c r="G14">
        <v>29</v>
      </c>
      <c r="H14" s="1">
        <v>44375</v>
      </c>
      <c r="I14" t="s">
        <v>2104</v>
      </c>
    </row>
    <row r="15" spans="1:9" x14ac:dyDescent="0.25">
      <c r="A15" t="s">
        <v>139</v>
      </c>
      <c r="B15" t="s">
        <v>68</v>
      </c>
      <c r="C15" t="s">
        <v>140</v>
      </c>
      <c r="D15" t="s">
        <v>37</v>
      </c>
      <c r="E15" t="s">
        <v>15</v>
      </c>
      <c r="F15">
        <v>13000000</v>
      </c>
      <c r="G15">
        <v>15</v>
      </c>
      <c r="H15" s="1">
        <v>45068</v>
      </c>
      <c r="I15" t="s">
        <v>2104</v>
      </c>
    </row>
    <row r="16" spans="1:9" x14ac:dyDescent="0.25">
      <c r="A16" t="s">
        <v>141</v>
      </c>
      <c r="B16" t="s">
        <v>142</v>
      </c>
      <c r="C16" t="s">
        <v>143</v>
      </c>
      <c r="D16" t="s">
        <v>42</v>
      </c>
      <c r="E16" t="s">
        <v>38</v>
      </c>
      <c r="F16">
        <v>10500000</v>
      </c>
      <c r="G16">
        <v>0</v>
      </c>
      <c r="H16" s="1">
        <v>44430</v>
      </c>
      <c r="I16" t="s">
        <v>2104</v>
      </c>
    </row>
    <row r="17" spans="1:9" x14ac:dyDescent="0.25">
      <c r="A17" t="s">
        <v>144</v>
      </c>
      <c r="B17" t="s">
        <v>145</v>
      </c>
      <c r="C17" t="s">
        <v>146</v>
      </c>
      <c r="D17" t="s">
        <v>37</v>
      </c>
      <c r="E17" t="s">
        <v>19</v>
      </c>
      <c r="F17">
        <v>5500000</v>
      </c>
      <c r="G17">
        <v>0</v>
      </c>
      <c r="H17" s="1">
        <v>45797</v>
      </c>
      <c r="I17" t="s">
        <v>2104</v>
      </c>
    </row>
    <row r="18" spans="1:9" x14ac:dyDescent="0.25">
      <c r="A18" t="s">
        <v>147</v>
      </c>
      <c r="B18" t="s">
        <v>148</v>
      </c>
      <c r="C18" t="s">
        <v>149</v>
      </c>
      <c r="D18" t="s">
        <v>18</v>
      </c>
      <c r="E18" t="s">
        <v>19</v>
      </c>
      <c r="F18">
        <v>8000000</v>
      </c>
      <c r="G18">
        <v>28</v>
      </c>
      <c r="H18" s="1">
        <v>44390</v>
      </c>
      <c r="I18" t="s">
        <v>2104</v>
      </c>
    </row>
    <row r="19" spans="1:9" x14ac:dyDescent="0.25">
      <c r="A19" t="s">
        <v>150</v>
      </c>
      <c r="B19" t="s">
        <v>89</v>
      </c>
      <c r="C19" t="s">
        <v>151</v>
      </c>
      <c r="D19" t="s">
        <v>18</v>
      </c>
      <c r="E19" t="s">
        <v>38</v>
      </c>
      <c r="F19">
        <v>8000000</v>
      </c>
      <c r="G19">
        <v>40</v>
      </c>
      <c r="H19" s="1">
        <v>45762</v>
      </c>
      <c r="I19" t="s">
        <v>2104</v>
      </c>
    </row>
    <row r="20" spans="1:9" x14ac:dyDescent="0.25">
      <c r="A20" t="s">
        <v>152</v>
      </c>
      <c r="B20" t="s">
        <v>153</v>
      </c>
      <c r="C20" t="s">
        <v>154</v>
      </c>
      <c r="D20" t="s">
        <v>18</v>
      </c>
      <c r="E20" t="s">
        <v>19</v>
      </c>
      <c r="F20">
        <v>6500000</v>
      </c>
      <c r="G20">
        <v>27</v>
      </c>
      <c r="H20" s="1">
        <v>44296</v>
      </c>
      <c r="I20" t="s">
        <v>2104</v>
      </c>
    </row>
    <row r="21" spans="1:9" x14ac:dyDescent="0.25">
      <c r="A21" t="s">
        <v>155</v>
      </c>
      <c r="B21" t="s">
        <v>153</v>
      </c>
      <c r="C21" t="s">
        <v>156</v>
      </c>
      <c r="D21" t="s">
        <v>23</v>
      </c>
      <c r="E21" t="s">
        <v>15</v>
      </c>
      <c r="F21">
        <v>8000000</v>
      </c>
      <c r="G21">
        <v>2</v>
      </c>
      <c r="H21" s="1">
        <v>44909</v>
      </c>
      <c r="I21" t="s">
        <v>2104</v>
      </c>
    </row>
    <row r="22" spans="1:9" x14ac:dyDescent="0.25">
      <c r="A22" t="s">
        <v>157</v>
      </c>
      <c r="B22" t="s">
        <v>158</v>
      </c>
      <c r="C22" t="s">
        <v>159</v>
      </c>
      <c r="D22" t="s">
        <v>14</v>
      </c>
      <c r="E22" t="s">
        <v>15</v>
      </c>
      <c r="F22">
        <v>13000000</v>
      </c>
      <c r="G22">
        <v>24</v>
      </c>
      <c r="H22" s="1">
        <v>44687</v>
      </c>
      <c r="I22" t="s">
        <v>2104</v>
      </c>
    </row>
    <row r="23" spans="1:9" x14ac:dyDescent="0.25">
      <c r="A23" t="s">
        <v>160</v>
      </c>
      <c r="B23" t="s">
        <v>161</v>
      </c>
      <c r="C23" t="s">
        <v>162</v>
      </c>
      <c r="D23" t="s">
        <v>23</v>
      </c>
      <c r="E23" t="s">
        <v>38</v>
      </c>
      <c r="F23">
        <v>10500000</v>
      </c>
      <c r="G23">
        <v>28</v>
      </c>
      <c r="H23" s="1">
        <v>44005</v>
      </c>
      <c r="I23" t="s">
        <v>2104</v>
      </c>
    </row>
    <row r="24" spans="1:9" x14ac:dyDescent="0.25">
      <c r="A24" t="s">
        <v>163</v>
      </c>
      <c r="B24" t="s">
        <v>92</v>
      </c>
      <c r="C24" t="s">
        <v>164</v>
      </c>
      <c r="D24" t="s">
        <v>42</v>
      </c>
      <c r="E24" t="s">
        <v>38</v>
      </c>
      <c r="F24">
        <v>13000000</v>
      </c>
      <c r="G24">
        <v>32</v>
      </c>
      <c r="H24" s="1">
        <v>44482</v>
      </c>
      <c r="I24" t="s">
        <v>2104</v>
      </c>
    </row>
    <row r="25" spans="1:9" x14ac:dyDescent="0.25">
      <c r="A25" t="s">
        <v>165</v>
      </c>
      <c r="B25" t="s">
        <v>166</v>
      </c>
      <c r="C25" t="s">
        <v>167</v>
      </c>
      <c r="D25" t="s">
        <v>23</v>
      </c>
      <c r="E25" t="s">
        <v>15</v>
      </c>
      <c r="F25">
        <v>10500000</v>
      </c>
      <c r="G25">
        <v>32</v>
      </c>
      <c r="H25" s="1">
        <v>44662</v>
      </c>
      <c r="I25" t="s">
        <v>2104</v>
      </c>
    </row>
    <row r="26" spans="1:9" x14ac:dyDescent="0.25">
      <c r="A26" t="s">
        <v>168</v>
      </c>
      <c r="B26" t="s">
        <v>134</v>
      </c>
      <c r="C26" t="s">
        <v>169</v>
      </c>
      <c r="D26" t="s">
        <v>33</v>
      </c>
      <c r="E26" t="s">
        <v>15</v>
      </c>
      <c r="F26">
        <v>8000000</v>
      </c>
      <c r="G26">
        <v>33</v>
      </c>
      <c r="H26" s="1">
        <v>44769</v>
      </c>
      <c r="I26" t="s">
        <v>2104</v>
      </c>
    </row>
    <row r="27" spans="1:9" x14ac:dyDescent="0.25">
      <c r="A27" t="s">
        <v>170</v>
      </c>
      <c r="B27" t="s">
        <v>171</v>
      </c>
      <c r="C27" t="s">
        <v>172</v>
      </c>
      <c r="D27" t="s">
        <v>14</v>
      </c>
      <c r="E27" t="s">
        <v>19</v>
      </c>
      <c r="F27">
        <v>8000000</v>
      </c>
      <c r="G27">
        <v>2</v>
      </c>
      <c r="H27" s="1">
        <v>45018</v>
      </c>
      <c r="I27" t="s">
        <v>2104</v>
      </c>
    </row>
    <row r="28" spans="1:9" x14ac:dyDescent="0.25">
      <c r="A28" t="s">
        <v>176</v>
      </c>
      <c r="B28" t="s">
        <v>177</v>
      </c>
      <c r="C28" t="s">
        <v>178</v>
      </c>
      <c r="D28" t="s">
        <v>14</v>
      </c>
      <c r="E28" t="s">
        <v>19</v>
      </c>
      <c r="F28">
        <v>6500000</v>
      </c>
      <c r="G28">
        <v>0</v>
      </c>
      <c r="H28" s="1">
        <v>44824</v>
      </c>
      <c r="I28" t="s">
        <v>2104</v>
      </c>
    </row>
    <row r="29" spans="1:9" x14ac:dyDescent="0.25">
      <c r="A29" t="s">
        <v>179</v>
      </c>
      <c r="B29" t="s">
        <v>180</v>
      </c>
      <c r="C29" t="s">
        <v>181</v>
      </c>
      <c r="D29" t="s">
        <v>33</v>
      </c>
      <c r="E29" t="s">
        <v>34</v>
      </c>
      <c r="F29">
        <v>13000000</v>
      </c>
      <c r="G29">
        <v>29</v>
      </c>
      <c r="H29" s="1">
        <v>44155</v>
      </c>
      <c r="I29" t="s">
        <v>2104</v>
      </c>
    </row>
    <row r="30" spans="1:9" x14ac:dyDescent="0.25">
      <c r="A30" t="s">
        <v>182</v>
      </c>
      <c r="B30" t="s">
        <v>21</v>
      </c>
      <c r="C30" t="s">
        <v>183</v>
      </c>
      <c r="D30" t="s">
        <v>33</v>
      </c>
      <c r="E30" t="s">
        <v>24</v>
      </c>
      <c r="F30">
        <v>10500000</v>
      </c>
      <c r="G30">
        <v>8</v>
      </c>
      <c r="H30" s="1">
        <v>44793</v>
      </c>
      <c r="I30" t="s">
        <v>2104</v>
      </c>
    </row>
    <row r="31" spans="1:9" x14ac:dyDescent="0.25">
      <c r="A31" t="s">
        <v>184</v>
      </c>
      <c r="B31" t="s">
        <v>105</v>
      </c>
      <c r="C31" t="s">
        <v>185</v>
      </c>
      <c r="D31" t="s">
        <v>37</v>
      </c>
      <c r="E31" t="s">
        <v>19</v>
      </c>
      <c r="F31">
        <v>5500000</v>
      </c>
      <c r="G31">
        <v>12</v>
      </c>
      <c r="H31" s="1">
        <v>44178</v>
      </c>
      <c r="I31" t="s">
        <v>2104</v>
      </c>
    </row>
    <row r="32" spans="1:9" x14ac:dyDescent="0.25">
      <c r="A32" t="s">
        <v>189</v>
      </c>
      <c r="B32" t="s">
        <v>190</v>
      </c>
      <c r="C32" t="s">
        <v>191</v>
      </c>
      <c r="D32" t="s">
        <v>33</v>
      </c>
      <c r="E32" t="s">
        <v>24</v>
      </c>
      <c r="F32">
        <v>13000000</v>
      </c>
      <c r="G32">
        <v>1</v>
      </c>
      <c r="H32" s="1">
        <v>45331</v>
      </c>
      <c r="I32" t="s">
        <v>2104</v>
      </c>
    </row>
    <row r="33" spans="1:9" x14ac:dyDescent="0.25">
      <c r="A33" t="s">
        <v>192</v>
      </c>
      <c r="B33" t="s">
        <v>193</v>
      </c>
      <c r="C33" t="s">
        <v>194</v>
      </c>
      <c r="D33" t="s">
        <v>37</v>
      </c>
      <c r="E33" t="s">
        <v>15</v>
      </c>
      <c r="F33">
        <v>5500000</v>
      </c>
      <c r="G33">
        <v>21</v>
      </c>
      <c r="H33" s="1">
        <v>45064</v>
      </c>
      <c r="I33" t="s">
        <v>2104</v>
      </c>
    </row>
    <row r="34" spans="1:9" x14ac:dyDescent="0.25">
      <c r="A34" t="s">
        <v>195</v>
      </c>
      <c r="B34" t="s">
        <v>196</v>
      </c>
      <c r="C34" t="s">
        <v>197</v>
      </c>
      <c r="D34" t="s">
        <v>23</v>
      </c>
      <c r="E34" t="s">
        <v>38</v>
      </c>
      <c r="F34">
        <v>13000000</v>
      </c>
      <c r="G34">
        <v>24</v>
      </c>
      <c r="H34" s="1">
        <v>44558</v>
      </c>
      <c r="I34" t="s">
        <v>2104</v>
      </c>
    </row>
    <row r="35" spans="1:9" x14ac:dyDescent="0.25">
      <c r="A35" t="s">
        <v>198</v>
      </c>
      <c r="B35" t="s">
        <v>102</v>
      </c>
      <c r="C35" t="s">
        <v>199</v>
      </c>
      <c r="D35" t="s">
        <v>14</v>
      </c>
      <c r="E35" t="s">
        <v>38</v>
      </c>
      <c r="F35">
        <v>13000000</v>
      </c>
      <c r="G35">
        <v>3</v>
      </c>
      <c r="H35" s="1">
        <v>44021</v>
      </c>
      <c r="I35" t="s">
        <v>2104</v>
      </c>
    </row>
    <row r="36" spans="1:9" x14ac:dyDescent="0.25">
      <c r="A36" t="s">
        <v>237</v>
      </c>
      <c r="B36" t="s">
        <v>31</v>
      </c>
      <c r="C36" t="s">
        <v>238</v>
      </c>
      <c r="D36" t="s">
        <v>37</v>
      </c>
      <c r="E36" t="s">
        <v>19</v>
      </c>
      <c r="F36">
        <v>6500000</v>
      </c>
      <c r="G36">
        <v>31</v>
      </c>
      <c r="H36" s="1">
        <v>45575</v>
      </c>
      <c r="I36" t="s">
        <v>2104</v>
      </c>
    </row>
    <row r="37" spans="1:9" x14ac:dyDescent="0.25">
      <c r="A37" t="s">
        <v>239</v>
      </c>
      <c r="B37" t="s">
        <v>110</v>
      </c>
      <c r="C37" t="s">
        <v>240</v>
      </c>
      <c r="D37" t="s">
        <v>42</v>
      </c>
      <c r="E37" t="s">
        <v>24</v>
      </c>
      <c r="F37">
        <v>5500000</v>
      </c>
      <c r="G37">
        <v>2</v>
      </c>
      <c r="H37" s="1">
        <v>44535</v>
      </c>
      <c r="I37" t="s">
        <v>2104</v>
      </c>
    </row>
    <row r="38" spans="1:9" x14ac:dyDescent="0.25">
      <c r="A38" t="s">
        <v>241</v>
      </c>
      <c r="B38" t="s">
        <v>161</v>
      </c>
      <c r="C38" t="s">
        <v>242</v>
      </c>
      <c r="D38" t="s">
        <v>23</v>
      </c>
      <c r="E38" t="s">
        <v>34</v>
      </c>
      <c r="F38">
        <v>6500000</v>
      </c>
      <c r="G38">
        <v>38</v>
      </c>
      <c r="H38" s="1">
        <v>44051</v>
      </c>
      <c r="I38" t="s">
        <v>2104</v>
      </c>
    </row>
    <row r="39" spans="1:9" x14ac:dyDescent="0.25">
      <c r="A39" t="s">
        <v>243</v>
      </c>
      <c r="B39" t="s">
        <v>244</v>
      </c>
      <c r="C39" t="s">
        <v>245</v>
      </c>
      <c r="D39" t="s">
        <v>18</v>
      </c>
      <c r="E39" t="s">
        <v>38</v>
      </c>
      <c r="F39">
        <v>10500000</v>
      </c>
      <c r="G39">
        <v>40</v>
      </c>
      <c r="H39" s="1">
        <v>44149</v>
      </c>
      <c r="I39" t="s">
        <v>2104</v>
      </c>
    </row>
    <row r="40" spans="1:9" x14ac:dyDescent="0.25">
      <c r="A40" t="s">
        <v>246</v>
      </c>
      <c r="B40" t="s">
        <v>145</v>
      </c>
      <c r="C40" t="s">
        <v>247</v>
      </c>
      <c r="D40" t="s">
        <v>14</v>
      </c>
      <c r="E40" t="s">
        <v>24</v>
      </c>
      <c r="F40">
        <v>6500000</v>
      </c>
      <c r="G40">
        <v>11</v>
      </c>
      <c r="H40" s="1">
        <v>44426</v>
      </c>
      <c r="I40" t="s">
        <v>2104</v>
      </c>
    </row>
    <row r="41" spans="1:9" x14ac:dyDescent="0.25">
      <c r="A41" t="s">
        <v>248</v>
      </c>
      <c r="B41" t="s">
        <v>21</v>
      </c>
      <c r="C41" t="s">
        <v>249</v>
      </c>
      <c r="D41" t="s">
        <v>18</v>
      </c>
      <c r="E41" t="s">
        <v>19</v>
      </c>
      <c r="F41">
        <v>6500000</v>
      </c>
      <c r="G41">
        <v>24</v>
      </c>
      <c r="H41" s="1">
        <v>45831</v>
      </c>
      <c r="I41" t="s">
        <v>2104</v>
      </c>
    </row>
    <row r="42" spans="1:9" x14ac:dyDescent="0.25">
      <c r="A42" t="s">
        <v>250</v>
      </c>
      <c r="B42" t="s">
        <v>68</v>
      </c>
      <c r="C42" t="s">
        <v>251</v>
      </c>
      <c r="D42" t="s">
        <v>42</v>
      </c>
      <c r="E42" t="s">
        <v>24</v>
      </c>
      <c r="F42">
        <v>5500000</v>
      </c>
      <c r="G42">
        <v>25</v>
      </c>
      <c r="H42" s="1">
        <v>45250</v>
      </c>
      <c r="I42" t="s">
        <v>2104</v>
      </c>
    </row>
    <row r="43" spans="1:9" x14ac:dyDescent="0.25">
      <c r="A43" t="s">
        <v>252</v>
      </c>
      <c r="B43" t="s">
        <v>253</v>
      </c>
      <c r="C43" t="s">
        <v>254</v>
      </c>
      <c r="D43" t="s">
        <v>14</v>
      </c>
      <c r="E43" t="s">
        <v>34</v>
      </c>
      <c r="F43">
        <v>5500000</v>
      </c>
      <c r="G43">
        <v>9</v>
      </c>
      <c r="H43" s="1">
        <v>43850</v>
      </c>
      <c r="I43" t="s">
        <v>2104</v>
      </c>
    </row>
    <row r="44" spans="1:9" x14ac:dyDescent="0.25">
      <c r="A44" t="s">
        <v>255</v>
      </c>
      <c r="B44" t="s">
        <v>166</v>
      </c>
      <c r="C44" t="s">
        <v>256</v>
      </c>
      <c r="D44" t="s">
        <v>14</v>
      </c>
      <c r="E44" t="s">
        <v>38</v>
      </c>
      <c r="F44">
        <v>8000000</v>
      </c>
      <c r="G44">
        <v>0</v>
      </c>
      <c r="H44" s="1">
        <v>45822</v>
      </c>
      <c r="I44" t="s">
        <v>2104</v>
      </c>
    </row>
    <row r="45" spans="1:9" x14ac:dyDescent="0.25">
      <c r="A45" t="s">
        <v>257</v>
      </c>
      <c r="B45" t="s">
        <v>258</v>
      </c>
      <c r="C45" t="s">
        <v>259</v>
      </c>
      <c r="D45" t="s">
        <v>23</v>
      </c>
      <c r="E45" t="s">
        <v>24</v>
      </c>
      <c r="F45">
        <v>13000000</v>
      </c>
      <c r="G45">
        <v>30</v>
      </c>
      <c r="H45" s="1">
        <v>45952</v>
      </c>
      <c r="I45" t="s">
        <v>2104</v>
      </c>
    </row>
    <row r="46" spans="1:9" x14ac:dyDescent="0.25">
      <c r="A46" t="s">
        <v>260</v>
      </c>
      <c r="B46" t="s">
        <v>261</v>
      </c>
      <c r="C46" t="s">
        <v>262</v>
      </c>
      <c r="D46" t="s">
        <v>37</v>
      </c>
      <c r="E46" t="s">
        <v>24</v>
      </c>
      <c r="F46">
        <v>13000000</v>
      </c>
      <c r="G46">
        <v>1</v>
      </c>
      <c r="H46" s="1">
        <v>45841</v>
      </c>
      <c r="I46" t="s">
        <v>2104</v>
      </c>
    </row>
    <row r="47" spans="1:9" x14ac:dyDescent="0.25">
      <c r="A47" t="s">
        <v>266</v>
      </c>
      <c r="B47" t="s">
        <v>267</v>
      </c>
      <c r="C47" t="s">
        <v>268</v>
      </c>
      <c r="D47" t="s">
        <v>37</v>
      </c>
      <c r="E47" t="s">
        <v>15</v>
      </c>
      <c r="F47">
        <v>10500000</v>
      </c>
      <c r="G47">
        <v>40</v>
      </c>
      <c r="H47" s="1">
        <v>45134</v>
      </c>
      <c r="I47" t="s">
        <v>2104</v>
      </c>
    </row>
    <row r="48" spans="1:9" x14ac:dyDescent="0.25">
      <c r="A48" t="s">
        <v>269</v>
      </c>
      <c r="B48" t="s">
        <v>270</v>
      </c>
      <c r="C48" t="s">
        <v>271</v>
      </c>
      <c r="D48" t="s">
        <v>37</v>
      </c>
      <c r="E48" t="s">
        <v>38</v>
      </c>
      <c r="F48">
        <v>13000000</v>
      </c>
      <c r="G48">
        <v>36</v>
      </c>
      <c r="H48" s="1">
        <v>43963</v>
      </c>
      <c r="I48" t="s">
        <v>2104</v>
      </c>
    </row>
    <row r="49" spans="1:9" x14ac:dyDescent="0.25">
      <c r="A49" t="s">
        <v>272</v>
      </c>
      <c r="B49" t="s">
        <v>60</v>
      </c>
      <c r="C49" t="s">
        <v>273</v>
      </c>
      <c r="D49" t="s">
        <v>33</v>
      </c>
      <c r="E49" t="s">
        <v>38</v>
      </c>
      <c r="F49">
        <v>10500000</v>
      </c>
      <c r="G49">
        <v>34</v>
      </c>
      <c r="H49" s="1">
        <v>44481</v>
      </c>
      <c r="I49" t="s">
        <v>2104</v>
      </c>
    </row>
    <row r="50" spans="1:9" x14ac:dyDescent="0.25">
      <c r="A50" t="s">
        <v>274</v>
      </c>
      <c r="B50" t="s">
        <v>75</v>
      </c>
      <c r="C50" t="s">
        <v>275</v>
      </c>
      <c r="D50" t="s">
        <v>33</v>
      </c>
      <c r="E50" t="s">
        <v>34</v>
      </c>
      <c r="F50">
        <v>8000000</v>
      </c>
      <c r="G50">
        <v>36</v>
      </c>
      <c r="H50" s="1">
        <v>44453</v>
      </c>
      <c r="I50" t="s">
        <v>2104</v>
      </c>
    </row>
    <row r="51" spans="1:9" x14ac:dyDescent="0.25">
      <c r="A51" t="s">
        <v>278</v>
      </c>
      <c r="B51" t="s">
        <v>134</v>
      </c>
      <c r="C51" t="s">
        <v>279</v>
      </c>
      <c r="D51" t="s">
        <v>33</v>
      </c>
      <c r="E51" t="s">
        <v>38</v>
      </c>
      <c r="F51">
        <v>10500000</v>
      </c>
      <c r="G51">
        <v>38</v>
      </c>
      <c r="H51" s="1">
        <v>45120</v>
      </c>
      <c r="I51" t="s">
        <v>2104</v>
      </c>
    </row>
    <row r="52" spans="1:9" x14ac:dyDescent="0.25">
      <c r="A52" t="s">
        <v>280</v>
      </c>
      <c r="B52" t="s">
        <v>281</v>
      </c>
      <c r="C52" t="s">
        <v>282</v>
      </c>
      <c r="D52" t="s">
        <v>14</v>
      </c>
      <c r="E52" t="s">
        <v>15</v>
      </c>
      <c r="F52">
        <v>8000000</v>
      </c>
      <c r="G52">
        <v>3</v>
      </c>
      <c r="H52" s="1">
        <v>45466</v>
      </c>
      <c r="I52" t="s">
        <v>2104</v>
      </c>
    </row>
    <row r="53" spans="1:9" x14ac:dyDescent="0.25">
      <c r="A53" t="s">
        <v>283</v>
      </c>
      <c r="B53" t="s">
        <v>28</v>
      </c>
      <c r="C53" t="s">
        <v>284</v>
      </c>
      <c r="D53" t="s">
        <v>37</v>
      </c>
      <c r="E53" t="s">
        <v>24</v>
      </c>
      <c r="F53">
        <v>8000000</v>
      </c>
      <c r="G53">
        <v>8</v>
      </c>
      <c r="H53" s="1">
        <v>45628</v>
      </c>
      <c r="I53" t="s">
        <v>2104</v>
      </c>
    </row>
    <row r="54" spans="1:9" x14ac:dyDescent="0.25">
      <c r="A54" t="s">
        <v>285</v>
      </c>
      <c r="B54" t="s">
        <v>208</v>
      </c>
      <c r="C54" t="s">
        <v>286</v>
      </c>
      <c r="D54" t="s">
        <v>23</v>
      </c>
      <c r="E54" t="s">
        <v>24</v>
      </c>
      <c r="F54">
        <v>13000000</v>
      </c>
      <c r="G54">
        <v>14</v>
      </c>
      <c r="H54" s="1">
        <v>44059</v>
      </c>
      <c r="I54" t="s">
        <v>2104</v>
      </c>
    </row>
    <row r="55" spans="1:9" x14ac:dyDescent="0.25">
      <c r="A55" t="s">
        <v>290</v>
      </c>
      <c r="B55" t="s">
        <v>267</v>
      </c>
      <c r="C55" t="s">
        <v>291</v>
      </c>
      <c r="D55" t="s">
        <v>33</v>
      </c>
      <c r="E55" t="s">
        <v>38</v>
      </c>
      <c r="F55">
        <v>8000000</v>
      </c>
      <c r="G55">
        <v>0</v>
      </c>
      <c r="H55" s="1">
        <v>44231</v>
      </c>
      <c r="I55" t="s">
        <v>2104</v>
      </c>
    </row>
    <row r="56" spans="1:9" x14ac:dyDescent="0.25">
      <c r="A56" t="s">
        <v>292</v>
      </c>
      <c r="B56" t="s">
        <v>86</v>
      </c>
      <c r="C56" t="s">
        <v>293</v>
      </c>
      <c r="D56" t="s">
        <v>37</v>
      </c>
      <c r="E56" t="s">
        <v>34</v>
      </c>
      <c r="F56">
        <v>8000000</v>
      </c>
      <c r="G56">
        <v>3</v>
      </c>
      <c r="H56" s="1">
        <v>45662</v>
      </c>
      <c r="I56" t="s">
        <v>2104</v>
      </c>
    </row>
    <row r="57" spans="1:9" x14ac:dyDescent="0.25">
      <c r="A57" t="s">
        <v>294</v>
      </c>
      <c r="B57" t="s">
        <v>281</v>
      </c>
      <c r="C57" t="s">
        <v>295</v>
      </c>
      <c r="D57" t="s">
        <v>37</v>
      </c>
      <c r="E57" t="s">
        <v>38</v>
      </c>
      <c r="F57">
        <v>6500000</v>
      </c>
      <c r="G57">
        <v>23</v>
      </c>
      <c r="H57" s="1">
        <v>44418</v>
      </c>
      <c r="I57" t="s">
        <v>2104</v>
      </c>
    </row>
    <row r="58" spans="1:9" x14ac:dyDescent="0.25">
      <c r="A58" t="s">
        <v>296</v>
      </c>
      <c r="B58" t="s">
        <v>161</v>
      </c>
      <c r="C58" t="s">
        <v>297</v>
      </c>
      <c r="D58" t="s">
        <v>33</v>
      </c>
      <c r="E58" t="s">
        <v>38</v>
      </c>
      <c r="F58">
        <v>13000000</v>
      </c>
      <c r="G58">
        <v>4</v>
      </c>
      <c r="H58" s="1">
        <v>43900</v>
      </c>
      <c r="I58" t="s">
        <v>2104</v>
      </c>
    </row>
    <row r="59" spans="1:9" x14ac:dyDescent="0.25">
      <c r="A59" t="s">
        <v>298</v>
      </c>
      <c r="B59" t="s">
        <v>299</v>
      </c>
      <c r="C59" t="s">
        <v>300</v>
      </c>
      <c r="D59" t="s">
        <v>18</v>
      </c>
      <c r="E59" t="s">
        <v>19</v>
      </c>
      <c r="F59">
        <v>5500000</v>
      </c>
      <c r="G59">
        <v>29</v>
      </c>
      <c r="H59" s="1">
        <v>44912</v>
      </c>
      <c r="I59" t="s">
        <v>2104</v>
      </c>
    </row>
    <row r="60" spans="1:9" x14ac:dyDescent="0.25">
      <c r="A60" t="s">
        <v>303</v>
      </c>
      <c r="B60" t="s">
        <v>148</v>
      </c>
      <c r="C60" t="s">
        <v>304</v>
      </c>
      <c r="D60" t="s">
        <v>42</v>
      </c>
      <c r="E60" t="s">
        <v>24</v>
      </c>
      <c r="F60">
        <v>13000000</v>
      </c>
      <c r="G60">
        <v>3</v>
      </c>
      <c r="H60" s="1">
        <v>44775</v>
      </c>
      <c r="I60" t="s">
        <v>2104</v>
      </c>
    </row>
    <row r="61" spans="1:9" x14ac:dyDescent="0.25">
      <c r="A61" t="s">
        <v>305</v>
      </c>
      <c r="B61" t="s">
        <v>187</v>
      </c>
      <c r="C61" t="s">
        <v>306</v>
      </c>
      <c r="D61" t="s">
        <v>37</v>
      </c>
      <c r="E61" t="s">
        <v>38</v>
      </c>
      <c r="F61">
        <v>10500000</v>
      </c>
      <c r="G61">
        <v>5</v>
      </c>
      <c r="H61" s="1">
        <v>44623</v>
      </c>
      <c r="I61" t="s">
        <v>2104</v>
      </c>
    </row>
    <row r="62" spans="1:9" x14ac:dyDescent="0.25">
      <c r="A62" t="s">
        <v>307</v>
      </c>
      <c r="B62" t="s">
        <v>308</v>
      </c>
      <c r="C62" t="s">
        <v>309</v>
      </c>
      <c r="D62" t="s">
        <v>14</v>
      </c>
      <c r="E62" t="s">
        <v>24</v>
      </c>
      <c r="F62">
        <v>5500000</v>
      </c>
      <c r="G62">
        <v>3</v>
      </c>
      <c r="H62" s="1">
        <v>45630</v>
      </c>
      <c r="I62" t="s">
        <v>2104</v>
      </c>
    </row>
    <row r="63" spans="1:9" x14ac:dyDescent="0.25">
      <c r="A63" t="s">
        <v>310</v>
      </c>
      <c r="B63" t="s">
        <v>311</v>
      </c>
      <c r="C63" t="s">
        <v>312</v>
      </c>
      <c r="D63" t="s">
        <v>42</v>
      </c>
      <c r="E63" t="s">
        <v>24</v>
      </c>
      <c r="F63">
        <v>5500000</v>
      </c>
      <c r="G63">
        <v>31</v>
      </c>
      <c r="H63" s="1">
        <v>44579</v>
      </c>
      <c r="I63" t="s">
        <v>2104</v>
      </c>
    </row>
    <row r="64" spans="1:9" x14ac:dyDescent="0.25">
      <c r="A64" t="s">
        <v>313</v>
      </c>
      <c r="B64" t="s">
        <v>203</v>
      </c>
      <c r="C64" t="s">
        <v>314</v>
      </c>
      <c r="D64" t="s">
        <v>37</v>
      </c>
      <c r="E64" t="s">
        <v>24</v>
      </c>
      <c r="F64">
        <v>6500000</v>
      </c>
      <c r="G64">
        <v>27</v>
      </c>
      <c r="H64" s="1">
        <v>44630</v>
      </c>
      <c r="I64" t="s">
        <v>2104</v>
      </c>
    </row>
    <row r="65" spans="1:9" x14ac:dyDescent="0.25">
      <c r="A65" t="s">
        <v>315</v>
      </c>
      <c r="B65" t="s">
        <v>316</v>
      </c>
      <c r="C65" t="s">
        <v>317</v>
      </c>
      <c r="D65" t="s">
        <v>23</v>
      </c>
      <c r="E65" t="s">
        <v>24</v>
      </c>
      <c r="F65">
        <v>8000000</v>
      </c>
      <c r="G65">
        <v>11</v>
      </c>
      <c r="H65" s="1">
        <v>45469</v>
      </c>
      <c r="I65" t="s">
        <v>2104</v>
      </c>
    </row>
    <row r="66" spans="1:9" x14ac:dyDescent="0.25">
      <c r="A66" t="s">
        <v>318</v>
      </c>
      <c r="B66" t="s">
        <v>68</v>
      </c>
      <c r="C66" t="s">
        <v>319</v>
      </c>
      <c r="D66" t="s">
        <v>23</v>
      </c>
      <c r="E66" t="s">
        <v>38</v>
      </c>
      <c r="F66">
        <v>5500000</v>
      </c>
      <c r="G66">
        <v>3</v>
      </c>
      <c r="H66" s="1">
        <v>44335</v>
      </c>
      <c r="I66" t="s">
        <v>2104</v>
      </c>
    </row>
    <row r="67" spans="1:9" x14ac:dyDescent="0.25">
      <c r="A67" t="s">
        <v>322</v>
      </c>
      <c r="B67" t="s">
        <v>21</v>
      </c>
      <c r="C67" t="s">
        <v>323</v>
      </c>
      <c r="D67" t="s">
        <v>37</v>
      </c>
      <c r="E67" t="s">
        <v>15</v>
      </c>
      <c r="F67">
        <v>13000000</v>
      </c>
      <c r="G67">
        <v>30</v>
      </c>
      <c r="H67" s="1">
        <v>44763</v>
      </c>
      <c r="I67" t="s">
        <v>2104</v>
      </c>
    </row>
    <row r="68" spans="1:9" x14ac:dyDescent="0.25">
      <c r="A68" t="s">
        <v>326</v>
      </c>
      <c r="B68" t="s">
        <v>327</v>
      </c>
      <c r="C68" t="s">
        <v>328</v>
      </c>
      <c r="D68" t="s">
        <v>18</v>
      </c>
      <c r="E68" t="s">
        <v>24</v>
      </c>
      <c r="F68">
        <v>8000000</v>
      </c>
      <c r="G68">
        <v>1</v>
      </c>
      <c r="H68" s="1">
        <v>44969</v>
      </c>
      <c r="I68" t="s">
        <v>2104</v>
      </c>
    </row>
    <row r="69" spans="1:9" x14ac:dyDescent="0.25">
      <c r="A69" t="s">
        <v>329</v>
      </c>
      <c r="B69" t="s">
        <v>35</v>
      </c>
      <c r="C69" t="s">
        <v>330</v>
      </c>
      <c r="D69" t="s">
        <v>18</v>
      </c>
      <c r="E69" t="s">
        <v>38</v>
      </c>
      <c r="F69">
        <v>13000000</v>
      </c>
      <c r="G69">
        <v>16</v>
      </c>
      <c r="H69" s="1">
        <v>45213</v>
      </c>
      <c r="I69" t="s">
        <v>2104</v>
      </c>
    </row>
    <row r="70" spans="1:9" x14ac:dyDescent="0.25">
      <c r="A70" t="s">
        <v>333</v>
      </c>
      <c r="B70" t="s">
        <v>31</v>
      </c>
      <c r="C70" t="s">
        <v>334</v>
      </c>
      <c r="D70" t="s">
        <v>37</v>
      </c>
      <c r="E70" t="s">
        <v>34</v>
      </c>
      <c r="F70">
        <v>8000000</v>
      </c>
      <c r="G70">
        <v>12</v>
      </c>
      <c r="H70" s="1">
        <v>44155</v>
      </c>
      <c r="I70" t="s">
        <v>2104</v>
      </c>
    </row>
    <row r="71" spans="1:9" x14ac:dyDescent="0.25">
      <c r="A71" t="s">
        <v>335</v>
      </c>
      <c r="B71" t="s">
        <v>68</v>
      </c>
      <c r="C71" t="s">
        <v>336</v>
      </c>
      <c r="D71" t="s">
        <v>18</v>
      </c>
      <c r="E71" t="s">
        <v>38</v>
      </c>
      <c r="F71">
        <v>6500000</v>
      </c>
      <c r="G71">
        <v>16</v>
      </c>
      <c r="H71" s="1">
        <v>45402</v>
      </c>
      <c r="I71" t="s">
        <v>2104</v>
      </c>
    </row>
    <row r="72" spans="1:9" x14ac:dyDescent="0.25">
      <c r="A72" t="s">
        <v>337</v>
      </c>
      <c r="B72" t="s">
        <v>28</v>
      </c>
      <c r="C72" t="s">
        <v>338</v>
      </c>
      <c r="D72" t="s">
        <v>23</v>
      </c>
      <c r="E72" t="s">
        <v>34</v>
      </c>
      <c r="F72">
        <v>6500000</v>
      </c>
      <c r="G72">
        <v>18</v>
      </c>
      <c r="H72" s="1">
        <v>44202</v>
      </c>
      <c r="I72" t="s">
        <v>2104</v>
      </c>
    </row>
    <row r="73" spans="1:9" x14ac:dyDescent="0.25">
      <c r="A73" t="s">
        <v>339</v>
      </c>
      <c r="B73" t="s">
        <v>340</v>
      </c>
      <c r="C73" t="s">
        <v>341</v>
      </c>
      <c r="D73" t="s">
        <v>37</v>
      </c>
      <c r="E73" t="s">
        <v>15</v>
      </c>
      <c r="F73">
        <v>10500000</v>
      </c>
      <c r="G73">
        <v>23</v>
      </c>
      <c r="H73" s="1">
        <v>46019</v>
      </c>
      <c r="I73" t="s">
        <v>2104</v>
      </c>
    </row>
    <row r="74" spans="1:9" x14ac:dyDescent="0.25">
      <c r="A74" t="s">
        <v>342</v>
      </c>
      <c r="B74" t="s">
        <v>308</v>
      </c>
      <c r="C74" t="s">
        <v>343</v>
      </c>
      <c r="D74" t="s">
        <v>42</v>
      </c>
      <c r="E74" t="s">
        <v>15</v>
      </c>
      <c r="F74">
        <v>13000000</v>
      </c>
      <c r="G74">
        <v>23</v>
      </c>
      <c r="H74" s="1">
        <v>45233</v>
      </c>
      <c r="I74" t="s">
        <v>2104</v>
      </c>
    </row>
    <row r="75" spans="1:9" x14ac:dyDescent="0.25">
      <c r="A75" t="s">
        <v>344</v>
      </c>
      <c r="B75" t="s">
        <v>345</v>
      </c>
      <c r="C75" t="s">
        <v>346</v>
      </c>
      <c r="D75" t="s">
        <v>33</v>
      </c>
      <c r="E75" t="s">
        <v>24</v>
      </c>
      <c r="F75">
        <v>10500000</v>
      </c>
      <c r="G75">
        <v>40</v>
      </c>
      <c r="H75" s="1">
        <v>44525</v>
      </c>
      <c r="I75" t="s">
        <v>2104</v>
      </c>
    </row>
    <row r="76" spans="1:9" x14ac:dyDescent="0.25">
      <c r="A76" t="s">
        <v>347</v>
      </c>
      <c r="B76" t="s">
        <v>348</v>
      </c>
      <c r="C76" t="s">
        <v>349</v>
      </c>
      <c r="D76" t="s">
        <v>33</v>
      </c>
      <c r="E76" t="s">
        <v>15</v>
      </c>
      <c r="F76">
        <v>6500000</v>
      </c>
      <c r="G76">
        <v>10</v>
      </c>
      <c r="H76" s="1">
        <v>43972</v>
      </c>
      <c r="I76" t="s">
        <v>2104</v>
      </c>
    </row>
    <row r="77" spans="1:9" x14ac:dyDescent="0.25">
      <c r="A77" t="s">
        <v>350</v>
      </c>
      <c r="B77" t="s">
        <v>351</v>
      </c>
      <c r="C77" t="s">
        <v>352</v>
      </c>
      <c r="D77" t="s">
        <v>42</v>
      </c>
      <c r="E77" t="s">
        <v>15</v>
      </c>
      <c r="F77">
        <v>13000000</v>
      </c>
      <c r="G77">
        <v>34</v>
      </c>
      <c r="H77" s="1">
        <v>45921</v>
      </c>
      <c r="I77" t="s">
        <v>2104</v>
      </c>
    </row>
    <row r="78" spans="1:9" x14ac:dyDescent="0.25">
      <c r="A78" t="s">
        <v>353</v>
      </c>
      <c r="B78" t="s">
        <v>51</v>
      </c>
      <c r="C78" t="s">
        <v>354</v>
      </c>
      <c r="D78" t="s">
        <v>37</v>
      </c>
      <c r="E78" t="s">
        <v>19</v>
      </c>
      <c r="F78">
        <v>10500000</v>
      </c>
      <c r="G78">
        <v>40</v>
      </c>
      <c r="H78" s="1">
        <v>44424</v>
      </c>
      <c r="I78" t="s">
        <v>2104</v>
      </c>
    </row>
    <row r="79" spans="1:9" x14ac:dyDescent="0.25">
      <c r="A79" t="s">
        <v>355</v>
      </c>
      <c r="B79" t="s">
        <v>264</v>
      </c>
      <c r="C79" t="s">
        <v>356</v>
      </c>
      <c r="D79" t="s">
        <v>42</v>
      </c>
      <c r="E79" t="s">
        <v>38</v>
      </c>
      <c r="F79">
        <v>13000000</v>
      </c>
      <c r="G79">
        <v>39</v>
      </c>
      <c r="H79" s="1">
        <v>44883</v>
      </c>
      <c r="I79" t="s">
        <v>2104</v>
      </c>
    </row>
    <row r="80" spans="1:9" x14ac:dyDescent="0.25">
      <c r="A80" t="s">
        <v>357</v>
      </c>
      <c r="B80" t="s">
        <v>118</v>
      </c>
      <c r="C80" t="s">
        <v>358</v>
      </c>
      <c r="D80" t="s">
        <v>23</v>
      </c>
      <c r="E80" t="s">
        <v>34</v>
      </c>
      <c r="F80">
        <v>6500000</v>
      </c>
      <c r="G80">
        <v>25</v>
      </c>
      <c r="H80" s="1">
        <v>44003</v>
      </c>
      <c r="I80" t="s">
        <v>2104</v>
      </c>
    </row>
    <row r="81" spans="1:9" x14ac:dyDescent="0.25">
      <c r="A81" t="s">
        <v>359</v>
      </c>
      <c r="B81" t="s">
        <v>360</v>
      </c>
      <c r="C81" t="s">
        <v>361</v>
      </c>
      <c r="D81" t="s">
        <v>42</v>
      </c>
      <c r="E81" t="s">
        <v>15</v>
      </c>
      <c r="F81">
        <v>8000000</v>
      </c>
      <c r="G81">
        <v>24</v>
      </c>
      <c r="H81" s="1">
        <v>45845</v>
      </c>
      <c r="I81" t="s">
        <v>2104</v>
      </c>
    </row>
    <row r="82" spans="1:9" x14ac:dyDescent="0.25">
      <c r="A82" t="s">
        <v>362</v>
      </c>
      <c r="B82" t="s">
        <v>145</v>
      </c>
      <c r="C82" t="s">
        <v>363</v>
      </c>
      <c r="D82" t="s">
        <v>33</v>
      </c>
      <c r="E82" t="s">
        <v>34</v>
      </c>
      <c r="F82">
        <v>8000000</v>
      </c>
      <c r="G82">
        <v>25</v>
      </c>
      <c r="H82" s="1">
        <v>45850</v>
      </c>
      <c r="I82" t="s">
        <v>2104</v>
      </c>
    </row>
    <row r="83" spans="1:9" x14ac:dyDescent="0.25">
      <c r="A83" t="s">
        <v>364</v>
      </c>
      <c r="B83" t="s">
        <v>51</v>
      </c>
      <c r="C83" t="s">
        <v>365</v>
      </c>
      <c r="D83" t="s">
        <v>42</v>
      </c>
      <c r="E83" t="s">
        <v>24</v>
      </c>
      <c r="F83">
        <v>5500000</v>
      </c>
      <c r="G83">
        <v>14</v>
      </c>
      <c r="H83" s="1">
        <v>45628</v>
      </c>
      <c r="I83" t="s">
        <v>2104</v>
      </c>
    </row>
    <row r="84" spans="1:9" x14ac:dyDescent="0.25">
      <c r="A84" t="s">
        <v>366</v>
      </c>
      <c r="B84" t="s">
        <v>63</v>
      </c>
      <c r="C84" t="s">
        <v>367</v>
      </c>
      <c r="D84" t="s">
        <v>37</v>
      </c>
      <c r="E84" t="s">
        <v>15</v>
      </c>
      <c r="F84">
        <v>13000000</v>
      </c>
      <c r="G84">
        <v>23</v>
      </c>
      <c r="H84" s="1">
        <v>45660</v>
      </c>
      <c r="I84" t="s">
        <v>2104</v>
      </c>
    </row>
    <row r="85" spans="1:9" x14ac:dyDescent="0.25">
      <c r="A85" t="s">
        <v>368</v>
      </c>
      <c r="B85" t="s">
        <v>369</v>
      </c>
      <c r="C85" t="s">
        <v>370</v>
      </c>
      <c r="D85" t="s">
        <v>33</v>
      </c>
      <c r="E85" t="s">
        <v>15</v>
      </c>
      <c r="F85">
        <v>10500000</v>
      </c>
      <c r="G85">
        <v>34</v>
      </c>
      <c r="H85" s="1">
        <v>44702</v>
      </c>
      <c r="I85" t="s">
        <v>2104</v>
      </c>
    </row>
    <row r="86" spans="1:9" x14ac:dyDescent="0.25">
      <c r="A86" t="s">
        <v>371</v>
      </c>
      <c r="B86" t="s">
        <v>21</v>
      </c>
      <c r="C86" t="s">
        <v>372</v>
      </c>
      <c r="D86" t="s">
        <v>18</v>
      </c>
      <c r="E86" t="s">
        <v>24</v>
      </c>
      <c r="F86">
        <v>8000000</v>
      </c>
      <c r="G86">
        <v>29</v>
      </c>
      <c r="H86" s="1">
        <v>45928</v>
      </c>
      <c r="I86" t="s">
        <v>2104</v>
      </c>
    </row>
    <row r="87" spans="1:9" x14ac:dyDescent="0.25">
      <c r="A87" t="s">
        <v>373</v>
      </c>
      <c r="B87" t="s">
        <v>223</v>
      </c>
      <c r="C87" t="s">
        <v>374</v>
      </c>
      <c r="D87" t="s">
        <v>14</v>
      </c>
      <c r="E87" t="s">
        <v>38</v>
      </c>
      <c r="F87">
        <v>8000000</v>
      </c>
      <c r="G87">
        <v>7</v>
      </c>
      <c r="H87" s="1">
        <v>44435</v>
      </c>
      <c r="I87" t="s">
        <v>2104</v>
      </c>
    </row>
    <row r="88" spans="1:9" x14ac:dyDescent="0.25">
      <c r="A88" t="s">
        <v>375</v>
      </c>
      <c r="B88" t="s">
        <v>153</v>
      </c>
      <c r="C88" t="s">
        <v>376</v>
      </c>
      <c r="D88" t="s">
        <v>23</v>
      </c>
      <c r="E88" t="s">
        <v>38</v>
      </c>
      <c r="F88">
        <v>5500000</v>
      </c>
      <c r="G88">
        <v>30</v>
      </c>
      <c r="H88" s="1">
        <v>44627</v>
      </c>
      <c r="I88" t="s">
        <v>2104</v>
      </c>
    </row>
    <row r="89" spans="1:9" x14ac:dyDescent="0.25">
      <c r="A89" t="s">
        <v>377</v>
      </c>
      <c r="B89" t="s">
        <v>270</v>
      </c>
      <c r="C89" t="s">
        <v>378</v>
      </c>
      <c r="D89" t="s">
        <v>23</v>
      </c>
      <c r="E89" t="s">
        <v>34</v>
      </c>
      <c r="F89">
        <v>6500000</v>
      </c>
      <c r="G89">
        <v>13</v>
      </c>
      <c r="H89" s="1">
        <v>43947</v>
      </c>
      <c r="I89" t="s">
        <v>2104</v>
      </c>
    </row>
    <row r="90" spans="1:9" x14ac:dyDescent="0.25">
      <c r="A90" t="s">
        <v>379</v>
      </c>
      <c r="B90" t="s">
        <v>380</v>
      </c>
      <c r="C90" t="s">
        <v>381</v>
      </c>
      <c r="D90" t="s">
        <v>37</v>
      </c>
      <c r="E90" t="s">
        <v>24</v>
      </c>
      <c r="F90">
        <v>6500000</v>
      </c>
      <c r="G90">
        <v>39</v>
      </c>
      <c r="H90" s="1">
        <v>43934</v>
      </c>
      <c r="I90" t="s">
        <v>2104</v>
      </c>
    </row>
    <row r="91" spans="1:9" x14ac:dyDescent="0.25">
      <c r="A91" t="s">
        <v>382</v>
      </c>
      <c r="B91" t="s">
        <v>115</v>
      </c>
      <c r="C91" t="s">
        <v>383</v>
      </c>
      <c r="D91" t="s">
        <v>18</v>
      </c>
      <c r="E91" t="s">
        <v>24</v>
      </c>
      <c r="F91">
        <v>8000000</v>
      </c>
      <c r="G91">
        <v>23</v>
      </c>
      <c r="H91" s="1">
        <v>44290</v>
      </c>
      <c r="I91" t="s">
        <v>2104</v>
      </c>
    </row>
    <row r="92" spans="1:9" x14ac:dyDescent="0.25">
      <c r="A92" t="s">
        <v>384</v>
      </c>
      <c r="B92" t="s">
        <v>158</v>
      </c>
      <c r="C92" t="s">
        <v>385</v>
      </c>
      <c r="D92" t="s">
        <v>42</v>
      </c>
      <c r="E92" t="s">
        <v>38</v>
      </c>
      <c r="F92">
        <v>6500000</v>
      </c>
      <c r="G92">
        <v>28</v>
      </c>
      <c r="H92" s="1">
        <v>44818</v>
      </c>
      <c r="I92" t="s">
        <v>2104</v>
      </c>
    </row>
    <row r="93" spans="1:9" x14ac:dyDescent="0.25">
      <c r="A93" t="s">
        <v>388</v>
      </c>
      <c r="B93" t="s">
        <v>51</v>
      </c>
      <c r="C93" t="s">
        <v>389</v>
      </c>
      <c r="D93" t="s">
        <v>18</v>
      </c>
      <c r="E93" t="s">
        <v>24</v>
      </c>
      <c r="F93">
        <v>10500000</v>
      </c>
      <c r="G93">
        <v>25</v>
      </c>
      <c r="H93" s="1">
        <v>45821</v>
      </c>
      <c r="I93" t="s">
        <v>2104</v>
      </c>
    </row>
    <row r="94" spans="1:9" x14ac:dyDescent="0.25">
      <c r="A94" t="s">
        <v>390</v>
      </c>
      <c r="B94" t="s">
        <v>113</v>
      </c>
      <c r="C94" t="s">
        <v>391</v>
      </c>
      <c r="D94" t="s">
        <v>14</v>
      </c>
      <c r="E94" t="s">
        <v>34</v>
      </c>
      <c r="F94">
        <v>6500000</v>
      </c>
      <c r="G94">
        <v>25</v>
      </c>
      <c r="H94" s="1">
        <v>45677</v>
      </c>
      <c r="I94" t="s">
        <v>2104</v>
      </c>
    </row>
    <row r="95" spans="1:9" x14ac:dyDescent="0.25">
      <c r="A95" t="s">
        <v>392</v>
      </c>
      <c r="B95" t="s">
        <v>81</v>
      </c>
      <c r="C95" t="s">
        <v>393</v>
      </c>
      <c r="D95" t="s">
        <v>18</v>
      </c>
      <c r="E95" t="s">
        <v>15</v>
      </c>
      <c r="F95">
        <v>13000000</v>
      </c>
      <c r="G95">
        <v>33</v>
      </c>
      <c r="H95" s="1">
        <v>45671</v>
      </c>
      <c r="I95" t="s">
        <v>2104</v>
      </c>
    </row>
    <row r="96" spans="1:9" x14ac:dyDescent="0.25">
      <c r="A96" t="s">
        <v>394</v>
      </c>
      <c r="B96" t="s">
        <v>75</v>
      </c>
      <c r="C96" t="s">
        <v>395</v>
      </c>
      <c r="D96" t="s">
        <v>18</v>
      </c>
      <c r="E96" t="s">
        <v>38</v>
      </c>
      <c r="F96">
        <v>13000000</v>
      </c>
      <c r="G96">
        <v>32</v>
      </c>
      <c r="H96" s="1">
        <v>44099</v>
      </c>
      <c r="I96" t="s">
        <v>2104</v>
      </c>
    </row>
    <row r="97" spans="1:9" x14ac:dyDescent="0.25">
      <c r="A97" t="s">
        <v>402</v>
      </c>
      <c r="B97" t="s">
        <v>234</v>
      </c>
      <c r="C97" t="s">
        <v>403</v>
      </c>
      <c r="D97" t="s">
        <v>18</v>
      </c>
      <c r="E97" t="s">
        <v>24</v>
      </c>
      <c r="F97">
        <v>6500000</v>
      </c>
      <c r="G97">
        <v>3</v>
      </c>
      <c r="H97" s="1">
        <v>44141</v>
      </c>
      <c r="I97" t="s">
        <v>2104</v>
      </c>
    </row>
    <row r="98" spans="1:9" x14ac:dyDescent="0.25">
      <c r="A98" t="s">
        <v>404</v>
      </c>
      <c r="B98" t="s">
        <v>161</v>
      </c>
      <c r="C98" t="s">
        <v>405</v>
      </c>
      <c r="D98" t="s">
        <v>18</v>
      </c>
      <c r="E98" t="s">
        <v>24</v>
      </c>
      <c r="F98">
        <v>5500000</v>
      </c>
      <c r="G98">
        <v>21</v>
      </c>
      <c r="H98" s="1">
        <v>45247</v>
      </c>
      <c r="I98" t="s">
        <v>2104</v>
      </c>
    </row>
    <row r="99" spans="1:9" x14ac:dyDescent="0.25">
      <c r="A99" t="s">
        <v>406</v>
      </c>
      <c r="B99" t="s">
        <v>208</v>
      </c>
      <c r="C99" t="s">
        <v>407</v>
      </c>
      <c r="D99" t="s">
        <v>14</v>
      </c>
      <c r="E99" t="s">
        <v>38</v>
      </c>
      <c r="F99">
        <v>5500000</v>
      </c>
      <c r="G99">
        <v>20</v>
      </c>
      <c r="H99" s="1">
        <v>44202</v>
      </c>
      <c r="I99" t="s">
        <v>2104</v>
      </c>
    </row>
    <row r="100" spans="1:9" x14ac:dyDescent="0.25">
      <c r="A100" t="s">
        <v>408</v>
      </c>
      <c r="B100" t="s">
        <v>145</v>
      </c>
      <c r="C100" t="s">
        <v>409</v>
      </c>
      <c r="D100" t="s">
        <v>14</v>
      </c>
      <c r="E100" t="s">
        <v>38</v>
      </c>
      <c r="F100">
        <v>8000000</v>
      </c>
      <c r="G100">
        <v>5</v>
      </c>
      <c r="H100" s="1">
        <v>44594</v>
      </c>
      <c r="I100" t="s">
        <v>2104</v>
      </c>
    </row>
    <row r="101" spans="1:9" x14ac:dyDescent="0.25">
      <c r="A101" t="s">
        <v>410</v>
      </c>
      <c r="B101" t="s">
        <v>115</v>
      </c>
      <c r="C101" t="s">
        <v>411</v>
      </c>
      <c r="D101" t="s">
        <v>18</v>
      </c>
      <c r="E101" t="s">
        <v>24</v>
      </c>
      <c r="F101">
        <v>13000000</v>
      </c>
      <c r="G101">
        <v>32</v>
      </c>
      <c r="H101" s="1">
        <v>45287</v>
      </c>
      <c r="I101" t="s">
        <v>2104</v>
      </c>
    </row>
    <row r="102" spans="1:9" x14ac:dyDescent="0.25">
      <c r="A102" t="s">
        <v>412</v>
      </c>
      <c r="B102" t="s">
        <v>161</v>
      </c>
      <c r="C102" t="s">
        <v>413</v>
      </c>
      <c r="D102" t="s">
        <v>18</v>
      </c>
      <c r="E102" t="s">
        <v>24</v>
      </c>
      <c r="F102">
        <v>13000000</v>
      </c>
      <c r="G102">
        <v>37</v>
      </c>
      <c r="H102" s="1">
        <v>44988</v>
      </c>
      <c r="I102" t="s">
        <v>2104</v>
      </c>
    </row>
    <row r="103" spans="1:9" x14ac:dyDescent="0.25">
      <c r="A103" t="s">
        <v>414</v>
      </c>
      <c r="B103" t="s">
        <v>267</v>
      </c>
      <c r="C103" t="s">
        <v>415</v>
      </c>
      <c r="D103" t="s">
        <v>23</v>
      </c>
      <c r="E103" t="s">
        <v>19</v>
      </c>
      <c r="F103">
        <v>10500000</v>
      </c>
      <c r="G103">
        <v>27</v>
      </c>
      <c r="H103" s="1">
        <v>44039</v>
      </c>
      <c r="I103" t="s">
        <v>2104</v>
      </c>
    </row>
    <row r="104" spans="1:9" x14ac:dyDescent="0.25">
      <c r="A104" t="s">
        <v>416</v>
      </c>
      <c r="B104" t="s">
        <v>221</v>
      </c>
      <c r="C104" t="s">
        <v>417</v>
      </c>
      <c r="D104" t="s">
        <v>42</v>
      </c>
      <c r="E104" t="s">
        <v>19</v>
      </c>
      <c r="F104">
        <v>10500000</v>
      </c>
      <c r="G104">
        <v>8</v>
      </c>
      <c r="H104" s="1">
        <v>45761</v>
      </c>
      <c r="I104" t="s">
        <v>2104</v>
      </c>
    </row>
    <row r="105" spans="1:9" x14ac:dyDescent="0.25">
      <c r="A105" t="s">
        <v>418</v>
      </c>
      <c r="B105" t="s">
        <v>190</v>
      </c>
      <c r="C105" t="s">
        <v>419</v>
      </c>
      <c r="D105" t="s">
        <v>23</v>
      </c>
      <c r="E105" t="s">
        <v>15</v>
      </c>
      <c r="F105">
        <v>5500000</v>
      </c>
      <c r="G105">
        <v>10</v>
      </c>
      <c r="H105" s="1">
        <v>45999</v>
      </c>
      <c r="I105" t="s">
        <v>2104</v>
      </c>
    </row>
    <row r="106" spans="1:9" x14ac:dyDescent="0.25">
      <c r="A106" t="s">
        <v>420</v>
      </c>
      <c r="B106" t="s">
        <v>110</v>
      </c>
      <c r="C106" t="s">
        <v>421</v>
      </c>
      <c r="D106" t="s">
        <v>37</v>
      </c>
      <c r="E106" t="s">
        <v>38</v>
      </c>
      <c r="F106">
        <v>13000000</v>
      </c>
      <c r="G106">
        <v>37</v>
      </c>
      <c r="H106" s="1">
        <v>44153</v>
      </c>
      <c r="I106" t="s">
        <v>2104</v>
      </c>
    </row>
    <row r="107" spans="1:9" x14ac:dyDescent="0.25">
      <c r="A107" t="s">
        <v>422</v>
      </c>
      <c r="B107" t="s">
        <v>57</v>
      </c>
      <c r="C107" t="s">
        <v>423</v>
      </c>
      <c r="D107" t="s">
        <v>18</v>
      </c>
      <c r="E107" t="s">
        <v>34</v>
      </c>
      <c r="F107">
        <v>5500000</v>
      </c>
      <c r="G107">
        <v>1</v>
      </c>
      <c r="H107" s="1">
        <v>44927</v>
      </c>
      <c r="I107" t="s">
        <v>2104</v>
      </c>
    </row>
    <row r="108" spans="1:9" x14ac:dyDescent="0.25">
      <c r="A108" t="s">
        <v>427</v>
      </c>
      <c r="B108" t="s">
        <v>31</v>
      </c>
      <c r="C108" t="s">
        <v>428</v>
      </c>
      <c r="D108" t="s">
        <v>14</v>
      </c>
      <c r="E108" t="s">
        <v>15</v>
      </c>
      <c r="F108">
        <v>13000000</v>
      </c>
      <c r="G108">
        <v>36</v>
      </c>
      <c r="H108" s="1">
        <v>44258</v>
      </c>
      <c r="I108" t="s">
        <v>2104</v>
      </c>
    </row>
    <row r="109" spans="1:9" x14ac:dyDescent="0.25">
      <c r="A109" t="s">
        <v>429</v>
      </c>
      <c r="B109" t="s">
        <v>430</v>
      </c>
      <c r="C109" t="s">
        <v>431</v>
      </c>
      <c r="D109" t="s">
        <v>23</v>
      </c>
      <c r="E109" t="s">
        <v>24</v>
      </c>
      <c r="F109">
        <v>13000000</v>
      </c>
      <c r="G109">
        <v>1</v>
      </c>
      <c r="H109" s="1">
        <v>45418</v>
      </c>
      <c r="I109" t="s">
        <v>2104</v>
      </c>
    </row>
    <row r="110" spans="1:9" x14ac:dyDescent="0.25">
      <c r="A110" t="s">
        <v>432</v>
      </c>
      <c r="B110" t="s">
        <v>171</v>
      </c>
      <c r="C110" t="s">
        <v>433</v>
      </c>
      <c r="D110" t="s">
        <v>37</v>
      </c>
      <c r="E110" t="s">
        <v>24</v>
      </c>
      <c r="F110">
        <v>6500000</v>
      </c>
      <c r="G110">
        <v>37</v>
      </c>
      <c r="H110" s="1">
        <v>44390</v>
      </c>
      <c r="I110" t="s">
        <v>2104</v>
      </c>
    </row>
    <row r="111" spans="1:9" x14ac:dyDescent="0.25">
      <c r="A111" t="s">
        <v>434</v>
      </c>
      <c r="B111" t="s">
        <v>121</v>
      </c>
      <c r="C111" t="s">
        <v>435</v>
      </c>
      <c r="D111" t="s">
        <v>37</v>
      </c>
      <c r="E111" t="s">
        <v>15</v>
      </c>
      <c r="F111">
        <v>5500000</v>
      </c>
      <c r="G111">
        <v>29</v>
      </c>
      <c r="H111" s="1">
        <v>43903</v>
      </c>
      <c r="I111" t="s">
        <v>2104</v>
      </c>
    </row>
    <row r="112" spans="1:9" x14ac:dyDescent="0.25">
      <c r="A112" t="s">
        <v>436</v>
      </c>
      <c r="B112" t="s">
        <v>267</v>
      </c>
      <c r="C112" t="s">
        <v>437</v>
      </c>
      <c r="D112" t="s">
        <v>23</v>
      </c>
      <c r="E112" t="s">
        <v>38</v>
      </c>
      <c r="F112">
        <v>8000000</v>
      </c>
      <c r="G112">
        <v>37</v>
      </c>
      <c r="H112" s="1">
        <v>45618</v>
      </c>
      <c r="I112" t="s">
        <v>2104</v>
      </c>
    </row>
    <row r="113" spans="1:9" x14ac:dyDescent="0.25">
      <c r="A113" t="s">
        <v>438</v>
      </c>
      <c r="B113" t="s">
        <v>439</v>
      </c>
      <c r="C113" t="s">
        <v>440</v>
      </c>
      <c r="D113" t="s">
        <v>33</v>
      </c>
      <c r="E113" t="s">
        <v>38</v>
      </c>
      <c r="F113">
        <v>6500000</v>
      </c>
      <c r="G113">
        <v>7</v>
      </c>
      <c r="H113" s="1">
        <v>44454</v>
      </c>
      <c r="I113" t="s">
        <v>2104</v>
      </c>
    </row>
    <row r="114" spans="1:9" x14ac:dyDescent="0.25">
      <c r="A114" t="s">
        <v>446</v>
      </c>
      <c r="B114" t="s">
        <v>447</v>
      </c>
      <c r="C114" t="s">
        <v>448</v>
      </c>
      <c r="D114" t="s">
        <v>18</v>
      </c>
      <c r="E114" t="s">
        <v>24</v>
      </c>
      <c r="F114">
        <v>13000000</v>
      </c>
      <c r="G114">
        <v>31</v>
      </c>
      <c r="H114" s="1">
        <v>45813</v>
      </c>
      <c r="I114" t="s">
        <v>2104</v>
      </c>
    </row>
    <row r="115" spans="1:9" x14ac:dyDescent="0.25">
      <c r="A115" t="s">
        <v>449</v>
      </c>
      <c r="B115" t="s">
        <v>450</v>
      </c>
      <c r="C115" t="s">
        <v>451</v>
      </c>
      <c r="D115" t="s">
        <v>33</v>
      </c>
      <c r="E115" t="s">
        <v>19</v>
      </c>
      <c r="F115">
        <v>8000000</v>
      </c>
      <c r="G115">
        <v>25</v>
      </c>
      <c r="H115" s="1">
        <v>44907</v>
      </c>
      <c r="I115" t="s">
        <v>2104</v>
      </c>
    </row>
    <row r="116" spans="1:9" x14ac:dyDescent="0.25">
      <c r="A116" t="s">
        <v>452</v>
      </c>
      <c r="B116" t="s">
        <v>51</v>
      </c>
      <c r="C116" t="s">
        <v>453</v>
      </c>
      <c r="D116" t="s">
        <v>23</v>
      </c>
      <c r="E116" t="s">
        <v>34</v>
      </c>
      <c r="F116">
        <v>13000000</v>
      </c>
      <c r="G116">
        <v>24</v>
      </c>
      <c r="H116" s="1">
        <v>44855</v>
      </c>
      <c r="I116" t="s">
        <v>2104</v>
      </c>
    </row>
    <row r="117" spans="1:9" x14ac:dyDescent="0.25">
      <c r="A117" t="s">
        <v>454</v>
      </c>
      <c r="B117" t="s">
        <v>51</v>
      </c>
      <c r="C117" t="s">
        <v>455</v>
      </c>
      <c r="D117" t="s">
        <v>18</v>
      </c>
      <c r="E117" t="s">
        <v>34</v>
      </c>
      <c r="F117">
        <v>5500000</v>
      </c>
      <c r="G117">
        <v>23</v>
      </c>
      <c r="H117" s="1">
        <v>44204</v>
      </c>
      <c r="I117" t="s">
        <v>2104</v>
      </c>
    </row>
    <row r="118" spans="1:9" x14ac:dyDescent="0.25">
      <c r="A118" t="s">
        <v>456</v>
      </c>
      <c r="B118" t="s">
        <v>457</v>
      </c>
      <c r="C118" t="s">
        <v>458</v>
      </c>
      <c r="D118" t="s">
        <v>23</v>
      </c>
      <c r="E118" t="s">
        <v>19</v>
      </c>
      <c r="F118">
        <v>8000000</v>
      </c>
      <c r="G118">
        <v>12</v>
      </c>
      <c r="H118" s="1">
        <v>44093</v>
      </c>
      <c r="I118" t="s">
        <v>2104</v>
      </c>
    </row>
    <row r="119" spans="1:9" x14ac:dyDescent="0.25">
      <c r="A119" t="s">
        <v>459</v>
      </c>
      <c r="B119" t="s">
        <v>21</v>
      </c>
      <c r="C119" t="s">
        <v>460</v>
      </c>
      <c r="D119" t="s">
        <v>37</v>
      </c>
      <c r="E119" t="s">
        <v>15</v>
      </c>
      <c r="F119">
        <v>6500000</v>
      </c>
      <c r="G119">
        <v>8</v>
      </c>
      <c r="H119" s="1">
        <v>45981</v>
      </c>
      <c r="I119" t="s">
        <v>2104</v>
      </c>
    </row>
    <row r="120" spans="1:9" x14ac:dyDescent="0.25">
      <c r="A120" t="s">
        <v>463</v>
      </c>
      <c r="B120" t="s">
        <v>464</v>
      </c>
      <c r="C120" t="s">
        <v>465</v>
      </c>
      <c r="D120" t="s">
        <v>14</v>
      </c>
      <c r="E120" t="s">
        <v>24</v>
      </c>
      <c r="F120">
        <v>6500000</v>
      </c>
      <c r="G120">
        <v>39</v>
      </c>
      <c r="H120" s="1">
        <v>43957</v>
      </c>
      <c r="I120" t="s">
        <v>2104</v>
      </c>
    </row>
    <row r="121" spans="1:9" x14ac:dyDescent="0.25">
      <c r="A121" t="s">
        <v>466</v>
      </c>
      <c r="B121" t="s">
        <v>57</v>
      </c>
      <c r="C121" t="s">
        <v>467</v>
      </c>
      <c r="D121" t="s">
        <v>42</v>
      </c>
      <c r="E121" t="s">
        <v>15</v>
      </c>
      <c r="F121">
        <v>6500000</v>
      </c>
      <c r="G121">
        <v>6</v>
      </c>
      <c r="H121" s="1">
        <v>45480</v>
      </c>
      <c r="I121" t="s">
        <v>2104</v>
      </c>
    </row>
    <row r="122" spans="1:9" x14ac:dyDescent="0.25">
      <c r="A122" t="s">
        <v>468</v>
      </c>
      <c r="B122" t="s">
        <v>258</v>
      </c>
      <c r="C122" t="s">
        <v>469</v>
      </c>
      <c r="D122" t="s">
        <v>18</v>
      </c>
      <c r="E122" t="s">
        <v>15</v>
      </c>
      <c r="F122">
        <v>5500000</v>
      </c>
      <c r="G122">
        <v>25</v>
      </c>
      <c r="H122" s="1">
        <v>45652</v>
      </c>
      <c r="I122" t="s">
        <v>2104</v>
      </c>
    </row>
    <row r="123" spans="1:9" x14ac:dyDescent="0.25">
      <c r="A123" t="s">
        <v>470</v>
      </c>
      <c r="B123" t="s">
        <v>223</v>
      </c>
      <c r="C123" t="s">
        <v>471</v>
      </c>
      <c r="D123" t="s">
        <v>42</v>
      </c>
      <c r="E123" t="s">
        <v>15</v>
      </c>
      <c r="F123">
        <v>10500000</v>
      </c>
      <c r="G123">
        <v>17</v>
      </c>
      <c r="H123" s="1">
        <v>44162</v>
      </c>
      <c r="I123" t="s">
        <v>2104</v>
      </c>
    </row>
    <row r="124" spans="1:9" x14ac:dyDescent="0.25">
      <c r="A124" t="s">
        <v>472</v>
      </c>
      <c r="B124" t="s">
        <v>171</v>
      </c>
      <c r="C124" t="s">
        <v>473</v>
      </c>
      <c r="D124" t="s">
        <v>42</v>
      </c>
      <c r="E124" t="s">
        <v>15</v>
      </c>
      <c r="F124">
        <v>5500000</v>
      </c>
      <c r="G124">
        <v>12</v>
      </c>
      <c r="H124" s="1">
        <v>44576</v>
      </c>
      <c r="I124" t="s">
        <v>2104</v>
      </c>
    </row>
    <row r="125" spans="1:9" x14ac:dyDescent="0.25">
      <c r="A125" t="s">
        <v>474</v>
      </c>
      <c r="B125" t="s">
        <v>134</v>
      </c>
      <c r="C125" t="s">
        <v>475</v>
      </c>
      <c r="D125" t="s">
        <v>42</v>
      </c>
      <c r="E125" t="s">
        <v>19</v>
      </c>
      <c r="F125">
        <v>13000000</v>
      </c>
      <c r="G125">
        <v>36</v>
      </c>
      <c r="H125" s="1">
        <v>43838</v>
      </c>
      <c r="I125" t="s">
        <v>2104</v>
      </c>
    </row>
    <row r="126" spans="1:9" x14ac:dyDescent="0.25">
      <c r="A126" t="s">
        <v>478</v>
      </c>
      <c r="B126" t="s">
        <v>75</v>
      </c>
      <c r="C126" t="s">
        <v>479</v>
      </c>
      <c r="D126" t="s">
        <v>14</v>
      </c>
      <c r="E126" t="s">
        <v>19</v>
      </c>
      <c r="F126">
        <v>8000000</v>
      </c>
      <c r="G126">
        <v>37</v>
      </c>
      <c r="H126" s="1">
        <v>44740</v>
      </c>
      <c r="I126" t="s">
        <v>2104</v>
      </c>
    </row>
    <row r="127" spans="1:9" x14ac:dyDescent="0.25">
      <c r="A127" t="s">
        <v>480</v>
      </c>
      <c r="B127" t="s">
        <v>123</v>
      </c>
      <c r="C127" t="s">
        <v>481</v>
      </c>
      <c r="D127" t="s">
        <v>42</v>
      </c>
      <c r="E127" t="s">
        <v>24</v>
      </c>
      <c r="F127">
        <v>13000000</v>
      </c>
      <c r="G127">
        <v>30</v>
      </c>
      <c r="H127" s="1">
        <v>44308</v>
      </c>
      <c r="I127" t="s">
        <v>2104</v>
      </c>
    </row>
    <row r="128" spans="1:9" x14ac:dyDescent="0.25">
      <c r="A128" t="s">
        <v>482</v>
      </c>
      <c r="B128" t="s">
        <v>483</v>
      </c>
      <c r="C128" t="s">
        <v>484</v>
      </c>
      <c r="D128" t="s">
        <v>33</v>
      </c>
      <c r="E128" t="s">
        <v>34</v>
      </c>
      <c r="F128">
        <v>13000000</v>
      </c>
      <c r="G128">
        <v>16</v>
      </c>
      <c r="H128" s="1">
        <v>45572</v>
      </c>
      <c r="I128" t="s">
        <v>2104</v>
      </c>
    </row>
    <row r="129" spans="1:9" x14ac:dyDescent="0.25">
      <c r="A129" t="s">
        <v>485</v>
      </c>
      <c r="B129" t="s">
        <v>425</v>
      </c>
      <c r="C129" t="s">
        <v>486</v>
      </c>
      <c r="D129" t="s">
        <v>23</v>
      </c>
      <c r="E129" t="s">
        <v>19</v>
      </c>
      <c r="F129">
        <v>10500000</v>
      </c>
      <c r="G129">
        <v>34</v>
      </c>
      <c r="H129" s="1">
        <v>44807</v>
      </c>
      <c r="I129" t="s">
        <v>2104</v>
      </c>
    </row>
    <row r="130" spans="1:9" x14ac:dyDescent="0.25">
      <c r="A130" t="s">
        <v>487</v>
      </c>
      <c r="B130" t="s">
        <v>447</v>
      </c>
      <c r="C130" t="s">
        <v>488</v>
      </c>
      <c r="D130" t="s">
        <v>23</v>
      </c>
      <c r="E130" t="s">
        <v>38</v>
      </c>
      <c r="F130">
        <v>5500000</v>
      </c>
      <c r="G130">
        <v>12</v>
      </c>
      <c r="H130" s="1">
        <v>45986</v>
      </c>
      <c r="I130" t="s">
        <v>2104</v>
      </c>
    </row>
    <row r="131" spans="1:9" x14ac:dyDescent="0.25">
      <c r="A131" t="s">
        <v>489</v>
      </c>
      <c r="B131" t="s">
        <v>75</v>
      </c>
      <c r="C131" t="s">
        <v>490</v>
      </c>
      <c r="D131" t="s">
        <v>33</v>
      </c>
      <c r="E131" t="s">
        <v>19</v>
      </c>
      <c r="F131">
        <v>10500000</v>
      </c>
      <c r="G131">
        <v>14</v>
      </c>
      <c r="H131" s="1">
        <v>44953</v>
      </c>
      <c r="I131" t="s">
        <v>2104</v>
      </c>
    </row>
    <row r="132" spans="1:9" x14ac:dyDescent="0.25">
      <c r="A132" t="s">
        <v>494</v>
      </c>
      <c r="B132" t="s">
        <v>43</v>
      </c>
      <c r="C132" t="s">
        <v>495</v>
      </c>
      <c r="D132" t="s">
        <v>23</v>
      </c>
      <c r="E132" t="s">
        <v>38</v>
      </c>
      <c r="F132">
        <v>8000000</v>
      </c>
      <c r="G132">
        <v>13</v>
      </c>
      <c r="H132" s="1">
        <v>44158</v>
      </c>
      <c r="I132" t="s">
        <v>2104</v>
      </c>
    </row>
    <row r="133" spans="1:9" x14ac:dyDescent="0.25">
      <c r="A133" t="s">
        <v>496</v>
      </c>
      <c r="B133" t="s">
        <v>430</v>
      </c>
      <c r="C133" t="s">
        <v>497</v>
      </c>
      <c r="D133" t="s">
        <v>42</v>
      </c>
      <c r="E133" t="s">
        <v>24</v>
      </c>
      <c r="F133">
        <v>10500000</v>
      </c>
      <c r="G133">
        <v>25</v>
      </c>
      <c r="H133" s="1">
        <v>44850</v>
      </c>
      <c r="I133" t="s">
        <v>2104</v>
      </c>
    </row>
    <row r="134" spans="1:9" x14ac:dyDescent="0.25">
      <c r="A134" t="s">
        <v>498</v>
      </c>
      <c r="B134" t="s">
        <v>439</v>
      </c>
      <c r="C134" t="s">
        <v>499</v>
      </c>
      <c r="D134" t="s">
        <v>23</v>
      </c>
      <c r="E134" t="s">
        <v>19</v>
      </c>
      <c r="F134">
        <v>13000000</v>
      </c>
      <c r="G134">
        <v>24</v>
      </c>
      <c r="H134" s="1">
        <v>44369</v>
      </c>
      <c r="I134" t="s">
        <v>2104</v>
      </c>
    </row>
    <row r="135" spans="1:9" x14ac:dyDescent="0.25">
      <c r="A135" t="s">
        <v>500</v>
      </c>
      <c r="B135" t="s">
        <v>190</v>
      </c>
      <c r="C135" t="s">
        <v>501</v>
      </c>
      <c r="D135" t="s">
        <v>37</v>
      </c>
      <c r="E135" t="s">
        <v>38</v>
      </c>
      <c r="F135">
        <v>6500000</v>
      </c>
      <c r="G135">
        <v>7</v>
      </c>
      <c r="H135" s="1">
        <v>45001</v>
      </c>
      <c r="I135" t="s">
        <v>2104</v>
      </c>
    </row>
    <row r="136" spans="1:9" x14ac:dyDescent="0.25">
      <c r="A136" t="s">
        <v>502</v>
      </c>
      <c r="B136" t="s">
        <v>221</v>
      </c>
      <c r="C136" t="s">
        <v>503</v>
      </c>
      <c r="D136" t="s">
        <v>42</v>
      </c>
      <c r="E136" t="s">
        <v>24</v>
      </c>
      <c r="F136">
        <v>10500000</v>
      </c>
      <c r="G136">
        <v>1</v>
      </c>
      <c r="H136" s="1">
        <v>45010</v>
      </c>
      <c r="I136" t="s">
        <v>2104</v>
      </c>
    </row>
    <row r="137" spans="1:9" x14ac:dyDescent="0.25">
      <c r="A137" t="s">
        <v>504</v>
      </c>
      <c r="B137" t="s">
        <v>142</v>
      </c>
      <c r="C137" t="s">
        <v>505</v>
      </c>
      <c r="D137" t="s">
        <v>14</v>
      </c>
      <c r="E137" t="s">
        <v>19</v>
      </c>
      <c r="F137">
        <v>8000000</v>
      </c>
      <c r="G137">
        <v>18</v>
      </c>
      <c r="H137" s="1">
        <v>43835</v>
      </c>
      <c r="I137" t="s">
        <v>2104</v>
      </c>
    </row>
    <row r="138" spans="1:9" x14ac:dyDescent="0.25">
      <c r="A138" t="s">
        <v>506</v>
      </c>
      <c r="B138" t="s">
        <v>507</v>
      </c>
      <c r="C138" t="s">
        <v>508</v>
      </c>
      <c r="D138" t="s">
        <v>14</v>
      </c>
      <c r="E138" t="s">
        <v>34</v>
      </c>
      <c r="F138">
        <v>5500000</v>
      </c>
      <c r="G138">
        <v>23</v>
      </c>
      <c r="H138" s="1">
        <v>45170</v>
      </c>
      <c r="I138" t="s">
        <v>2104</v>
      </c>
    </row>
    <row r="139" spans="1:9" x14ac:dyDescent="0.25">
      <c r="A139" t="s">
        <v>509</v>
      </c>
      <c r="B139" t="s">
        <v>219</v>
      </c>
      <c r="C139" t="s">
        <v>510</v>
      </c>
      <c r="D139" t="s">
        <v>37</v>
      </c>
      <c r="E139" t="s">
        <v>24</v>
      </c>
      <c r="F139">
        <v>13000000</v>
      </c>
      <c r="G139">
        <v>7</v>
      </c>
      <c r="H139" s="1">
        <v>45459</v>
      </c>
      <c r="I139" t="s">
        <v>2104</v>
      </c>
    </row>
    <row r="140" spans="1:9" x14ac:dyDescent="0.25">
      <c r="A140" t="s">
        <v>511</v>
      </c>
      <c r="B140" t="s">
        <v>110</v>
      </c>
      <c r="C140" t="s">
        <v>512</v>
      </c>
      <c r="D140" t="s">
        <v>14</v>
      </c>
      <c r="E140" t="s">
        <v>34</v>
      </c>
      <c r="F140">
        <v>6500000</v>
      </c>
      <c r="G140">
        <v>4</v>
      </c>
      <c r="H140" s="1">
        <v>44183</v>
      </c>
      <c r="I140" t="s">
        <v>2104</v>
      </c>
    </row>
    <row r="141" spans="1:9" x14ac:dyDescent="0.25">
      <c r="A141" t="s">
        <v>515</v>
      </c>
      <c r="B141" t="s">
        <v>253</v>
      </c>
      <c r="C141" t="s">
        <v>516</v>
      </c>
      <c r="D141" t="s">
        <v>18</v>
      </c>
      <c r="E141" t="s">
        <v>24</v>
      </c>
      <c r="F141">
        <v>6500000</v>
      </c>
      <c r="G141">
        <v>25</v>
      </c>
      <c r="H141" s="1">
        <v>45032</v>
      </c>
      <c r="I141" t="s">
        <v>2104</v>
      </c>
    </row>
    <row r="142" spans="1:9" x14ac:dyDescent="0.25">
      <c r="A142" t="s">
        <v>519</v>
      </c>
      <c r="B142" t="s">
        <v>190</v>
      </c>
      <c r="C142" t="s">
        <v>520</v>
      </c>
      <c r="D142" t="s">
        <v>23</v>
      </c>
      <c r="E142" t="s">
        <v>38</v>
      </c>
      <c r="F142">
        <v>10500000</v>
      </c>
      <c r="G142">
        <v>11</v>
      </c>
      <c r="H142" s="1">
        <v>45723</v>
      </c>
      <c r="I142" t="s">
        <v>2104</v>
      </c>
    </row>
    <row r="143" spans="1:9" x14ac:dyDescent="0.25">
      <c r="A143" t="s">
        <v>521</v>
      </c>
      <c r="B143" t="s">
        <v>522</v>
      </c>
      <c r="C143" t="s">
        <v>523</v>
      </c>
      <c r="D143" t="s">
        <v>14</v>
      </c>
      <c r="E143" t="s">
        <v>38</v>
      </c>
      <c r="F143">
        <v>8000000</v>
      </c>
      <c r="G143">
        <v>25</v>
      </c>
      <c r="H143" s="1">
        <v>44340</v>
      </c>
      <c r="I143" t="s">
        <v>2104</v>
      </c>
    </row>
    <row r="144" spans="1:9" x14ac:dyDescent="0.25">
      <c r="A144" t="s">
        <v>524</v>
      </c>
      <c r="B144" t="s">
        <v>187</v>
      </c>
      <c r="C144" t="s">
        <v>525</v>
      </c>
      <c r="D144" t="s">
        <v>18</v>
      </c>
      <c r="E144" t="s">
        <v>15</v>
      </c>
      <c r="F144">
        <v>8000000</v>
      </c>
      <c r="G144">
        <v>20</v>
      </c>
      <c r="H144" s="1">
        <v>45820</v>
      </c>
      <c r="I144" t="s">
        <v>2104</v>
      </c>
    </row>
    <row r="145" spans="1:9" x14ac:dyDescent="0.25">
      <c r="A145" t="s">
        <v>526</v>
      </c>
      <c r="B145" t="s">
        <v>63</v>
      </c>
      <c r="C145" t="s">
        <v>527</v>
      </c>
      <c r="D145" t="s">
        <v>42</v>
      </c>
      <c r="E145" t="s">
        <v>24</v>
      </c>
      <c r="F145">
        <v>10500000</v>
      </c>
      <c r="G145">
        <v>15</v>
      </c>
      <c r="H145" s="1">
        <v>45583</v>
      </c>
      <c r="I145" t="s">
        <v>2104</v>
      </c>
    </row>
    <row r="146" spans="1:9" x14ac:dyDescent="0.25">
      <c r="A146" t="s">
        <v>528</v>
      </c>
      <c r="B146" t="s">
        <v>464</v>
      </c>
      <c r="C146" t="s">
        <v>529</v>
      </c>
      <c r="D146" t="s">
        <v>23</v>
      </c>
      <c r="E146" t="s">
        <v>19</v>
      </c>
      <c r="F146">
        <v>8000000</v>
      </c>
      <c r="G146">
        <v>35</v>
      </c>
      <c r="H146" s="1">
        <v>45988</v>
      </c>
      <c r="I146" t="s">
        <v>2104</v>
      </c>
    </row>
    <row r="147" spans="1:9" x14ac:dyDescent="0.25">
      <c r="A147" t="s">
        <v>530</v>
      </c>
      <c r="B147" t="s">
        <v>123</v>
      </c>
      <c r="C147" t="s">
        <v>531</v>
      </c>
      <c r="D147" t="s">
        <v>37</v>
      </c>
      <c r="E147" t="s">
        <v>15</v>
      </c>
      <c r="F147">
        <v>10500000</v>
      </c>
      <c r="G147">
        <v>33</v>
      </c>
      <c r="H147" s="1">
        <v>45974</v>
      </c>
      <c r="I147" t="s">
        <v>2104</v>
      </c>
    </row>
    <row r="148" spans="1:9" x14ac:dyDescent="0.25">
      <c r="A148" t="s">
        <v>532</v>
      </c>
      <c r="B148" t="s">
        <v>212</v>
      </c>
      <c r="C148" t="s">
        <v>533</v>
      </c>
      <c r="D148" t="s">
        <v>37</v>
      </c>
      <c r="E148" t="s">
        <v>19</v>
      </c>
      <c r="F148">
        <v>5500000</v>
      </c>
      <c r="G148">
        <v>22</v>
      </c>
      <c r="H148" s="1">
        <v>45528</v>
      </c>
      <c r="I148" t="s">
        <v>2104</v>
      </c>
    </row>
    <row r="149" spans="1:9" x14ac:dyDescent="0.25">
      <c r="A149" t="s">
        <v>534</v>
      </c>
      <c r="B149" t="s">
        <v>483</v>
      </c>
      <c r="C149" t="s">
        <v>535</v>
      </c>
      <c r="D149" t="s">
        <v>23</v>
      </c>
      <c r="E149" t="s">
        <v>19</v>
      </c>
      <c r="F149">
        <v>13000000</v>
      </c>
      <c r="G149">
        <v>19</v>
      </c>
      <c r="H149" s="1">
        <v>44705</v>
      </c>
      <c r="I149" t="s">
        <v>2104</v>
      </c>
    </row>
    <row r="150" spans="1:9" x14ac:dyDescent="0.25">
      <c r="A150" t="s">
        <v>536</v>
      </c>
      <c r="B150" t="s">
        <v>206</v>
      </c>
      <c r="C150" t="s">
        <v>537</v>
      </c>
      <c r="D150" t="s">
        <v>23</v>
      </c>
      <c r="E150" t="s">
        <v>19</v>
      </c>
      <c r="F150">
        <v>10500000</v>
      </c>
      <c r="G150">
        <v>31</v>
      </c>
      <c r="H150" s="1">
        <v>45873</v>
      </c>
      <c r="I150" t="s">
        <v>2104</v>
      </c>
    </row>
    <row r="151" spans="1:9" x14ac:dyDescent="0.25">
      <c r="A151" t="s">
        <v>541</v>
      </c>
      <c r="B151" t="s">
        <v>108</v>
      </c>
      <c r="C151" t="s">
        <v>542</v>
      </c>
      <c r="D151" t="s">
        <v>42</v>
      </c>
      <c r="E151" t="s">
        <v>38</v>
      </c>
      <c r="F151">
        <v>13000000</v>
      </c>
      <c r="G151">
        <v>6</v>
      </c>
      <c r="H151" s="1">
        <v>44758</v>
      </c>
      <c r="I151" t="s">
        <v>2104</v>
      </c>
    </row>
    <row r="152" spans="1:9" x14ac:dyDescent="0.25">
      <c r="A152" t="s">
        <v>543</v>
      </c>
      <c r="B152" t="s">
        <v>327</v>
      </c>
      <c r="C152" t="s">
        <v>544</v>
      </c>
      <c r="D152" t="s">
        <v>37</v>
      </c>
      <c r="E152" t="s">
        <v>34</v>
      </c>
      <c r="F152">
        <v>8000000</v>
      </c>
      <c r="G152">
        <v>4</v>
      </c>
      <c r="H152" s="1">
        <v>44536</v>
      </c>
      <c r="I152" t="s">
        <v>2104</v>
      </c>
    </row>
    <row r="153" spans="1:9" x14ac:dyDescent="0.25">
      <c r="A153" t="s">
        <v>545</v>
      </c>
      <c r="B153" t="s">
        <v>439</v>
      </c>
      <c r="C153" t="s">
        <v>546</v>
      </c>
      <c r="D153" t="s">
        <v>33</v>
      </c>
      <c r="E153" t="s">
        <v>24</v>
      </c>
      <c r="F153">
        <v>5500000</v>
      </c>
      <c r="G153">
        <v>32</v>
      </c>
      <c r="H153" s="1">
        <v>45164</v>
      </c>
      <c r="I153" t="s">
        <v>2104</v>
      </c>
    </row>
    <row r="154" spans="1:9" x14ac:dyDescent="0.25">
      <c r="A154" t="s">
        <v>547</v>
      </c>
      <c r="B154" t="s">
        <v>507</v>
      </c>
      <c r="C154" t="s">
        <v>548</v>
      </c>
      <c r="D154" t="s">
        <v>18</v>
      </c>
      <c r="E154" t="s">
        <v>34</v>
      </c>
      <c r="F154">
        <v>6500000</v>
      </c>
      <c r="G154">
        <v>6</v>
      </c>
      <c r="H154" s="1">
        <v>44260</v>
      </c>
      <c r="I154" t="s">
        <v>2104</v>
      </c>
    </row>
    <row r="155" spans="1:9" x14ac:dyDescent="0.25">
      <c r="A155" t="s">
        <v>549</v>
      </c>
      <c r="B155" t="s">
        <v>166</v>
      </c>
      <c r="C155" t="s">
        <v>550</v>
      </c>
      <c r="D155" t="s">
        <v>37</v>
      </c>
      <c r="E155" t="s">
        <v>34</v>
      </c>
      <c r="F155">
        <v>6500000</v>
      </c>
      <c r="G155">
        <v>21</v>
      </c>
      <c r="H155" s="1">
        <v>44552</v>
      </c>
      <c r="I155" t="s">
        <v>2104</v>
      </c>
    </row>
    <row r="156" spans="1:9" x14ac:dyDescent="0.25">
      <c r="A156" t="s">
        <v>551</v>
      </c>
      <c r="B156" t="s">
        <v>281</v>
      </c>
      <c r="C156" t="s">
        <v>552</v>
      </c>
      <c r="D156" t="s">
        <v>14</v>
      </c>
      <c r="E156" t="s">
        <v>19</v>
      </c>
      <c r="F156">
        <v>8000000</v>
      </c>
      <c r="G156">
        <v>30</v>
      </c>
      <c r="H156" s="1">
        <v>45633</v>
      </c>
      <c r="I156" t="s">
        <v>2104</v>
      </c>
    </row>
    <row r="157" spans="1:9" x14ac:dyDescent="0.25">
      <c r="A157" t="s">
        <v>553</v>
      </c>
      <c r="B157" t="s">
        <v>113</v>
      </c>
      <c r="C157" t="s">
        <v>554</v>
      </c>
      <c r="D157" t="s">
        <v>37</v>
      </c>
      <c r="E157" t="s">
        <v>34</v>
      </c>
      <c r="F157">
        <v>10500000</v>
      </c>
      <c r="G157">
        <v>38</v>
      </c>
      <c r="H157" s="1">
        <v>44945</v>
      </c>
      <c r="I157" t="s">
        <v>2104</v>
      </c>
    </row>
    <row r="158" spans="1:9" x14ac:dyDescent="0.25">
      <c r="A158" t="s">
        <v>555</v>
      </c>
      <c r="B158" t="s">
        <v>113</v>
      </c>
      <c r="C158" t="s">
        <v>556</v>
      </c>
      <c r="D158" t="s">
        <v>18</v>
      </c>
      <c r="E158" t="s">
        <v>15</v>
      </c>
      <c r="F158">
        <v>10500000</v>
      </c>
      <c r="G158">
        <v>26</v>
      </c>
      <c r="H158" s="1">
        <v>45922</v>
      </c>
      <c r="I158" t="s">
        <v>2104</v>
      </c>
    </row>
    <row r="159" spans="1:9" x14ac:dyDescent="0.25">
      <c r="A159" t="s">
        <v>557</v>
      </c>
      <c r="B159" t="s">
        <v>148</v>
      </c>
      <c r="C159" t="s">
        <v>558</v>
      </c>
      <c r="D159" t="s">
        <v>37</v>
      </c>
      <c r="E159" t="s">
        <v>15</v>
      </c>
      <c r="F159">
        <v>10500000</v>
      </c>
      <c r="G159">
        <v>23</v>
      </c>
      <c r="H159" s="1">
        <v>45292</v>
      </c>
      <c r="I159" t="s">
        <v>2104</v>
      </c>
    </row>
    <row r="160" spans="1:9" x14ac:dyDescent="0.25">
      <c r="A160" t="s">
        <v>559</v>
      </c>
      <c r="B160" t="s">
        <v>127</v>
      </c>
      <c r="C160" t="s">
        <v>560</v>
      </c>
      <c r="D160" t="s">
        <v>33</v>
      </c>
      <c r="E160" t="s">
        <v>19</v>
      </c>
      <c r="F160">
        <v>8000000</v>
      </c>
      <c r="G160">
        <v>2</v>
      </c>
      <c r="H160" s="1">
        <v>44830</v>
      </c>
      <c r="I160" t="s">
        <v>2104</v>
      </c>
    </row>
    <row r="161" spans="1:9" x14ac:dyDescent="0.25">
      <c r="A161" t="s">
        <v>561</v>
      </c>
      <c r="B161" t="s">
        <v>123</v>
      </c>
      <c r="C161" t="s">
        <v>562</v>
      </c>
      <c r="D161" t="s">
        <v>37</v>
      </c>
      <c r="E161" t="s">
        <v>24</v>
      </c>
      <c r="F161">
        <v>10500000</v>
      </c>
      <c r="G161">
        <v>3</v>
      </c>
      <c r="H161" s="1">
        <v>44328</v>
      </c>
      <c r="I161" t="s">
        <v>2104</v>
      </c>
    </row>
    <row r="162" spans="1:9" x14ac:dyDescent="0.25">
      <c r="A162" t="s">
        <v>563</v>
      </c>
      <c r="B162" t="s">
        <v>66</v>
      </c>
      <c r="C162" t="s">
        <v>564</v>
      </c>
      <c r="D162" t="s">
        <v>33</v>
      </c>
      <c r="E162" t="s">
        <v>38</v>
      </c>
      <c r="F162">
        <v>10500000</v>
      </c>
      <c r="G162">
        <v>21</v>
      </c>
      <c r="H162" s="1">
        <v>45558</v>
      </c>
      <c r="I162" t="s">
        <v>2104</v>
      </c>
    </row>
    <row r="163" spans="1:9" x14ac:dyDescent="0.25">
      <c r="A163" t="s">
        <v>565</v>
      </c>
      <c r="B163" t="s">
        <v>457</v>
      </c>
      <c r="C163" t="s">
        <v>566</v>
      </c>
      <c r="D163" t="s">
        <v>33</v>
      </c>
      <c r="E163" t="s">
        <v>38</v>
      </c>
      <c r="F163">
        <v>13000000</v>
      </c>
      <c r="G163">
        <v>24</v>
      </c>
      <c r="H163" s="1">
        <v>43881</v>
      </c>
      <c r="I163" t="s">
        <v>2104</v>
      </c>
    </row>
    <row r="164" spans="1:9" x14ac:dyDescent="0.25">
      <c r="A164" t="s">
        <v>567</v>
      </c>
      <c r="B164" t="s">
        <v>217</v>
      </c>
      <c r="C164" t="s">
        <v>568</v>
      </c>
      <c r="D164" t="s">
        <v>42</v>
      </c>
      <c r="E164" t="s">
        <v>24</v>
      </c>
      <c r="F164">
        <v>13000000</v>
      </c>
      <c r="G164">
        <v>16</v>
      </c>
      <c r="H164" s="1">
        <v>44587</v>
      </c>
      <c r="I164" t="s">
        <v>2104</v>
      </c>
    </row>
    <row r="165" spans="1:9" x14ac:dyDescent="0.25">
      <c r="A165" t="s">
        <v>569</v>
      </c>
      <c r="B165" t="s">
        <v>105</v>
      </c>
      <c r="C165" t="s">
        <v>570</v>
      </c>
      <c r="D165" t="s">
        <v>14</v>
      </c>
      <c r="E165" t="s">
        <v>24</v>
      </c>
      <c r="F165">
        <v>13000000</v>
      </c>
      <c r="G165">
        <v>10</v>
      </c>
      <c r="H165" s="1">
        <v>44399</v>
      </c>
      <c r="I165" t="s">
        <v>2104</v>
      </c>
    </row>
    <row r="166" spans="1:9" x14ac:dyDescent="0.25">
      <c r="A166" t="s">
        <v>571</v>
      </c>
      <c r="B166" t="s">
        <v>234</v>
      </c>
      <c r="C166" t="s">
        <v>572</v>
      </c>
      <c r="D166" t="s">
        <v>33</v>
      </c>
      <c r="E166" t="s">
        <v>19</v>
      </c>
      <c r="F166">
        <v>6500000</v>
      </c>
      <c r="G166">
        <v>32</v>
      </c>
      <c r="H166" s="1">
        <v>44110</v>
      </c>
      <c r="I166" t="s">
        <v>2104</v>
      </c>
    </row>
    <row r="167" spans="1:9" x14ac:dyDescent="0.25">
      <c r="A167" t="s">
        <v>573</v>
      </c>
      <c r="B167" t="s">
        <v>121</v>
      </c>
      <c r="C167" t="s">
        <v>574</v>
      </c>
      <c r="D167" t="s">
        <v>23</v>
      </c>
      <c r="E167" t="s">
        <v>38</v>
      </c>
      <c r="F167">
        <v>6500000</v>
      </c>
      <c r="G167">
        <v>6</v>
      </c>
      <c r="H167" s="1">
        <v>44297</v>
      </c>
      <c r="I167" t="s">
        <v>2104</v>
      </c>
    </row>
    <row r="168" spans="1:9" x14ac:dyDescent="0.25">
      <c r="A168" t="s">
        <v>577</v>
      </c>
      <c r="B168" t="s">
        <v>444</v>
      </c>
      <c r="C168" t="s">
        <v>578</v>
      </c>
      <c r="D168" t="s">
        <v>37</v>
      </c>
      <c r="E168" t="s">
        <v>19</v>
      </c>
      <c r="F168">
        <v>5500000</v>
      </c>
      <c r="G168">
        <v>26</v>
      </c>
      <c r="H168" s="1">
        <v>44880</v>
      </c>
      <c r="I168" t="s">
        <v>2104</v>
      </c>
    </row>
    <row r="169" spans="1:9" x14ac:dyDescent="0.25">
      <c r="A169" t="s">
        <v>579</v>
      </c>
      <c r="B169" t="s">
        <v>16</v>
      </c>
      <c r="C169" t="s">
        <v>580</v>
      </c>
      <c r="D169" t="s">
        <v>14</v>
      </c>
      <c r="E169" t="s">
        <v>34</v>
      </c>
      <c r="F169">
        <v>8000000</v>
      </c>
      <c r="G169">
        <v>21</v>
      </c>
      <c r="H169" s="1">
        <v>45541</v>
      </c>
      <c r="I169" t="s">
        <v>2104</v>
      </c>
    </row>
    <row r="170" spans="1:9" x14ac:dyDescent="0.25">
      <c r="A170" t="s">
        <v>581</v>
      </c>
      <c r="B170" t="s">
        <v>299</v>
      </c>
      <c r="C170" t="s">
        <v>582</v>
      </c>
      <c r="D170" t="s">
        <v>33</v>
      </c>
      <c r="E170" t="s">
        <v>19</v>
      </c>
      <c r="F170">
        <v>6500000</v>
      </c>
      <c r="G170">
        <v>7</v>
      </c>
      <c r="H170" s="1">
        <v>44578</v>
      </c>
      <c r="I170" t="s">
        <v>2104</v>
      </c>
    </row>
    <row r="171" spans="1:9" x14ac:dyDescent="0.25">
      <c r="A171" t="s">
        <v>583</v>
      </c>
      <c r="B171" t="s">
        <v>127</v>
      </c>
      <c r="C171" t="s">
        <v>584</v>
      </c>
      <c r="D171" t="s">
        <v>42</v>
      </c>
      <c r="E171" t="s">
        <v>24</v>
      </c>
      <c r="F171">
        <v>8000000</v>
      </c>
      <c r="G171">
        <v>39</v>
      </c>
      <c r="H171" s="1">
        <v>45261</v>
      </c>
      <c r="I171" t="s">
        <v>2104</v>
      </c>
    </row>
    <row r="172" spans="1:9" x14ac:dyDescent="0.25">
      <c r="A172" t="s">
        <v>585</v>
      </c>
      <c r="B172" t="s">
        <v>267</v>
      </c>
      <c r="C172" t="s">
        <v>586</v>
      </c>
      <c r="D172" t="s">
        <v>33</v>
      </c>
      <c r="E172" t="s">
        <v>34</v>
      </c>
      <c r="F172">
        <v>8000000</v>
      </c>
      <c r="G172">
        <v>11</v>
      </c>
      <c r="H172" s="1">
        <v>45735</v>
      </c>
      <c r="I172" t="s">
        <v>2104</v>
      </c>
    </row>
    <row r="173" spans="1:9" x14ac:dyDescent="0.25">
      <c r="A173" t="s">
        <v>587</v>
      </c>
      <c r="B173" t="s">
        <v>450</v>
      </c>
      <c r="C173" t="s">
        <v>588</v>
      </c>
      <c r="D173" t="s">
        <v>18</v>
      </c>
      <c r="E173" t="s">
        <v>38</v>
      </c>
      <c r="F173">
        <v>5500000</v>
      </c>
      <c r="G173">
        <v>13</v>
      </c>
      <c r="H173" s="1">
        <v>44856</v>
      </c>
      <c r="I173" t="s">
        <v>2104</v>
      </c>
    </row>
    <row r="174" spans="1:9" x14ac:dyDescent="0.25">
      <c r="A174" t="s">
        <v>589</v>
      </c>
      <c r="B174" t="s">
        <v>219</v>
      </c>
      <c r="C174" t="s">
        <v>590</v>
      </c>
      <c r="D174" t="s">
        <v>33</v>
      </c>
      <c r="E174" t="s">
        <v>34</v>
      </c>
      <c r="F174">
        <v>10500000</v>
      </c>
      <c r="G174">
        <v>6</v>
      </c>
      <c r="H174" s="1">
        <v>44846</v>
      </c>
      <c r="I174" t="s">
        <v>2104</v>
      </c>
    </row>
    <row r="175" spans="1:9" x14ac:dyDescent="0.25">
      <c r="A175" t="s">
        <v>591</v>
      </c>
      <c r="B175" t="s">
        <v>153</v>
      </c>
      <c r="C175" t="s">
        <v>592</v>
      </c>
      <c r="D175" t="s">
        <v>23</v>
      </c>
      <c r="E175" t="s">
        <v>15</v>
      </c>
      <c r="F175">
        <v>5500000</v>
      </c>
      <c r="G175">
        <v>25</v>
      </c>
      <c r="H175" s="1">
        <v>44903</v>
      </c>
      <c r="I175" t="s">
        <v>2104</v>
      </c>
    </row>
    <row r="176" spans="1:9" x14ac:dyDescent="0.25">
      <c r="A176" t="s">
        <v>593</v>
      </c>
      <c r="B176" t="s">
        <v>121</v>
      </c>
      <c r="C176" t="s">
        <v>594</v>
      </c>
      <c r="D176" t="s">
        <v>23</v>
      </c>
      <c r="E176" t="s">
        <v>15</v>
      </c>
      <c r="F176">
        <v>13000000</v>
      </c>
      <c r="G176">
        <v>5</v>
      </c>
      <c r="H176" s="1">
        <v>45434</v>
      </c>
      <c r="I176" t="s">
        <v>2104</v>
      </c>
    </row>
    <row r="177" spans="1:9" x14ac:dyDescent="0.25">
      <c r="A177" t="s">
        <v>595</v>
      </c>
      <c r="B177" t="s">
        <v>161</v>
      </c>
      <c r="C177" t="s">
        <v>596</v>
      </c>
      <c r="D177" t="s">
        <v>18</v>
      </c>
      <c r="E177" t="s">
        <v>19</v>
      </c>
      <c r="F177">
        <v>5500000</v>
      </c>
      <c r="G177">
        <v>13</v>
      </c>
      <c r="H177" s="1">
        <v>45957</v>
      </c>
      <c r="I177" t="s">
        <v>2104</v>
      </c>
    </row>
    <row r="178" spans="1:9" x14ac:dyDescent="0.25">
      <c r="A178" t="s">
        <v>597</v>
      </c>
      <c r="B178" t="s">
        <v>492</v>
      </c>
      <c r="C178" t="s">
        <v>598</v>
      </c>
      <c r="D178" t="s">
        <v>33</v>
      </c>
      <c r="E178" t="s">
        <v>34</v>
      </c>
      <c r="F178">
        <v>13000000</v>
      </c>
      <c r="G178">
        <v>37</v>
      </c>
      <c r="H178" s="1">
        <v>45903</v>
      </c>
      <c r="I178" t="s">
        <v>2104</v>
      </c>
    </row>
    <row r="179" spans="1:9" x14ac:dyDescent="0.25">
      <c r="A179" t="s">
        <v>599</v>
      </c>
      <c r="B179" t="s">
        <v>26</v>
      </c>
      <c r="C179" t="s">
        <v>600</v>
      </c>
      <c r="D179" t="s">
        <v>37</v>
      </c>
      <c r="E179" t="s">
        <v>24</v>
      </c>
      <c r="F179">
        <v>5500000</v>
      </c>
      <c r="G179">
        <v>34</v>
      </c>
      <c r="H179" s="1">
        <v>44014</v>
      </c>
      <c r="I179" t="s">
        <v>2104</v>
      </c>
    </row>
    <row r="180" spans="1:9" x14ac:dyDescent="0.25">
      <c r="A180" t="s">
        <v>601</v>
      </c>
      <c r="B180" t="s">
        <v>28</v>
      </c>
      <c r="C180" t="s">
        <v>602</v>
      </c>
      <c r="D180" t="s">
        <v>23</v>
      </c>
      <c r="E180" t="s">
        <v>24</v>
      </c>
      <c r="F180">
        <v>13000000</v>
      </c>
      <c r="G180">
        <v>4</v>
      </c>
      <c r="H180" s="1">
        <v>45839</v>
      </c>
      <c r="I180" t="s">
        <v>2104</v>
      </c>
    </row>
    <row r="181" spans="1:9" x14ac:dyDescent="0.25">
      <c r="A181" t="s">
        <v>603</v>
      </c>
      <c r="B181" t="s">
        <v>171</v>
      </c>
      <c r="C181" t="s">
        <v>604</v>
      </c>
      <c r="D181" t="s">
        <v>42</v>
      </c>
      <c r="E181" t="s">
        <v>38</v>
      </c>
      <c r="F181">
        <v>8000000</v>
      </c>
      <c r="G181">
        <v>4</v>
      </c>
      <c r="H181" s="1">
        <v>45683</v>
      </c>
      <c r="I181" t="s">
        <v>2104</v>
      </c>
    </row>
    <row r="182" spans="1:9" x14ac:dyDescent="0.25">
      <c r="A182" t="s">
        <v>605</v>
      </c>
      <c r="B182" t="s">
        <v>281</v>
      </c>
      <c r="C182" t="s">
        <v>606</v>
      </c>
      <c r="D182" t="s">
        <v>23</v>
      </c>
      <c r="E182" t="s">
        <v>15</v>
      </c>
      <c r="F182">
        <v>10500000</v>
      </c>
      <c r="G182">
        <v>2</v>
      </c>
      <c r="H182" s="1">
        <v>45826</v>
      </c>
      <c r="I182" t="s">
        <v>2104</v>
      </c>
    </row>
    <row r="183" spans="1:9" x14ac:dyDescent="0.25">
      <c r="A183" t="s">
        <v>607</v>
      </c>
      <c r="B183" t="s">
        <v>177</v>
      </c>
      <c r="C183" t="s">
        <v>608</v>
      </c>
      <c r="D183" t="s">
        <v>14</v>
      </c>
      <c r="E183" t="s">
        <v>19</v>
      </c>
      <c r="F183">
        <v>10500000</v>
      </c>
      <c r="G183">
        <v>10</v>
      </c>
      <c r="H183" s="1">
        <v>43955</v>
      </c>
      <c r="I183" t="s">
        <v>2104</v>
      </c>
    </row>
    <row r="184" spans="1:9" x14ac:dyDescent="0.25">
      <c r="A184" t="s">
        <v>609</v>
      </c>
      <c r="B184" t="s">
        <v>123</v>
      </c>
      <c r="C184" t="s">
        <v>610</v>
      </c>
      <c r="D184" t="s">
        <v>18</v>
      </c>
      <c r="E184" t="s">
        <v>19</v>
      </c>
      <c r="F184">
        <v>13000000</v>
      </c>
      <c r="G184">
        <v>5</v>
      </c>
      <c r="H184" s="1">
        <v>45191</v>
      </c>
      <c r="I184" t="s">
        <v>2104</v>
      </c>
    </row>
    <row r="185" spans="1:9" x14ac:dyDescent="0.25">
      <c r="A185" t="s">
        <v>613</v>
      </c>
      <c r="B185" t="s">
        <v>40</v>
      </c>
      <c r="C185" t="s">
        <v>614</v>
      </c>
      <c r="D185" t="s">
        <v>37</v>
      </c>
      <c r="E185" t="s">
        <v>19</v>
      </c>
      <c r="F185">
        <v>5500000</v>
      </c>
      <c r="G185">
        <v>18</v>
      </c>
      <c r="H185" s="1">
        <v>43839</v>
      </c>
      <c r="I185" t="s">
        <v>2104</v>
      </c>
    </row>
    <row r="186" spans="1:9" x14ac:dyDescent="0.25">
      <c r="A186" t="s">
        <v>615</v>
      </c>
      <c r="B186" t="s">
        <v>360</v>
      </c>
      <c r="C186" t="s">
        <v>616</v>
      </c>
      <c r="D186" t="s">
        <v>37</v>
      </c>
      <c r="E186" t="s">
        <v>19</v>
      </c>
      <c r="F186">
        <v>6500000</v>
      </c>
      <c r="G186">
        <v>23</v>
      </c>
      <c r="H186" s="1">
        <v>44879</v>
      </c>
      <c r="I186" t="s">
        <v>2104</v>
      </c>
    </row>
    <row r="187" spans="1:9" x14ac:dyDescent="0.25">
      <c r="A187" t="s">
        <v>621</v>
      </c>
      <c r="B187" t="s">
        <v>127</v>
      </c>
      <c r="C187" t="s">
        <v>622</v>
      </c>
      <c r="D187" t="s">
        <v>14</v>
      </c>
      <c r="E187" t="s">
        <v>19</v>
      </c>
      <c r="F187">
        <v>13000000</v>
      </c>
      <c r="G187">
        <v>3</v>
      </c>
      <c r="H187" s="1">
        <v>45189</v>
      </c>
      <c r="I187" t="s">
        <v>2104</v>
      </c>
    </row>
    <row r="188" spans="1:9" x14ac:dyDescent="0.25">
      <c r="A188" t="s">
        <v>623</v>
      </c>
      <c r="B188" t="s">
        <v>345</v>
      </c>
      <c r="C188" t="s">
        <v>624</v>
      </c>
      <c r="D188" t="s">
        <v>18</v>
      </c>
      <c r="E188" t="s">
        <v>24</v>
      </c>
      <c r="F188">
        <v>10500000</v>
      </c>
      <c r="G188">
        <v>25</v>
      </c>
      <c r="H188" s="1">
        <v>44918</v>
      </c>
      <c r="I188" t="s">
        <v>2104</v>
      </c>
    </row>
    <row r="189" spans="1:9" x14ac:dyDescent="0.25">
      <c r="A189" t="s">
        <v>627</v>
      </c>
      <c r="B189" t="s">
        <v>134</v>
      </c>
      <c r="C189" t="s">
        <v>628</v>
      </c>
      <c r="D189" t="s">
        <v>14</v>
      </c>
      <c r="E189" t="s">
        <v>15</v>
      </c>
      <c r="F189">
        <v>13000000</v>
      </c>
      <c r="G189">
        <v>9</v>
      </c>
      <c r="H189" s="1">
        <v>45086</v>
      </c>
      <c r="I189" t="s">
        <v>2104</v>
      </c>
    </row>
    <row r="190" spans="1:9" x14ac:dyDescent="0.25">
      <c r="A190" t="s">
        <v>629</v>
      </c>
      <c r="B190" t="s">
        <v>630</v>
      </c>
      <c r="C190" t="s">
        <v>631</v>
      </c>
      <c r="D190" t="s">
        <v>33</v>
      </c>
      <c r="E190" t="s">
        <v>34</v>
      </c>
      <c r="F190">
        <v>8000000</v>
      </c>
      <c r="G190">
        <v>30</v>
      </c>
      <c r="H190" s="1">
        <v>45850</v>
      </c>
      <c r="I190" t="s">
        <v>2104</v>
      </c>
    </row>
    <row r="191" spans="1:9" x14ac:dyDescent="0.25">
      <c r="A191" t="s">
        <v>632</v>
      </c>
      <c r="B191" t="s">
        <v>28</v>
      </c>
      <c r="C191" t="s">
        <v>633</v>
      </c>
      <c r="D191" t="s">
        <v>33</v>
      </c>
      <c r="E191" t="s">
        <v>34</v>
      </c>
      <c r="F191">
        <v>8000000</v>
      </c>
      <c r="G191">
        <v>5</v>
      </c>
      <c r="H191" s="1">
        <v>44702</v>
      </c>
      <c r="I191" t="s">
        <v>2104</v>
      </c>
    </row>
    <row r="192" spans="1:9" x14ac:dyDescent="0.25">
      <c r="A192" t="s">
        <v>634</v>
      </c>
      <c r="B192" t="s">
        <v>177</v>
      </c>
      <c r="C192" t="s">
        <v>635</v>
      </c>
      <c r="D192" t="s">
        <v>23</v>
      </c>
      <c r="E192" t="s">
        <v>34</v>
      </c>
      <c r="F192">
        <v>8000000</v>
      </c>
      <c r="G192">
        <v>5</v>
      </c>
      <c r="H192" s="1">
        <v>45827</v>
      </c>
      <c r="I192" t="s">
        <v>2104</v>
      </c>
    </row>
    <row r="193" spans="1:9" x14ac:dyDescent="0.25">
      <c r="A193" t="s">
        <v>636</v>
      </c>
      <c r="B193" t="s">
        <v>206</v>
      </c>
      <c r="C193" t="s">
        <v>637</v>
      </c>
      <c r="D193" t="s">
        <v>33</v>
      </c>
      <c r="E193" t="s">
        <v>19</v>
      </c>
      <c r="F193">
        <v>8000000</v>
      </c>
      <c r="G193">
        <v>18</v>
      </c>
      <c r="H193" s="1">
        <v>44365</v>
      </c>
      <c r="I193" t="s">
        <v>2104</v>
      </c>
    </row>
    <row r="194" spans="1:9" x14ac:dyDescent="0.25">
      <c r="A194" t="s">
        <v>638</v>
      </c>
      <c r="B194" t="s">
        <v>16</v>
      </c>
      <c r="C194" t="s">
        <v>639</v>
      </c>
      <c r="D194" t="s">
        <v>14</v>
      </c>
      <c r="E194" t="s">
        <v>19</v>
      </c>
      <c r="F194">
        <v>8000000</v>
      </c>
      <c r="G194">
        <v>1</v>
      </c>
      <c r="H194" s="1">
        <v>44719</v>
      </c>
      <c r="I194" t="s">
        <v>2104</v>
      </c>
    </row>
    <row r="195" spans="1:9" x14ac:dyDescent="0.25">
      <c r="A195" t="s">
        <v>640</v>
      </c>
      <c r="B195" t="s">
        <v>430</v>
      </c>
      <c r="C195" t="s">
        <v>641</v>
      </c>
      <c r="D195" t="s">
        <v>23</v>
      </c>
      <c r="E195" t="s">
        <v>15</v>
      </c>
      <c r="F195">
        <v>13000000</v>
      </c>
      <c r="G195">
        <v>35</v>
      </c>
      <c r="H195" s="1">
        <v>44660</v>
      </c>
      <c r="I195" t="s">
        <v>2104</v>
      </c>
    </row>
    <row r="196" spans="1:9" x14ac:dyDescent="0.25">
      <c r="A196" t="s">
        <v>642</v>
      </c>
      <c r="B196" t="s">
        <v>643</v>
      </c>
      <c r="C196" t="s">
        <v>644</v>
      </c>
      <c r="D196" t="s">
        <v>18</v>
      </c>
      <c r="E196" t="s">
        <v>24</v>
      </c>
      <c r="F196">
        <v>10500000</v>
      </c>
      <c r="G196">
        <v>36</v>
      </c>
      <c r="H196" s="1">
        <v>43960</v>
      </c>
      <c r="I196" t="s">
        <v>2104</v>
      </c>
    </row>
    <row r="197" spans="1:9" x14ac:dyDescent="0.25">
      <c r="A197" t="s">
        <v>645</v>
      </c>
      <c r="B197" t="s">
        <v>123</v>
      </c>
      <c r="C197" t="s">
        <v>646</v>
      </c>
      <c r="D197" t="s">
        <v>18</v>
      </c>
      <c r="E197" t="s">
        <v>38</v>
      </c>
      <c r="F197">
        <v>10500000</v>
      </c>
      <c r="G197">
        <v>0</v>
      </c>
      <c r="H197" s="1">
        <v>45310</v>
      </c>
      <c r="I197" t="s">
        <v>2104</v>
      </c>
    </row>
    <row r="198" spans="1:9" x14ac:dyDescent="0.25">
      <c r="A198" t="s">
        <v>647</v>
      </c>
      <c r="B198" t="s">
        <v>121</v>
      </c>
      <c r="C198" t="s">
        <v>648</v>
      </c>
      <c r="D198" t="s">
        <v>18</v>
      </c>
      <c r="E198" t="s">
        <v>19</v>
      </c>
      <c r="F198">
        <v>6500000</v>
      </c>
      <c r="G198">
        <v>10</v>
      </c>
      <c r="H198" s="1">
        <v>45674</v>
      </c>
      <c r="I198" t="s">
        <v>2104</v>
      </c>
    </row>
    <row r="199" spans="1:9" x14ac:dyDescent="0.25">
      <c r="A199" t="s">
        <v>649</v>
      </c>
      <c r="B199" t="s">
        <v>31</v>
      </c>
      <c r="C199" t="s">
        <v>650</v>
      </c>
      <c r="D199" t="s">
        <v>37</v>
      </c>
      <c r="E199" t="s">
        <v>15</v>
      </c>
      <c r="F199">
        <v>10500000</v>
      </c>
      <c r="G199">
        <v>28</v>
      </c>
      <c r="H199" s="1">
        <v>44428</v>
      </c>
      <c r="I199" t="s">
        <v>2104</v>
      </c>
    </row>
    <row r="200" spans="1:9" x14ac:dyDescent="0.25">
      <c r="A200" t="s">
        <v>651</v>
      </c>
      <c r="B200" t="s">
        <v>63</v>
      </c>
      <c r="C200" t="s">
        <v>652</v>
      </c>
      <c r="D200" t="s">
        <v>23</v>
      </c>
      <c r="E200" t="s">
        <v>19</v>
      </c>
      <c r="F200">
        <v>6500000</v>
      </c>
      <c r="G200">
        <v>2</v>
      </c>
      <c r="H200" s="1">
        <v>44268</v>
      </c>
      <c r="I200" t="s">
        <v>2104</v>
      </c>
    </row>
    <row r="201" spans="1:9" x14ac:dyDescent="0.25">
      <c r="A201" t="s">
        <v>653</v>
      </c>
      <c r="B201" t="s">
        <v>71</v>
      </c>
      <c r="C201" t="s">
        <v>654</v>
      </c>
      <c r="D201" t="s">
        <v>14</v>
      </c>
      <c r="E201" t="s">
        <v>15</v>
      </c>
      <c r="F201">
        <v>5500000</v>
      </c>
      <c r="G201">
        <v>8</v>
      </c>
      <c r="H201" s="1">
        <v>44189</v>
      </c>
      <c r="I201" t="s">
        <v>2104</v>
      </c>
    </row>
    <row r="202" spans="1:9" x14ac:dyDescent="0.25">
      <c r="A202" t="s">
        <v>655</v>
      </c>
      <c r="B202" t="s">
        <v>308</v>
      </c>
      <c r="C202" t="s">
        <v>656</v>
      </c>
      <c r="D202" t="s">
        <v>18</v>
      </c>
      <c r="E202" t="s">
        <v>24</v>
      </c>
      <c r="F202">
        <v>8000000</v>
      </c>
      <c r="G202">
        <v>28</v>
      </c>
      <c r="H202" s="1">
        <v>45719</v>
      </c>
      <c r="I202" t="s">
        <v>2104</v>
      </c>
    </row>
    <row r="203" spans="1:9" x14ac:dyDescent="0.25">
      <c r="A203" t="s">
        <v>657</v>
      </c>
      <c r="B203" t="s">
        <v>153</v>
      </c>
      <c r="C203" t="s">
        <v>658</v>
      </c>
      <c r="D203" t="s">
        <v>42</v>
      </c>
      <c r="E203" t="s">
        <v>24</v>
      </c>
      <c r="F203">
        <v>8000000</v>
      </c>
      <c r="G203">
        <v>21</v>
      </c>
      <c r="H203" s="1">
        <v>45037</v>
      </c>
      <c r="I203" t="s">
        <v>2104</v>
      </c>
    </row>
    <row r="204" spans="1:9" x14ac:dyDescent="0.25">
      <c r="A204" t="s">
        <v>659</v>
      </c>
      <c r="B204" t="s">
        <v>84</v>
      </c>
      <c r="C204" t="s">
        <v>660</v>
      </c>
      <c r="D204" t="s">
        <v>33</v>
      </c>
      <c r="E204" t="s">
        <v>15</v>
      </c>
      <c r="F204">
        <v>10500000</v>
      </c>
      <c r="G204">
        <v>31</v>
      </c>
      <c r="H204" s="1">
        <v>46006</v>
      </c>
      <c r="I204" t="s">
        <v>2104</v>
      </c>
    </row>
    <row r="205" spans="1:9" x14ac:dyDescent="0.25">
      <c r="A205" t="s">
        <v>661</v>
      </c>
      <c r="B205" t="s">
        <v>102</v>
      </c>
      <c r="C205" t="s">
        <v>662</v>
      </c>
      <c r="D205" t="s">
        <v>18</v>
      </c>
      <c r="E205" t="s">
        <v>38</v>
      </c>
      <c r="F205">
        <v>8000000</v>
      </c>
      <c r="G205">
        <v>8</v>
      </c>
      <c r="H205" s="1">
        <v>44703</v>
      </c>
      <c r="I205" t="s">
        <v>2104</v>
      </c>
    </row>
    <row r="206" spans="1:9" x14ac:dyDescent="0.25">
      <c r="A206" t="s">
        <v>663</v>
      </c>
      <c r="B206" t="s">
        <v>43</v>
      </c>
      <c r="C206" t="s">
        <v>664</v>
      </c>
      <c r="D206" t="s">
        <v>18</v>
      </c>
      <c r="E206" t="s">
        <v>38</v>
      </c>
      <c r="F206">
        <v>6500000</v>
      </c>
      <c r="G206">
        <v>25</v>
      </c>
      <c r="H206" s="1">
        <v>45543</v>
      </c>
      <c r="I206" t="s">
        <v>2104</v>
      </c>
    </row>
    <row r="207" spans="1:9" x14ac:dyDescent="0.25">
      <c r="A207" t="s">
        <v>665</v>
      </c>
      <c r="B207" t="s">
        <v>158</v>
      </c>
      <c r="C207" t="s">
        <v>666</v>
      </c>
      <c r="D207" t="s">
        <v>33</v>
      </c>
      <c r="E207" t="s">
        <v>15</v>
      </c>
      <c r="F207">
        <v>5500000</v>
      </c>
      <c r="G207">
        <v>23</v>
      </c>
      <c r="H207" s="1">
        <v>45632</v>
      </c>
      <c r="I207" t="s">
        <v>2104</v>
      </c>
    </row>
    <row r="208" spans="1:9" x14ac:dyDescent="0.25">
      <c r="A208" t="s">
        <v>667</v>
      </c>
      <c r="B208" t="s">
        <v>31</v>
      </c>
      <c r="C208" t="s">
        <v>668</v>
      </c>
      <c r="D208" t="s">
        <v>33</v>
      </c>
      <c r="E208" t="s">
        <v>34</v>
      </c>
      <c r="F208">
        <v>10500000</v>
      </c>
      <c r="G208">
        <v>1</v>
      </c>
      <c r="H208" s="1">
        <v>44058</v>
      </c>
      <c r="I208" t="s">
        <v>2104</v>
      </c>
    </row>
    <row r="209" spans="1:9" x14ac:dyDescent="0.25">
      <c r="A209" t="s">
        <v>669</v>
      </c>
      <c r="B209" t="s">
        <v>643</v>
      </c>
      <c r="C209" t="s">
        <v>670</v>
      </c>
      <c r="D209" t="s">
        <v>33</v>
      </c>
      <c r="E209" t="s">
        <v>24</v>
      </c>
      <c r="F209">
        <v>10500000</v>
      </c>
      <c r="G209">
        <v>26</v>
      </c>
      <c r="H209" s="1">
        <v>45693</v>
      </c>
      <c r="I209" t="s">
        <v>2104</v>
      </c>
    </row>
    <row r="210" spans="1:9" x14ac:dyDescent="0.25">
      <c r="A210" t="s">
        <v>671</v>
      </c>
      <c r="B210" t="s">
        <v>123</v>
      </c>
      <c r="C210" t="s">
        <v>672</v>
      </c>
      <c r="D210" t="s">
        <v>33</v>
      </c>
      <c r="E210" t="s">
        <v>38</v>
      </c>
      <c r="F210">
        <v>6500000</v>
      </c>
      <c r="G210">
        <v>35</v>
      </c>
      <c r="H210" s="1">
        <v>43984</v>
      </c>
      <c r="I210" t="s">
        <v>2104</v>
      </c>
    </row>
    <row r="211" spans="1:9" x14ac:dyDescent="0.25">
      <c r="A211" t="s">
        <v>673</v>
      </c>
      <c r="B211" t="s">
        <v>60</v>
      </c>
      <c r="C211" t="s">
        <v>674</v>
      </c>
      <c r="D211" t="s">
        <v>18</v>
      </c>
      <c r="E211" t="s">
        <v>24</v>
      </c>
      <c r="F211">
        <v>8000000</v>
      </c>
      <c r="G211">
        <v>22</v>
      </c>
      <c r="H211" s="1">
        <v>45645</v>
      </c>
      <c r="I211" t="s">
        <v>2104</v>
      </c>
    </row>
    <row r="212" spans="1:9" x14ac:dyDescent="0.25">
      <c r="A212" t="s">
        <v>675</v>
      </c>
      <c r="B212" t="s">
        <v>94</v>
      </c>
      <c r="C212" t="s">
        <v>676</v>
      </c>
      <c r="D212" t="s">
        <v>37</v>
      </c>
      <c r="E212" t="s">
        <v>24</v>
      </c>
      <c r="F212">
        <v>6500000</v>
      </c>
      <c r="G212">
        <v>40</v>
      </c>
      <c r="H212" s="1">
        <v>44757</v>
      </c>
      <c r="I212" t="s">
        <v>2104</v>
      </c>
    </row>
    <row r="213" spans="1:9" x14ac:dyDescent="0.25">
      <c r="A213" t="s">
        <v>677</v>
      </c>
      <c r="B213" t="s">
        <v>148</v>
      </c>
      <c r="C213" t="s">
        <v>678</v>
      </c>
      <c r="D213" t="s">
        <v>23</v>
      </c>
      <c r="E213" t="s">
        <v>34</v>
      </c>
      <c r="F213">
        <v>6500000</v>
      </c>
      <c r="G213">
        <v>1</v>
      </c>
      <c r="H213" s="1">
        <v>45004</v>
      </c>
      <c r="I213" t="s">
        <v>2104</v>
      </c>
    </row>
    <row r="214" spans="1:9" x14ac:dyDescent="0.25">
      <c r="A214" t="s">
        <v>679</v>
      </c>
      <c r="B214" t="s">
        <v>115</v>
      </c>
      <c r="C214" t="s">
        <v>680</v>
      </c>
      <c r="D214" t="s">
        <v>23</v>
      </c>
      <c r="E214" t="s">
        <v>38</v>
      </c>
      <c r="F214">
        <v>10500000</v>
      </c>
      <c r="G214">
        <v>3</v>
      </c>
      <c r="H214" s="1">
        <v>45204</v>
      </c>
      <c r="I214" t="s">
        <v>2104</v>
      </c>
    </row>
    <row r="215" spans="1:9" x14ac:dyDescent="0.25">
      <c r="A215" t="s">
        <v>681</v>
      </c>
      <c r="B215" t="s">
        <v>187</v>
      </c>
      <c r="C215" t="s">
        <v>682</v>
      </c>
      <c r="D215" t="s">
        <v>33</v>
      </c>
      <c r="E215" t="s">
        <v>19</v>
      </c>
      <c r="F215">
        <v>8000000</v>
      </c>
      <c r="G215">
        <v>0</v>
      </c>
      <c r="H215" s="1">
        <v>44587</v>
      </c>
      <c r="I215" t="s">
        <v>2104</v>
      </c>
    </row>
    <row r="216" spans="1:9" x14ac:dyDescent="0.25">
      <c r="A216" t="s">
        <v>683</v>
      </c>
      <c r="B216" t="s">
        <v>86</v>
      </c>
      <c r="C216" t="s">
        <v>684</v>
      </c>
      <c r="D216" t="s">
        <v>37</v>
      </c>
      <c r="E216" t="s">
        <v>38</v>
      </c>
      <c r="F216">
        <v>8000000</v>
      </c>
      <c r="G216">
        <v>13</v>
      </c>
      <c r="H216" s="1">
        <v>44745</v>
      </c>
      <c r="I216" t="s">
        <v>2104</v>
      </c>
    </row>
    <row r="217" spans="1:9" x14ac:dyDescent="0.25">
      <c r="A217" t="s">
        <v>687</v>
      </c>
      <c r="B217" t="s">
        <v>348</v>
      </c>
      <c r="C217" t="s">
        <v>688</v>
      </c>
      <c r="D217" t="s">
        <v>18</v>
      </c>
      <c r="E217" t="s">
        <v>15</v>
      </c>
      <c r="F217">
        <v>6500000</v>
      </c>
      <c r="G217">
        <v>5</v>
      </c>
      <c r="H217" s="1">
        <v>44766</v>
      </c>
      <c r="I217" t="s">
        <v>2104</v>
      </c>
    </row>
    <row r="218" spans="1:9" x14ac:dyDescent="0.25">
      <c r="A218" t="s">
        <v>689</v>
      </c>
      <c r="B218" t="s">
        <v>142</v>
      </c>
      <c r="C218" t="s">
        <v>690</v>
      </c>
      <c r="D218" t="s">
        <v>23</v>
      </c>
      <c r="E218" t="s">
        <v>15</v>
      </c>
      <c r="F218">
        <v>6500000</v>
      </c>
      <c r="G218">
        <v>25</v>
      </c>
      <c r="H218" s="1">
        <v>45782</v>
      </c>
      <c r="I218" t="s">
        <v>2104</v>
      </c>
    </row>
    <row r="219" spans="1:9" x14ac:dyDescent="0.25">
      <c r="A219" t="s">
        <v>691</v>
      </c>
      <c r="B219" t="s">
        <v>258</v>
      </c>
      <c r="C219" t="s">
        <v>692</v>
      </c>
      <c r="D219" t="s">
        <v>33</v>
      </c>
      <c r="E219" t="s">
        <v>24</v>
      </c>
      <c r="F219">
        <v>13000000</v>
      </c>
      <c r="G219">
        <v>18</v>
      </c>
      <c r="H219" s="1">
        <v>45083</v>
      </c>
      <c r="I219" t="s">
        <v>2104</v>
      </c>
    </row>
    <row r="220" spans="1:9" x14ac:dyDescent="0.25">
      <c r="A220" t="s">
        <v>693</v>
      </c>
      <c r="B220" t="s">
        <v>26</v>
      </c>
      <c r="C220" t="s">
        <v>694</v>
      </c>
      <c r="D220" t="s">
        <v>18</v>
      </c>
      <c r="E220" t="s">
        <v>24</v>
      </c>
      <c r="F220">
        <v>8000000</v>
      </c>
      <c r="G220">
        <v>25</v>
      </c>
      <c r="H220" s="1">
        <v>45205</v>
      </c>
      <c r="I220" t="s">
        <v>2104</v>
      </c>
    </row>
    <row r="221" spans="1:9" x14ac:dyDescent="0.25">
      <c r="A221" t="s">
        <v>695</v>
      </c>
      <c r="B221" t="s">
        <v>696</v>
      </c>
      <c r="C221" t="s">
        <v>697</v>
      </c>
      <c r="D221" t="s">
        <v>14</v>
      </c>
      <c r="E221" t="s">
        <v>15</v>
      </c>
      <c r="F221">
        <v>10500000</v>
      </c>
      <c r="G221">
        <v>11</v>
      </c>
      <c r="H221" s="1">
        <v>44512</v>
      </c>
      <c r="I221" t="s">
        <v>2104</v>
      </c>
    </row>
    <row r="222" spans="1:9" x14ac:dyDescent="0.25">
      <c r="A222" t="s">
        <v>698</v>
      </c>
      <c r="B222" t="s">
        <v>43</v>
      </c>
      <c r="C222" t="s">
        <v>699</v>
      </c>
      <c r="D222" t="s">
        <v>33</v>
      </c>
      <c r="E222" t="s">
        <v>19</v>
      </c>
      <c r="F222">
        <v>6500000</v>
      </c>
      <c r="G222">
        <v>30</v>
      </c>
      <c r="H222" s="1">
        <v>44959</v>
      </c>
      <c r="I222" t="s">
        <v>2104</v>
      </c>
    </row>
    <row r="223" spans="1:9" x14ac:dyDescent="0.25">
      <c r="A223" t="s">
        <v>700</v>
      </c>
      <c r="B223" t="s">
        <v>696</v>
      </c>
      <c r="C223" t="s">
        <v>701</v>
      </c>
      <c r="D223" t="s">
        <v>23</v>
      </c>
      <c r="E223" t="s">
        <v>15</v>
      </c>
      <c r="F223">
        <v>10500000</v>
      </c>
      <c r="G223">
        <v>32</v>
      </c>
      <c r="H223" s="1">
        <v>45787</v>
      </c>
      <c r="I223" t="s">
        <v>2104</v>
      </c>
    </row>
    <row r="224" spans="1:9" x14ac:dyDescent="0.25">
      <c r="A224" t="s">
        <v>702</v>
      </c>
      <c r="B224" t="s">
        <v>212</v>
      </c>
      <c r="C224" t="s">
        <v>703</v>
      </c>
      <c r="D224" t="s">
        <v>18</v>
      </c>
      <c r="E224" t="s">
        <v>24</v>
      </c>
      <c r="F224">
        <v>13000000</v>
      </c>
      <c r="G224">
        <v>31</v>
      </c>
      <c r="H224" s="1">
        <v>44132</v>
      </c>
      <c r="I224" t="s">
        <v>2104</v>
      </c>
    </row>
    <row r="225" spans="1:9" x14ac:dyDescent="0.25">
      <c r="A225" t="s">
        <v>704</v>
      </c>
      <c r="B225" t="s">
        <v>444</v>
      </c>
      <c r="C225" t="s">
        <v>705</v>
      </c>
      <c r="D225" t="s">
        <v>18</v>
      </c>
      <c r="E225" t="s">
        <v>19</v>
      </c>
      <c r="F225">
        <v>8000000</v>
      </c>
      <c r="G225">
        <v>0</v>
      </c>
      <c r="H225" s="1">
        <v>44520</v>
      </c>
      <c r="I225" t="s">
        <v>2104</v>
      </c>
    </row>
    <row r="226" spans="1:9" x14ac:dyDescent="0.25">
      <c r="A226" t="s">
        <v>706</v>
      </c>
      <c r="B226" t="s">
        <v>217</v>
      </c>
      <c r="C226" t="s">
        <v>707</v>
      </c>
      <c r="D226" t="s">
        <v>33</v>
      </c>
      <c r="E226" t="s">
        <v>24</v>
      </c>
      <c r="F226">
        <v>13000000</v>
      </c>
      <c r="G226">
        <v>24</v>
      </c>
      <c r="H226" s="1">
        <v>45749</v>
      </c>
      <c r="I226" t="s">
        <v>2104</v>
      </c>
    </row>
    <row r="227" spans="1:9" x14ac:dyDescent="0.25">
      <c r="A227" t="s">
        <v>708</v>
      </c>
      <c r="B227" t="s">
        <v>46</v>
      </c>
      <c r="C227" t="s">
        <v>709</v>
      </c>
      <c r="D227" t="s">
        <v>37</v>
      </c>
      <c r="E227" t="s">
        <v>34</v>
      </c>
      <c r="F227">
        <v>6500000</v>
      </c>
      <c r="G227">
        <v>6</v>
      </c>
      <c r="H227" s="1">
        <v>44914</v>
      </c>
      <c r="I227" t="s">
        <v>2104</v>
      </c>
    </row>
    <row r="228" spans="1:9" x14ac:dyDescent="0.25">
      <c r="A228" t="s">
        <v>710</v>
      </c>
      <c r="B228" t="s">
        <v>457</v>
      </c>
      <c r="C228" t="s">
        <v>711</v>
      </c>
      <c r="D228" t="s">
        <v>37</v>
      </c>
      <c r="E228" t="s">
        <v>34</v>
      </c>
      <c r="F228">
        <v>8000000</v>
      </c>
      <c r="G228">
        <v>19</v>
      </c>
      <c r="H228" s="1">
        <v>44966</v>
      </c>
      <c r="I228" t="s">
        <v>2104</v>
      </c>
    </row>
    <row r="229" spans="1:9" x14ac:dyDescent="0.25">
      <c r="A229" t="s">
        <v>712</v>
      </c>
      <c r="B229" t="s">
        <v>507</v>
      </c>
      <c r="C229" t="s">
        <v>713</v>
      </c>
      <c r="D229" t="s">
        <v>42</v>
      </c>
      <c r="E229" t="s">
        <v>19</v>
      </c>
      <c r="F229">
        <v>6500000</v>
      </c>
      <c r="G229">
        <v>16</v>
      </c>
      <c r="H229" s="1">
        <v>44314</v>
      </c>
      <c r="I229" t="s">
        <v>2104</v>
      </c>
    </row>
    <row r="230" spans="1:9" x14ac:dyDescent="0.25">
      <c r="A230" t="s">
        <v>714</v>
      </c>
      <c r="B230" t="s">
        <v>49</v>
      </c>
      <c r="C230" t="s">
        <v>715</v>
      </c>
      <c r="D230" t="s">
        <v>23</v>
      </c>
      <c r="E230" t="s">
        <v>15</v>
      </c>
      <c r="F230">
        <v>13000000</v>
      </c>
      <c r="G230">
        <v>10</v>
      </c>
      <c r="H230" s="1">
        <v>44988</v>
      </c>
      <c r="I230" t="s">
        <v>2104</v>
      </c>
    </row>
    <row r="231" spans="1:9" x14ac:dyDescent="0.25">
      <c r="A231" t="s">
        <v>716</v>
      </c>
      <c r="B231" t="s">
        <v>225</v>
      </c>
      <c r="C231" t="s">
        <v>717</v>
      </c>
      <c r="D231" t="s">
        <v>37</v>
      </c>
      <c r="E231" t="s">
        <v>34</v>
      </c>
      <c r="F231">
        <v>10500000</v>
      </c>
      <c r="G231">
        <v>25</v>
      </c>
      <c r="H231" s="1">
        <v>45798</v>
      </c>
      <c r="I231" t="s">
        <v>2104</v>
      </c>
    </row>
    <row r="232" spans="1:9" x14ac:dyDescent="0.25">
      <c r="A232" t="s">
        <v>718</v>
      </c>
      <c r="B232" t="s">
        <v>719</v>
      </c>
      <c r="C232" t="s">
        <v>720</v>
      </c>
      <c r="D232" t="s">
        <v>37</v>
      </c>
      <c r="E232" t="s">
        <v>24</v>
      </c>
      <c r="F232">
        <v>6500000</v>
      </c>
      <c r="G232">
        <v>40</v>
      </c>
      <c r="H232" s="1">
        <v>45231</v>
      </c>
      <c r="I232" t="s">
        <v>2104</v>
      </c>
    </row>
    <row r="233" spans="1:9" x14ac:dyDescent="0.25">
      <c r="A233" t="s">
        <v>721</v>
      </c>
      <c r="B233" t="s">
        <v>99</v>
      </c>
      <c r="C233" t="s">
        <v>722</v>
      </c>
      <c r="D233" t="s">
        <v>14</v>
      </c>
      <c r="E233" t="s">
        <v>24</v>
      </c>
      <c r="F233">
        <v>6500000</v>
      </c>
      <c r="G233">
        <v>27</v>
      </c>
      <c r="H233" s="1">
        <v>44422</v>
      </c>
      <c r="I233" t="s">
        <v>2104</v>
      </c>
    </row>
    <row r="234" spans="1:9" x14ac:dyDescent="0.25">
      <c r="A234" t="s">
        <v>723</v>
      </c>
      <c r="B234" t="s">
        <v>400</v>
      </c>
      <c r="C234" t="s">
        <v>724</v>
      </c>
      <c r="D234" t="s">
        <v>37</v>
      </c>
      <c r="E234" t="s">
        <v>24</v>
      </c>
      <c r="F234">
        <v>5500000</v>
      </c>
      <c r="G234">
        <v>32</v>
      </c>
      <c r="H234" s="1">
        <v>44112</v>
      </c>
      <c r="I234" t="s">
        <v>2104</v>
      </c>
    </row>
    <row r="235" spans="1:9" x14ac:dyDescent="0.25">
      <c r="A235" t="s">
        <v>725</v>
      </c>
      <c r="B235" t="s">
        <v>60</v>
      </c>
      <c r="C235" t="s">
        <v>726</v>
      </c>
      <c r="D235" t="s">
        <v>37</v>
      </c>
      <c r="E235" t="s">
        <v>24</v>
      </c>
      <c r="F235">
        <v>8000000</v>
      </c>
      <c r="G235">
        <v>32</v>
      </c>
      <c r="H235" s="1">
        <v>44412</v>
      </c>
      <c r="I235" t="s">
        <v>2104</v>
      </c>
    </row>
    <row r="236" spans="1:9" x14ac:dyDescent="0.25">
      <c r="A236" t="s">
        <v>727</v>
      </c>
      <c r="B236" t="s">
        <v>84</v>
      </c>
      <c r="C236" t="s">
        <v>728</v>
      </c>
      <c r="D236" t="s">
        <v>18</v>
      </c>
      <c r="E236" t="s">
        <v>15</v>
      </c>
      <c r="F236">
        <v>5500000</v>
      </c>
      <c r="G236">
        <v>8</v>
      </c>
      <c r="H236" s="1">
        <v>45743</v>
      </c>
      <c r="I236" t="s">
        <v>2104</v>
      </c>
    </row>
    <row r="237" spans="1:9" x14ac:dyDescent="0.25">
      <c r="A237" t="s">
        <v>729</v>
      </c>
      <c r="B237" t="s">
        <v>444</v>
      </c>
      <c r="C237" t="s">
        <v>730</v>
      </c>
      <c r="D237" t="s">
        <v>42</v>
      </c>
      <c r="E237" t="s">
        <v>19</v>
      </c>
      <c r="F237">
        <v>8000000</v>
      </c>
      <c r="G237">
        <v>6</v>
      </c>
      <c r="H237" s="1">
        <v>45749</v>
      </c>
      <c r="I237" t="s">
        <v>2104</v>
      </c>
    </row>
    <row r="238" spans="1:9" x14ac:dyDescent="0.25">
      <c r="A238" t="s">
        <v>731</v>
      </c>
      <c r="B238" t="s">
        <v>630</v>
      </c>
      <c r="C238" t="s">
        <v>732</v>
      </c>
      <c r="D238" t="s">
        <v>23</v>
      </c>
      <c r="E238" t="s">
        <v>24</v>
      </c>
      <c r="F238">
        <v>10500000</v>
      </c>
      <c r="G238">
        <v>40</v>
      </c>
      <c r="H238" s="1">
        <v>44365</v>
      </c>
      <c r="I238" t="s">
        <v>2104</v>
      </c>
    </row>
    <row r="239" spans="1:9" x14ac:dyDescent="0.25">
      <c r="A239" t="s">
        <v>737</v>
      </c>
      <c r="B239" t="s">
        <v>219</v>
      </c>
      <c r="C239" t="s">
        <v>738</v>
      </c>
      <c r="D239" t="s">
        <v>23</v>
      </c>
      <c r="E239" t="s">
        <v>19</v>
      </c>
      <c r="F239">
        <v>13000000</v>
      </c>
      <c r="G239">
        <v>25</v>
      </c>
      <c r="H239" s="1">
        <v>45637</v>
      </c>
      <c r="I239" t="s">
        <v>2104</v>
      </c>
    </row>
    <row r="240" spans="1:9" x14ac:dyDescent="0.25">
      <c r="A240" t="s">
        <v>739</v>
      </c>
      <c r="B240" t="s">
        <v>270</v>
      </c>
      <c r="C240" t="s">
        <v>740</v>
      </c>
      <c r="D240" t="s">
        <v>37</v>
      </c>
      <c r="E240" t="s">
        <v>24</v>
      </c>
      <c r="F240">
        <v>5500000</v>
      </c>
      <c r="G240">
        <v>37</v>
      </c>
      <c r="H240" s="1">
        <v>43994</v>
      </c>
      <c r="I240" t="s">
        <v>2104</v>
      </c>
    </row>
    <row r="241" spans="1:9" x14ac:dyDescent="0.25">
      <c r="A241" t="s">
        <v>741</v>
      </c>
      <c r="B241" t="s">
        <v>439</v>
      </c>
      <c r="C241" t="s">
        <v>742</v>
      </c>
      <c r="D241" t="s">
        <v>14</v>
      </c>
      <c r="E241" t="s">
        <v>19</v>
      </c>
      <c r="F241">
        <v>10500000</v>
      </c>
      <c r="G241">
        <v>28</v>
      </c>
      <c r="H241" s="1">
        <v>44676</v>
      </c>
      <c r="I241" t="s">
        <v>2104</v>
      </c>
    </row>
    <row r="242" spans="1:9" x14ac:dyDescent="0.25">
      <c r="A242" t="s">
        <v>743</v>
      </c>
      <c r="B242" t="s">
        <v>177</v>
      </c>
      <c r="C242" t="s">
        <v>744</v>
      </c>
      <c r="D242" t="s">
        <v>42</v>
      </c>
      <c r="E242" t="s">
        <v>19</v>
      </c>
      <c r="F242">
        <v>6500000</v>
      </c>
      <c r="G242">
        <v>21</v>
      </c>
      <c r="H242" s="1">
        <v>45148</v>
      </c>
      <c r="I242" t="s">
        <v>2104</v>
      </c>
    </row>
    <row r="243" spans="1:9" x14ac:dyDescent="0.25">
      <c r="A243" t="s">
        <v>745</v>
      </c>
      <c r="B243" t="s">
        <v>21</v>
      </c>
      <c r="C243" t="s">
        <v>746</v>
      </c>
      <c r="D243" t="s">
        <v>23</v>
      </c>
      <c r="E243" t="s">
        <v>19</v>
      </c>
      <c r="F243">
        <v>10500000</v>
      </c>
      <c r="G243">
        <v>30</v>
      </c>
      <c r="H243" s="1">
        <v>45965</v>
      </c>
      <c r="I243" t="s">
        <v>2104</v>
      </c>
    </row>
    <row r="244" spans="1:9" x14ac:dyDescent="0.25">
      <c r="A244" t="s">
        <v>747</v>
      </c>
      <c r="B244" t="s">
        <v>123</v>
      </c>
      <c r="C244" t="s">
        <v>748</v>
      </c>
      <c r="D244" t="s">
        <v>23</v>
      </c>
      <c r="E244" t="s">
        <v>15</v>
      </c>
      <c r="F244">
        <v>13000000</v>
      </c>
      <c r="G244">
        <v>3</v>
      </c>
      <c r="H244" s="1">
        <v>44551</v>
      </c>
      <c r="I244" t="s">
        <v>2104</v>
      </c>
    </row>
    <row r="245" spans="1:9" x14ac:dyDescent="0.25">
      <c r="A245" t="s">
        <v>749</v>
      </c>
      <c r="B245" t="s">
        <v>129</v>
      </c>
      <c r="C245" t="s">
        <v>750</v>
      </c>
      <c r="D245" t="s">
        <v>18</v>
      </c>
      <c r="E245" t="s">
        <v>24</v>
      </c>
      <c r="F245">
        <v>6500000</v>
      </c>
      <c r="G245">
        <v>18</v>
      </c>
      <c r="H245" s="1">
        <v>45623</v>
      </c>
      <c r="I245" t="s">
        <v>2104</v>
      </c>
    </row>
    <row r="246" spans="1:9" x14ac:dyDescent="0.25">
      <c r="A246" t="s">
        <v>753</v>
      </c>
      <c r="B246" t="s">
        <v>145</v>
      </c>
      <c r="C246" t="s">
        <v>754</v>
      </c>
      <c r="D246" t="s">
        <v>37</v>
      </c>
      <c r="E246" t="s">
        <v>19</v>
      </c>
      <c r="F246">
        <v>5500000</v>
      </c>
      <c r="G246">
        <v>16</v>
      </c>
      <c r="H246" s="1">
        <v>45709</v>
      </c>
      <c r="I246" t="s">
        <v>2104</v>
      </c>
    </row>
    <row r="247" spans="1:9" x14ac:dyDescent="0.25">
      <c r="A247" t="s">
        <v>755</v>
      </c>
      <c r="B247" t="s">
        <v>234</v>
      </c>
      <c r="C247" t="s">
        <v>756</v>
      </c>
      <c r="D247" t="s">
        <v>33</v>
      </c>
      <c r="E247" t="s">
        <v>19</v>
      </c>
      <c r="F247">
        <v>13000000</v>
      </c>
      <c r="G247">
        <v>27</v>
      </c>
      <c r="H247" s="1">
        <v>44509</v>
      </c>
      <c r="I247" t="s">
        <v>2104</v>
      </c>
    </row>
    <row r="248" spans="1:9" x14ac:dyDescent="0.25">
      <c r="A248" t="s">
        <v>757</v>
      </c>
      <c r="B248" t="s">
        <v>134</v>
      </c>
      <c r="C248" t="s">
        <v>758</v>
      </c>
      <c r="D248" t="s">
        <v>37</v>
      </c>
      <c r="E248" t="s">
        <v>15</v>
      </c>
      <c r="F248">
        <v>6500000</v>
      </c>
      <c r="G248">
        <v>18</v>
      </c>
      <c r="H248" s="1">
        <v>45740</v>
      </c>
      <c r="I248" t="s">
        <v>2104</v>
      </c>
    </row>
    <row r="249" spans="1:9" x14ac:dyDescent="0.25">
      <c r="A249" t="s">
        <v>759</v>
      </c>
      <c r="B249" t="s">
        <v>161</v>
      </c>
      <c r="C249" t="s">
        <v>760</v>
      </c>
      <c r="D249" t="s">
        <v>42</v>
      </c>
      <c r="E249" t="s">
        <v>38</v>
      </c>
      <c r="F249">
        <v>5500000</v>
      </c>
      <c r="G249">
        <v>23</v>
      </c>
      <c r="H249" s="1">
        <v>45757</v>
      </c>
      <c r="I249" t="s">
        <v>2104</v>
      </c>
    </row>
    <row r="250" spans="1:9" x14ac:dyDescent="0.25">
      <c r="A250" t="s">
        <v>761</v>
      </c>
      <c r="B250" t="s">
        <v>121</v>
      </c>
      <c r="C250" t="s">
        <v>762</v>
      </c>
      <c r="D250" t="s">
        <v>23</v>
      </c>
      <c r="E250" t="s">
        <v>24</v>
      </c>
      <c r="F250">
        <v>13000000</v>
      </c>
      <c r="G250">
        <v>17</v>
      </c>
      <c r="H250" s="1">
        <v>43887</v>
      </c>
      <c r="I250" t="s">
        <v>2104</v>
      </c>
    </row>
    <row r="251" spans="1:9" x14ac:dyDescent="0.25">
      <c r="A251" t="s">
        <v>763</v>
      </c>
      <c r="B251" t="s">
        <v>57</v>
      </c>
      <c r="C251" t="s">
        <v>764</v>
      </c>
      <c r="D251" t="s">
        <v>42</v>
      </c>
      <c r="E251" t="s">
        <v>34</v>
      </c>
      <c r="F251">
        <v>5500000</v>
      </c>
      <c r="G251">
        <v>17</v>
      </c>
      <c r="H251" s="1">
        <v>45304</v>
      </c>
      <c r="I251" t="s">
        <v>2104</v>
      </c>
    </row>
    <row r="252" spans="1:9" x14ac:dyDescent="0.25">
      <c r="A252" t="s">
        <v>765</v>
      </c>
      <c r="B252" t="s">
        <v>766</v>
      </c>
      <c r="C252" t="s">
        <v>767</v>
      </c>
      <c r="D252" t="s">
        <v>33</v>
      </c>
      <c r="E252" t="s">
        <v>24</v>
      </c>
      <c r="F252">
        <v>10500000</v>
      </c>
      <c r="G252">
        <v>12</v>
      </c>
      <c r="H252" s="1">
        <v>44501</v>
      </c>
      <c r="I252" t="s">
        <v>2104</v>
      </c>
    </row>
    <row r="253" spans="1:9" x14ac:dyDescent="0.25">
      <c r="A253" t="s">
        <v>768</v>
      </c>
      <c r="B253" t="s">
        <v>92</v>
      </c>
      <c r="C253" t="s">
        <v>769</v>
      </c>
      <c r="D253" t="s">
        <v>14</v>
      </c>
      <c r="E253" t="s">
        <v>24</v>
      </c>
      <c r="F253">
        <v>13000000</v>
      </c>
      <c r="G253">
        <v>3</v>
      </c>
      <c r="H253" s="1">
        <v>45824</v>
      </c>
      <c r="I253" t="s">
        <v>2104</v>
      </c>
    </row>
    <row r="254" spans="1:9" x14ac:dyDescent="0.25">
      <c r="A254" t="s">
        <v>770</v>
      </c>
      <c r="B254" t="s">
        <v>771</v>
      </c>
      <c r="C254" t="s">
        <v>772</v>
      </c>
      <c r="D254" t="s">
        <v>33</v>
      </c>
      <c r="E254" t="s">
        <v>34</v>
      </c>
      <c r="F254">
        <v>8000000</v>
      </c>
      <c r="G254">
        <v>2</v>
      </c>
      <c r="H254" s="1">
        <v>45177</v>
      </c>
      <c r="I254" t="s">
        <v>2104</v>
      </c>
    </row>
    <row r="255" spans="1:9" x14ac:dyDescent="0.25">
      <c r="A255" t="s">
        <v>773</v>
      </c>
      <c r="B255" t="s">
        <v>123</v>
      </c>
      <c r="C255" t="s">
        <v>774</v>
      </c>
      <c r="D255" t="s">
        <v>33</v>
      </c>
      <c r="E255" t="s">
        <v>15</v>
      </c>
      <c r="F255">
        <v>5500000</v>
      </c>
      <c r="G255">
        <v>6</v>
      </c>
      <c r="H255" s="1">
        <v>44424</v>
      </c>
      <c r="I255" t="s">
        <v>2104</v>
      </c>
    </row>
    <row r="256" spans="1:9" x14ac:dyDescent="0.25">
      <c r="A256" t="s">
        <v>775</v>
      </c>
      <c r="B256" t="s">
        <v>643</v>
      </c>
      <c r="C256" t="s">
        <v>776</v>
      </c>
      <c r="D256" t="s">
        <v>14</v>
      </c>
      <c r="E256" t="s">
        <v>24</v>
      </c>
      <c r="F256">
        <v>5500000</v>
      </c>
      <c r="G256">
        <v>30</v>
      </c>
      <c r="H256" s="1">
        <v>45903</v>
      </c>
      <c r="I256" t="s">
        <v>2104</v>
      </c>
    </row>
    <row r="257" spans="1:9" x14ac:dyDescent="0.25">
      <c r="A257" t="s">
        <v>777</v>
      </c>
      <c r="B257" t="s">
        <v>225</v>
      </c>
      <c r="C257" t="s">
        <v>778</v>
      </c>
      <c r="D257" t="s">
        <v>33</v>
      </c>
      <c r="E257" t="s">
        <v>19</v>
      </c>
      <c r="F257">
        <v>8000000</v>
      </c>
      <c r="G257">
        <v>21</v>
      </c>
      <c r="H257" s="1">
        <v>44878</v>
      </c>
      <c r="I257" t="s">
        <v>2104</v>
      </c>
    </row>
    <row r="258" spans="1:9" x14ac:dyDescent="0.25">
      <c r="A258" t="s">
        <v>779</v>
      </c>
      <c r="B258" t="s">
        <v>264</v>
      </c>
      <c r="C258" t="s">
        <v>780</v>
      </c>
      <c r="D258" t="s">
        <v>14</v>
      </c>
      <c r="E258" t="s">
        <v>24</v>
      </c>
      <c r="F258">
        <v>8000000</v>
      </c>
      <c r="G258">
        <v>26</v>
      </c>
      <c r="H258" s="1">
        <v>44220</v>
      </c>
      <c r="I258" t="s">
        <v>2104</v>
      </c>
    </row>
    <row r="259" spans="1:9" x14ac:dyDescent="0.25">
      <c r="A259" t="s">
        <v>781</v>
      </c>
      <c r="B259" t="s">
        <v>68</v>
      </c>
      <c r="C259" t="s">
        <v>782</v>
      </c>
      <c r="D259" t="s">
        <v>42</v>
      </c>
      <c r="E259" t="s">
        <v>34</v>
      </c>
      <c r="F259">
        <v>13000000</v>
      </c>
      <c r="G259">
        <v>19</v>
      </c>
      <c r="H259" s="1">
        <v>44725</v>
      </c>
      <c r="I259" t="s">
        <v>2104</v>
      </c>
    </row>
    <row r="260" spans="1:9" x14ac:dyDescent="0.25">
      <c r="A260" t="s">
        <v>783</v>
      </c>
      <c r="B260" t="s">
        <v>86</v>
      </c>
      <c r="C260" t="s">
        <v>784</v>
      </c>
      <c r="D260" t="s">
        <v>14</v>
      </c>
      <c r="E260" t="s">
        <v>34</v>
      </c>
      <c r="F260">
        <v>6500000</v>
      </c>
      <c r="G260">
        <v>5</v>
      </c>
      <c r="H260" s="1">
        <v>44922</v>
      </c>
      <c r="I260" t="s">
        <v>2104</v>
      </c>
    </row>
    <row r="261" spans="1:9" x14ac:dyDescent="0.25">
      <c r="A261" t="s">
        <v>785</v>
      </c>
      <c r="B261" t="s">
        <v>786</v>
      </c>
      <c r="C261" t="s">
        <v>787</v>
      </c>
      <c r="D261" t="s">
        <v>37</v>
      </c>
      <c r="E261" t="s">
        <v>19</v>
      </c>
      <c r="F261">
        <v>8000000</v>
      </c>
      <c r="G261">
        <v>33</v>
      </c>
      <c r="H261" s="1">
        <v>44190</v>
      </c>
      <c r="I261" t="s">
        <v>2104</v>
      </c>
    </row>
    <row r="262" spans="1:9" x14ac:dyDescent="0.25">
      <c r="A262" t="s">
        <v>788</v>
      </c>
      <c r="B262" t="s">
        <v>786</v>
      </c>
      <c r="C262" t="s">
        <v>789</v>
      </c>
      <c r="D262" t="s">
        <v>18</v>
      </c>
      <c r="E262" t="s">
        <v>15</v>
      </c>
      <c r="F262">
        <v>10500000</v>
      </c>
      <c r="G262">
        <v>17</v>
      </c>
      <c r="H262" s="1">
        <v>44714</v>
      </c>
      <c r="I262" t="s">
        <v>2104</v>
      </c>
    </row>
    <row r="263" spans="1:9" x14ac:dyDescent="0.25">
      <c r="A263" t="s">
        <v>790</v>
      </c>
      <c r="B263" t="s">
        <v>258</v>
      </c>
      <c r="C263" t="s">
        <v>791</v>
      </c>
      <c r="D263" t="s">
        <v>23</v>
      </c>
      <c r="E263" t="s">
        <v>34</v>
      </c>
      <c r="F263">
        <v>5500000</v>
      </c>
      <c r="G263">
        <v>18</v>
      </c>
      <c r="H263" s="1">
        <v>45730</v>
      </c>
      <c r="I263" t="s">
        <v>2104</v>
      </c>
    </row>
    <row r="264" spans="1:9" x14ac:dyDescent="0.25">
      <c r="A264" t="s">
        <v>792</v>
      </c>
      <c r="B264" t="s">
        <v>234</v>
      </c>
      <c r="C264" t="s">
        <v>793</v>
      </c>
      <c r="D264" t="s">
        <v>33</v>
      </c>
      <c r="E264" t="s">
        <v>38</v>
      </c>
      <c r="F264">
        <v>6500000</v>
      </c>
      <c r="G264">
        <v>24</v>
      </c>
      <c r="H264" s="1">
        <v>44005</v>
      </c>
      <c r="I264" t="s">
        <v>2104</v>
      </c>
    </row>
    <row r="265" spans="1:9" x14ac:dyDescent="0.25">
      <c r="A265" t="s">
        <v>794</v>
      </c>
      <c r="B265" t="s">
        <v>270</v>
      </c>
      <c r="C265" t="s">
        <v>795</v>
      </c>
      <c r="D265" t="s">
        <v>18</v>
      </c>
      <c r="E265" t="s">
        <v>24</v>
      </c>
      <c r="F265">
        <v>5500000</v>
      </c>
      <c r="G265">
        <v>21</v>
      </c>
      <c r="H265" s="1">
        <v>45858</v>
      </c>
      <c r="I265" t="s">
        <v>2104</v>
      </c>
    </row>
    <row r="266" spans="1:9" x14ac:dyDescent="0.25">
      <c r="A266" t="s">
        <v>796</v>
      </c>
      <c r="B266" t="s">
        <v>316</v>
      </c>
      <c r="C266" t="s">
        <v>797</v>
      </c>
      <c r="D266" t="s">
        <v>37</v>
      </c>
      <c r="E266" t="s">
        <v>24</v>
      </c>
      <c r="F266">
        <v>6500000</v>
      </c>
      <c r="G266">
        <v>15</v>
      </c>
      <c r="H266" s="1">
        <v>45877</v>
      </c>
      <c r="I266" t="s">
        <v>2104</v>
      </c>
    </row>
    <row r="267" spans="1:9" x14ac:dyDescent="0.25">
      <c r="A267" t="s">
        <v>798</v>
      </c>
      <c r="B267" t="s">
        <v>196</v>
      </c>
      <c r="C267" t="s">
        <v>799</v>
      </c>
      <c r="D267" t="s">
        <v>42</v>
      </c>
      <c r="E267" t="s">
        <v>38</v>
      </c>
      <c r="F267">
        <v>5500000</v>
      </c>
      <c r="G267">
        <v>22</v>
      </c>
      <c r="H267" s="1">
        <v>45407</v>
      </c>
      <c r="I267" t="s">
        <v>2104</v>
      </c>
    </row>
    <row r="268" spans="1:9" x14ac:dyDescent="0.25">
      <c r="A268" t="s">
        <v>800</v>
      </c>
      <c r="B268" t="s">
        <v>166</v>
      </c>
      <c r="C268" t="s">
        <v>801</v>
      </c>
      <c r="D268" t="s">
        <v>18</v>
      </c>
      <c r="E268" t="s">
        <v>38</v>
      </c>
      <c r="F268">
        <v>13000000</v>
      </c>
      <c r="G268">
        <v>16</v>
      </c>
      <c r="H268" s="1">
        <v>44265</v>
      </c>
      <c r="I268" t="s">
        <v>2104</v>
      </c>
    </row>
    <row r="269" spans="1:9" x14ac:dyDescent="0.25">
      <c r="A269" t="s">
        <v>802</v>
      </c>
      <c r="B269" t="s">
        <v>719</v>
      </c>
      <c r="C269" t="s">
        <v>803</v>
      </c>
      <c r="D269" t="s">
        <v>42</v>
      </c>
      <c r="E269" t="s">
        <v>38</v>
      </c>
      <c r="F269">
        <v>6500000</v>
      </c>
      <c r="G269">
        <v>16</v>
      </c>
      <c r="H269" s="1">
        <v>44259</v>
      </c>
      <c r="I269" t="s">
        <v>2104</v>
      </c>
    </row>
    <row r="270" spans="1:9" x14ac:dyDescent="0.25">
      <c r="A270" t="s">
        <v>804</v>
      </c>
      <c r="B270" t="s">
        <v>805</v>
      </c>
      <c r="C270" t="s">
        <v>806</v>
      </c>
      <c r="D270" t="s">
        <v>37</v>
      </c>
      <c r="E270" t="s">
        <v>24</v>
      </c>
      <c r="F270">
        <v>10500000</v>
      </c>
      <c r="G270">
        <v>1</v>
      </c>
      <c r="H270" s="1">
        <v>45391</v>
      </c>
      <c r="I270" t="s">
        <v>2104</v>
      </c>
    </row>
    <row r="271" spans="1:9" x14ac:dyDescent="0.25">
      <c r="A271" t="s">
        <v>809</v>
      </c>
      <c r="B271" t="s">
        <v>158</v>
      </c>
      <c r="C271" t="s">
        <v>810</v>
      </c>
      <c r="D271" t="s">
        <v>18</v>
      </c>
      <c r="E271" t="s">
        <v>34</v>
      </c>
      <c r="F271">
        <v>10500000</v>
      </c>
      <c r="G271">
        <v>13</v>
      </c>
      <c r="H271" s="1">
        <v>44030</v>
      </c>
      <c r="I271" t="s">
        <v>2104</v>
      </c>
    </row>
    <row r="272" spans="1:9" x14ac:dyDescent="0.25">
      <c r="A272" t="s">
        <v>815</v>
      </c>
      <c r="B272" t="s">
        <v>208</v>
      </c>
      <c r="C272" t="s">
        <v>816</v>
      </c>
      <c r="D272" t="s">
        <v>14</v>
      </c>
      <c r="E272" t="s">
        <v>15</v>
      </c>
      <c r="F272">
        <v>10500000</v>
      </c>
      <c r="G272">
        <v>13</v>
      </c>
      <c r="H272" s="1">
        <v>45131</v>
      </c>
      <c r="I272" t="s">
        <v>2104</v>
      </c>
    </row>
    <row r="273" spans="1:9" x14ac:dyDescent="0.25">
      <c r="A273" t="s">
        <v>819</v>
      </c>
      <c r="B273" t="s">
        <v>54</v>
      </c>
      <c r="C273" t="s">
        <v>820</v>
      </c>
      <c r="D273" t="s">
        <v>42</v>
      </c>
      <c r="E273" t="s">
        <v>19</v>
      </c>
      <c r="F273">
        <v>8000000</v>
      </c>
      <c r="G273">
        <v>3</v>
      </c>
      <c r="H273" s="1">
        <v>44687</v>
      </c>
      <c r="I273" t="s">
        <v>2104</v>
      </c>
    </row>
    <row r="274" spans="1:9" x14ac:dyDescent="0.25">
      <c r="A274" t="s">
        <v>821</v>
      </c>
      <c r="B274" t="s">
        <v>492</v>
      </c>
      <c r="C274" t="s">
        <v>822</v>
      </c>
      <c r="D274" t="s">
        <v>14</v>
      </c>
      <c r="E274" t="s">
        <v>34</v>
      </c>
      <c r="F274">
        <v>8000000</v>
      </c>
      <c r="G274">
        <v>14</v>
      </c>
      <c r="H274" s="1">
        <v>45905</v>
      </c>
      <c r="I274" t="s">
        <v>2104</v>
      </c>
    </row>
    <row r="275" spans="1:9" x14ac:dyDescent="0.25">
      <c r="A275" t="s">
        <v>823</v>
      </c>
      <c r="B275" t="s">
        <v>127</v>
      </c>
      <c r="C275" t="s">
        <v>824</v>
      </c>
      <c r="D275" t="s">
        <v>33</v>
      </c>
      <c r="E275" t="s">
        <v>38</v>
      </c>
      <c r="F275">
        <v>10500000</v>
      </c>
      <c r="G275">
        <v>11</v>
      </c>
      <c r="H275" s="1">
        <v>43989</v>
      </c>
      <c r="I275" t="s">
        <v>2104</v>
      </c>
    </row>
    <row r="276" spans="1:9" x14ac:dyDescent="0.25">
      <c r="A276" t="s">
        <v>825</v>
      </c>
      <c r="B276" t="s">
        <v>94</v>
      </c>
      <c r="C276" t="s">
        <v>826</v>
      </c>
      <c r="D276" t="s">
        <v>33</v>
      </c>
      <c r="E276" t="s">
        <v>34</v>
      </c>
      <c r="F276">
        <v>6500000</v>
      </c>
      <c r="G276">
        <v>8</v>
      </c>
      <c r="H276" s="1">
        <v>45637</v>
      </c>
      <c r="I276" t="s">
        <v>2104</v>
      </c>
    </row>
    <row r="277" spans="1:9" x14ac:dyDescent="0.25">
      <c r="A277" t="s">
        <v>827</v>
      </c>
      <c r="B277" t="s">
        <v>145</v>
      </c>
      <c r="C277" t="s">
        <v>828</v>
      </c>
      <c r="D277" t="s">
        <v>14</v>
      </c>
      <c r="E277" t="s">
        <v>15</v>
      </c>
      <c r="F277">
        <v>6500000</v>
      </c>
      <c r="G277">
        <v>11</v>
      </c>
      <c r="H277" s="1">
        <v>44713</v>
      </c>
      <c r="I277" t="s">
        <v>2104</v>
      </c>
    </row>
    <row r="278" spans="1:9" x14ac:dyDescent="0.25">
      <c r="A278" t="s">
        <v>829</v>
      </c>
      <c r="B278" t="s">
        <v>127</v>
      </c>
      <c r="C278" t="s">
        <v>830</v>
      </c>
      <c r="D278" t="s">
        <v>23</v>
      </c>
      <c r="E278" t="s">
        <v>24</v>
      </c>
      <c r="F278">
        <v>13000000</v>
      </c>
      <c r="G278">
        <v>13</v>
      </c>
      <c r="H278" s="1">
        <v>45891</v>
      </c>
      <c r="I278" t="s">
        <v>2104</v>
      </c>
    </row>
    <row r="279" spans="1:9" x14ac:dyDescent="0.25">
      <c r="A279" t="s">
        <v>831</v>
      </c>
      <c r="B279" t="s">
        <v>16</v>
      </c>
      <c r="C279" t="s">
        <v>832</v>
      </c>
      <c r="D279" t="s">
        <v>14</v>
      </c>
      <c r="E279" t="s">
        <v>15</v>
      </c>
      <c r="F279">
        <v>8000000</v>
      </c>
      <c r="G279">
        <v>24</v>
      </c>
      <c r="H279" s="1">
        <v>44824</v>
      </c>
      <c r="I279" t="s">
        <v>2104</v>
      </c>
    </row>
    <row r="280" spans="1:9" x14ac:dyDescent="0.25">
      <c r="A280" t="s">
        <v>833</v>
      </c>
      <c r="B280" t="s">
        <v>203</v>
      </c>
      <c r="C280" t="s">
        <v>834</v>
      </c>
      <c r="D280" t="s">
        <v>18</v>
      </c>
      <c r="E280" t="s">
        <v>24</v>
      </c>
      <c r="F280">
        <v>13000000</v>
      </c>
      <c r="G280">
        <v>30</v>
      </c>
      <c r="H280" s="1">
        <v>45561</v>
      </c>
      <c r="I280" t="s">
        <v>2104</v>
      </c>
    </row>
    <row r="281" spans="1:9" x14ac:dyDescent="0.25">
      <c r="A281" t="s">
        <v>835</v>
      </c>
      <c r="B281" t="s">
        <v>836</v>
      </c>
      <c r="C281" t="s">
        <v>837</v>
      </c>
      <c r="D281" t="s">
        <v>42</v>
      </c>
      <c r="E281" t="s">
        <v>24</v>
      </c>
      <c r="F281">
        <v>10500000</v>
      </c>
      <c r="G281">
        <v>33</v>
      </c>
      <c r="H281" s="1">
        <v>43841</v>
      </c>
      <c r="I281" t="s">
        <v>2104</v>
      </c>
    </row>
    <row r="282" spans="1:9" x14ac:dyDescent="0.25">
      <c r="A282" t="s">
        <v>838</v>
      </c>
      <c r="B282" t="s">
        <v>839</v>
      </c>
      <c r="C282" t="s">
        <v>840</v>
      </c>
      <c r="D282" t="s">
        <v>18</v>
      </c>
      <c r="E282" t="s">
        <v>19</v>
      </c>
      <c r="F282">
        <v>6500000</v>
      </c>
      <c r="G282">
        <v>0</v>
      </c>
      <c r="H282" s="1">
        <v>45740</v>
      </c>
      <c r="I282" t="s">
        <v>2104</v>
      </c>
    </row>
    <row r="283" spans="1:9" x14ac:dyDescent="0.25">
      <c r="A283" t="s">
        <v>841</v>
      </c>
      <c r="B283" t="s">
        <v>63</v>
      </c>
      <c r="C283" t="s">
        <v>842</v>
      </c>
      <c r="D283" t="s">
        <v>18</v>
      </c>
      <c r="E283" t="s">
        <v>24</v>
      </c>
      <c r="F283">
        <v>13000000</v>
      </c>
      <c r="G283">
        <v>9</v>
      </c>
      <c r="H283" s="1">
        <v>45652</v>
      </c>
      <c r="I283" t="s">
        <v>2104</v>
      </c>
    </row>
    <row r="284" spans="1:9" x14ac:dyDescent="0.25">
      <c r="A284" t="s">
        <v>845</v>
      </c>
      <c r="B284" t="s">
        <v>340</v>
      </c>
      <c r="C284" t="s">
        <v>846</v>
      </c>
      <c r="D284" t="s">
        <v>14</v>
      </c>
      <c r="E284" t="s">
        <v>15</v>
      </c>
      <c r="F284">
        <v>8000000</v>
      </c>
      <c r="G284">
        <v>16</v>
      </c>
      <c r="H284" s="1">
        <v>45124</v>
      </c>
      <c r="I284" t="s">
        <v>2104</v>
      </c>
    </row>
    <row r="285" spans="1:9" x14ac:dyDescent="0.25">
      <c r="A285" t="s">
        <v>847</v>
      </c>
      <c r="B285" t="s">
        <v>839</v>
      </c>
      <c r="C285" t="s">
        <v>848</v>
      </c>
      <c r="D285" t="s">
        <v>18</v>
      </c>
      <c r="E285" t="s">
        <v>24</v>
      </c>
      <c r="F285">
        <v>10500000</v>
      </c>
      <c r="G285">
        <v>3</v>
      </c>
      <c r="H285" s="1">
        <v>45275</v>
      </c>
      <c r="I285" t="s">
        <v>2104</v>
      </c>
    </row>
    <row r="286" spans="1:9" x14ac:dyDescent="0.25">
      <c r="A286" t="s">
        <v>849</v>
      </c>
      <c r="B286" t="s">
        <v>299</v>
      </c>
      <c r="C286" t="s">
        <v>850</v>
      </c>
      <c r="D286" t="s">
        <v>42</v>
      </c>
      <c r="E286" t="s">
        <v>24</v>
      </c>
      <c r="F286">
        <v>10500000</v>
      </c>
      <c r="G286">
        <v>27</v>
      </c>
      <c r="H286" s="1">
        <v>44789</v>
      </c>
      <c r="I286" t="s">
        <v>2104</v>
      </c>
    </row>
    <row r="287" spans="1:9" x14ac:dyDescent="0.25">
      <c r="A287" t="s">
        <v>851</v>
      </c>
      <c r="B287" t="s">
        <v>158</v>
      </c>
      <c r="C287" t="s">
        <v>852</v>
      </c>
      <c r="D287" t="s">
        <v>23</v>
      </c>
      <c r="E287" t="s">
        <v>15</v>
      </c>
      <c r="F287">
        <v>13000000</v>
      </c>
      <c r="G287">
        <v>19</v>
      </c>
      <c r="H287" s="1">
        <v>45952</v>
      </c>
      <c r="I287" t="s">
        <v>2104</v>
      </c>
    </row>
    <row r="288" spans="1:9" x14ac:dyDescent="0.25">
      <c r="A288" t="s">
        <v>853</v>
      </c>
      <c r="B288" t="s">
        <v>28</v>
      </c>
      <c r="C288" t="s">
        <v>854</v>
      </c>
      <c r="D288" t="s">
        <v>33</v>
      </c>
      <c r="E288" t="s">
        <v>34</v>
      </c>
      <c r="F288">
        <v>5500000</v>
      </c>
      <c r="G288">
        <v>34</v>
      </c>
      <c r="H288" s="1">
        <v>43952</v>
      </c>
      <c r="I288" t="s">
        <v>2104</v>
      </c>
    </row>
    <row r="289" spans="1:9" x14ac:dyDescent="0.25">
      <c r="A289" t="s">
        <v>855</v>
      </c>
      <c r="B289" t="s">
        <v>258</v>
      </c>
      <c r="C289" t="s">
        <v>856</v>
      </c>
      <c r="D289" t="s">
        <v>37</v>
      </c>
      <c r="E289" t="s">
        <v>24</v>
      </c>
      <c r="F289">
        <v>6500000</v>
      </c>
      <c r="G289">
        <v>30</v>
      </c>
      <c r="H289" s="1">
        <v>43999</v>
      </c>
      <c r="I289" t="s">
        <v>2104</v>
      </c>
    </row>
    <row r="290" spans="1:9" x14ac:dyDescent="0.25">
      <c r="A290" t="s">
        <v>857</v>
      </c>
      <c r="B290" t="s">
        <v>54</v>
      </c>
      <c r="C290" t="s">
        <v>858</v>
      </c>
      <c r="D290" t="s">
        <v>14</v>
      </c>
      <c r="E290" t="s">
        <v>19</v>
      </c>
      <c r="F290">
        <v>10500000</v>
      </c>
      <c r="G290">
        <v>15</v>
      </c>
      <c r="H290" s="1">
        <v>45449</v>
      </c>
      <c r="I290" t="s">
        <v>2104</v>
      </c>
    </row>
    <row r="291" spans="1:9" x14ac:dyDescent="0.25">
      <c r="A291" t="s">
        <v>861</v>
      </c>
      <c r="B291" t="s">
        <v>212</v>
      </c>
      <c r="C291" t="s">
        <v>862</v>
      </c>
      <c r="D291" t="s">
        <v>33</v>
      </c>
      <c r="E291" t="s">
        <v>34</v>
      </c>
      <c r="F291">
        <v>10500000</v>
      </c>
      <c r="G291">
        <v>13</v>
      </c>
      <c r="H291" s="1">
        <v>44580</v>
      </c>
      <c r="I291" t="s">
        <v>2104</v>
      </c>
    </row>
    <row r="292" spans="1:9" x14ac:dyDescent="0.25">
      <c r="A292" t="s">
        <v>863</v>
      </c>
      <c r="B292" t="s">
        <v>212</v>
      </c>
      <c r="C292" t="s">
        <v>864</v>
      </c>
      <c r="D292" t="s">
        <v>23</v>
      </c>
      <c r="E292" t="s">
        <v>24</v>
      </c>
      <c r="F292">
        <v>10500000</v>
      </c>
      <c r="G292">
        <v>7</v>
      </c>
      <c r="H292" s="1">
        <v>45932</v>
      </c>
      <c r="I292" t="s">
        <v>2104</v>
      </c>
    </row>
    <row r="293" spans="1:9" x14ac:dyDescent="0.25">
      <c r="A293" t="s">
        <v>865</v>
      </c>
      <c r="B293" t="s">
        <v>308</v>
      </c>
      <c r="C293" t="s">
        <v>866</v>
      </c>
      <c r="D293" t="s">
        <v>18</v>
      </c>
      <c r="E293" t="s">
        <v>34</v>
      </c>
      <c r="F293">
        <v>10500000</v>
      </c>
      <c r="G293">
        <v>8</v>
      </c>
      <c r="H293" s="1">
        <v>44464</v>
      </c>
      <c r="I293" t="s">
        <v>2104</v>
      </c>
    </row>
    <row r="294" spans="1:9" x14ac:dyDescent="0.25">
      <c r="A294" t="s">
        <v>867</v>
      </c>
      <c r="B294" t="s">
        <v>129</v>
      </c>
      <c r="C294" t="s">
        <v>868</v>
      </c>
      <c r="D294" t="s">
        <v>37</v>
      </c>
      <c r="E294" t="s">
        <v>38</v>
      </c>
      <c r="F294">
        <v>6500000</v>
      </c>
      <c r="G294">
        <v>23</v>
      </c>
      <c r="H294" s="1">
        <v>44547</v>
      </c>
      <c r="I294" t="s">
        <v>2104</v>
      </c>
    </row>
    <row r="295" spans="1:9" x14ac:dyDescent="0.25">
      <c r="A295" t="s">
        <v>869</v>
      </c>
      <c r="B295" t="s">
        <v>870</v>
      </c>
      <c r="C295" t="s">
        <v>871</v>
      </c>
      <c r="D295" t="s">
        <v>23</v>
      </c>
      <c r="E295" t="s">
        <v>34</v>
      </c>
      <c r="F295">
        <v>5500000</v>
      </c>
      <c r="G295">
        <v>38</v>
      </c>
      <c r="H295" s="1">
        <v>44571</v>
      </c>
      <c r="I295" t="s">
        <v>2104</v>
      </c>
    </row>
    <row r="296" spans="1:9" x14ac:dyDescent="0.25">
      <c r="A296" t="s">
        <v>872</v>
      </c>
      <c r="B296" t="s">
        <v>229</v>
      </c>
      <c r="C296" t="s">
        <v>873</v>
      </c>
      <c r="D296" t="s">
        <v>37</v>
      </c>
      <c r="E296" t="s">
        <v>24</v>
      </c>
      <c r="F296">
        <v>10500000</v>
      </c>
      <c r="G296">
        <v>11</v>
      </c>
      <c r="H296" s="1">
        <v>44231</v>
      </c>
      <c r="I296" t="s">
        <v>2104</v>
      </c>
    </row>
    <row r="297" spans="1:9" x14ac:dyDescent="0.25">
      <c r="A297" t="s">
        <v>876</v>
      </c>
      <c r="B297" t="s">
        <v>877</v>
      </c>
      <c r="C297" t="s">
        <v>878</v>
      </c>
      <c r="D297" t="s">
        <v>37</v>
      </c>
      <c r="E297" t="s">
        <v>34</v>
      </c>
      <c r="F297">
        <v>6500000</v>
      </c>
      <c r="G297">
        <v>16</v>
      </c>
      <c r="H297" s="1">
        <v>44860</v>
      </c>
      <c r="I297" t="s">
        <v>2104</v>
      </c>
    </row>
    <row r="298" spans="1:9" x14ac:dyDescent="0.25">
      <c r="A298" t="s">
        <v>879</v>
      </c>
      <c r="B298" t="s">
        <v>267</v>
      </c>
      <c r="C298" t="s">
        <v>880</v>
      </c>
      <c r="D298" t="s">
        <v>42</v>
      </c>
      <c r="E298" t="s">
        <v>24</v>
      </c>
      <c r="F298">
        <v>5500000</v>
      </c>
      <c r="G298">
        <v>40</v>
      </c>
      <c r="H298" s="1">
        <v>44953</v>
      </c>
      <c r="I298" t="s">
        <v>2104</v>
      </c>
    </row>
    <row r="299" spans="1:9" x14ac:dyDescent="0.25">
      <c r="A299" t="s">
        <v>881</v>
      </c>
      <c r="B299" t="s">
        <v>439</v>
      </c>
      <c r="C299" t="s">
        <v>882</v>
      </c>
      <c r="D299" t="s">
        <v>33</v>
      </c>
      <c r="E299" t="s">
        <v>15</v>
      </c>
      <c r="F299">
        <v>6500000</v>
      </c>
      <c r="G299">
        <v>25</v>
      </c>
      <c r="H299" s="1">
        <v>44395</v>
      </c>
      <c r="I299" t="s">
        <v>2104</v>
      </c>
    </row>
    <row r="300" spans="1:9" x14ac:dyDescent="0.25">
      <c r="A300" t="s">
        <v>883</v>
      </c>
      <c r="B300" t="s">
        <v>206</v>
      </c>
      <c r="C300" t="s">
        <v>884</v>
      </c>
      <c r="D300" t="s">
        <v>33</v>
      </c>
      <c r="E300" t="s">
        <v>19</v>
      </c>
      <c r="F300">
        <v>6500000</v>
      </c>
      <c r="G300">
        <v>26</v>
      </c>
      <c r="H300" s="1">
        <v>44382</v>
      </c>
      <c r="I300" t="s">
        <v>2104</v>
      </c>
    </row>
    <row r="301" spans="1:9" x14ac:dyDescent="0.25">
      <c r="A301" t="s">
        <v>885</v>
      </c>
      <c r="B301" t="s">
        <v>158</v>
      </c>
      <c r="C301" t="s">
        <v>886</v>
      </c>
      <c r="D301" t="s">
        <v>33</v>
      </c>
      <c r="E301" t="s">
        <v>15</v>
      </c>
      <c r="F301">
        <v>8000000</v>
      </c>
      <c r="G301">
        <v>3</v>
      </c>
      <c r="H301" s="1">
        <v>44457</v>
      </c>
      <c r="I301" t="s">
        <v>2104</v>
      </c>
    </row>
    <row r="302" spans="1:9" x14ac:dyDescent="0.25">
      <c r="A302" t="s">
        <v>887</v>
      </c>
      <c r="B302" t="s">
        <v>66</v>
      </c>
      <c r="C302" t="s">
        <v>888</v>
      </c>
      <c r="D302" t="s">
        <v>14</v>
      </c>
      <c r="E302" t="s">
        <v>24</v>
      </c>
      <c r="F302">
        <v>5500000</v>
      </c>
      <c r="G302">
        <v>26</v>
      </c>
      <c r="H302" s="1">
        <v>44344</v>
      </c>
      <c r="I302" t="s">
        <v>2104</v>
      </c>
    </row>
    <row r="303" spans="1:9" x14ac:dyDescent="0.25">
      <c r="A303" t="s">
        <v>889</v>
      </c>
      <c r="B303" t="s">
        <v>68</v>
      </c>
      <c r="C303" t="s">
        <v>890</v>
      </c>
      <c r="D303" t="s">
        <v>42</v>
      </c>
      <c r="E303" t="s">
        <v>24</v>
      </c>
      <c r="F303">
        <v>6500000</v>
      </c>
      <c r="G303">
        <v>33</v>
      </c>
      <c r="H303" s="1">
        <v>45400</v>
      </c>
      <c r="I303" t="s">
        <v>2104</v>
      </c>
    </row>
    <row r="304" spans="1:9" x14ac:dyDescent="0.25">
      <c r="A304" t="s">
        <v>895</v>
      </c>
      <c r="B304" t="s">
        <v>229</v>
      </c>
      <c r="C304" t="s">
        <v>896</v>
      </c>
      <c r="D304" t="s">
        <v>37</v>
      </c>
      <c r="E304" t="s">
        <v>34</v>
      </c>
      <c r="F304">
        <v>5500000</v>
      </c>
      <c r="G304">
        <v>25</v>
      </c>
      <c r="H304" s="1">
        <v>43850</v>
      </c>
      <c r="I304" t="s">
        <v>2104</v>
      </c>
    </row>
    <row r="305" spans="1:9" x14ac:dyDescent="0.25">
      <c r="A305" t="s">
        <v>897</v>
      </c>
      <c r="B305" t="s">
        <v>483</v>
      </c>
      <c r="C305" t="s">
        <v>898</v>
      </c>
      <c r="D305" t="s">
        <v>37</v>
      </c>
      <c r="E305" t="s">
        <v>15</v>
      </c>
      <c r="F305">
        <v>8000000</v>
      </c>
      <c r="G305">
        <v>33</v>
      </c>
      <c r="H305" s="1">
        <v>44240</v>
      </c>
      <c r="I305" t="s">
        <v>2104</v>
      </c>
    </row>
    <row r="306" spans="1:9" x14ac:dyDescent="0.25">
      <c r="A306" t="s">
        <v>899</v>
      </c>
      <c r="B306" t="s">
        <v>351</v>
      </c>
      <c r="C306" t="s">
        <v>900</v>
      </c>
      <c r="D306" t="s">
        <v>23</v>
      </c>
      <c r="E306" t="s">
        <v>38</v>
      </c>
      <c r="F306">
        <v>8000000</v>
      </c>
      <c r="G306">
        <v>27</v>
      </c>
      <c r="H306" s="1">
        <v>45240</v>
      </c>
      <c r="I306" t="s">
        <v>2104</v>
      </c>
    </row>
    <row r="307" spans="1:9" x14ac:dyDescent="0.25">
      <c r="A307" t="s">
        <v>901</v>
      </c>
      <c r="B307" t="s">
        <v>118</v>
      </c>
      <c r="C307" t="s">
        <v>902</v>
      </c>
      <c r="D307" t="s">
        <v>33</v>
      </c>
      <c r="E307" t="s">
        <v>24</v>
      </c>
      <c r="F307">
        <v>6500000</v>
      </c>
      <c r="G307">
        <v>17</v>
      </c>
      <c r="H307" s="1">
        <v>45874</v>
      </c>
      <c r="I307" t="s">
        <v>2104</v>
      </c>
    </row>
    <row r="308" spans="1:9" x14ac:dyDescent="0.25">
      <c r="A308" t="s">
        <v>903</v>
      </c>
      <c r="B308" t="s">
        <v>877</v>
      </c>
      <c r="C308" t="s">
        <v>904</v>
      </c>
      <c r="D308" t="s">
        <v>42</v>
      </c>
      <c r="E308" t="s">
        <v>19</v>
      </c>
      <c r="F308">
        <v>10500000</v>
      </c>
      <c r="G308">
        <v>3</v>
      </c>
      <c r="H308" s="1">
        <v>45316</v>
      </c>
      <c r="I308" t="s">
        <v>2104</v>
      </c>
    </row>
    <row r="309" spans="1:9" x14ac:dyDescent="0.25">
      <c r="A309" t="s">
        <v>905</v>
      </c>
      <c r="B309" t="s">
        <v>153</v>
      </c>
      <c r="C309" t="s">
        <v>906</v>
      </c>
      <c r="D309" t="s">
        <v>42</v>
      </c>
      <c r="E309" t="s">
        <v>19</v>
      </c>
      <c r="F309">
        <v>13000000</v>
      </c>
      <c r="G309">
        <v>2</v>
      </c>
      <c r="H309" s="1">
        <v>43862</v>
      </c>
      <c r="I309" t="s">
        <v>2104</v>
      </c>
    </row>
    <row r="310" spans="1:9" x14ac:dyDescent="0.25">
      <c r="A310" t="s">
        <v>907</v>
      </c>
      <c r="B310" t="s">
        <v>311</v>
      </c>
      <c r="C310" t="s">
        <v>908</v>
      </c>
      <c r="D310" t="s">
        <v>33</v>
      </c>
      <c r="E310" t="s">
        <v>15</v>
      </c>
      <c r="F310">
        <v>5500000</v>
      </c>
      <c r="G310">
        <v>16</v>
      </c>
      <c r="H310" s="1">
        <v>44450</v>
      </c>
      <c r="I310" t="s">
        <v>2104</v>
      </c>
    </row>
    <row r="311" spans="1:9" x14ac:dyDescent="0.25">
      <c r="A311" t="s">
        <v>909</v>
      </c>
      <c r="B311" t="s">
        <v>123</v>
      </c>
      <c r="C311" t="s">
        <v>910</v>
      </c>
      <c r="D311" t="s">
        <v>18</v>
      </c>
      <c r="E311" t="s">
        <v>24</v>
      </c>
      <c r="F311">
        <v>10500000</v>
      </c>
      <c r="G311">
        <v>31</v>
      </c>
      <c r="H311" s="1">
        <v>45018</v>
      </c>
      <c r="I311" t="s">
        <v>2104</v>
      </c>
    </row>
    <row r="312" spans="1:9" x14ac:dyDescent="0.25">
      <c r="A312" t="s">
        <v>911</v>
      </c>
      <c r="B312" t="s">
        <v>281</v>
      </c>
      <c r="C312" t="s">
        <v>912</v>
      </c>
      <c r="D312" t="s">
        <v>23</v>
      </c>
      <c r="E312" t="s">
        <v>19</v>
      </c>
      <c r="F312">
        <v>8000000</v>
      </c>
      <c r="G312">
        <v>13</v>
      </c>
      <c r="H312" s="1">
        <v>44887</v>
      </c>
      <c r="I312" t="s">
        <v>2104</v>
      </c>
    </row>
    <row r="313" spans="1:9" x14ac:dyDescent="0.25">
      <c r="A313" t="s">
        <v>913</v>
      </c>
      <c r="B313" t="s">
        <v>522</v>
      </c>
      <c r="C313" t="s">
        <v>914</v>
      </c>
      <c r="D313" t="s">
        <v>14</v>
      </c>
      <c r="E313" t="s">
        <v>34</v>
      </c>
      <c r="F313">
        <v>6500000</v>
      </c>
      <c r="G313">
        <v>7</v>
      </c>
      <c r="H313" s="1">
        <v>45147</v>
      </c>
      <c r="I313" t="s">
        <v>2104</v>
      </c>
    </row>
    <row r="314" spans="1:9" x14ac:dyDescent="0.25">
      <c r="A314" t="s">
        <v>915</v>
      </c>
      <c r="B314" t="s">
        <v>221</v>
      </c>
      <c r="C314" t="s">
        <v>916</v>
      </c>
      <c r="D314" t="s">
        <v>18</v>
      </c>
      <c r="E314" t="s">
        <v>24</v>
      </c>
      <c r="F314">
        <v>6500000</v>
      </c>
      <c r="G314">
        <v>26</v>
      </c>
      <c r="H314" s="1">
        <v>44247</v>
      </c>
      <c r="I314" t="s">
        <v>2104</v>
      </c>
    </row>
    <row r="315" spans="1:9" x14ac:dyDescent="0.25">
      <c r="A315" t="s">
        <v>917</v>
      </c>
      <c r="B315" t="s">
        <v>86</v>
      </c>
      <c r="C315" t="s">
        <v>918</v>
      </c>
      <c r="D315" t="s">
        <v>42</v>
      </c>
      <c r="E315" t="s">
        <v>15</v>
      </c>
      <c r="F315">
        <v>10500000</v>
      </c>
      <c r="G315">
        <v>7</v>
      </c>
      <c r="H315" s="1">
        <v>44175</v>
      </c>
      <c r="I315" t="s">
        <v>2104</v>
      </c>
    </row>
    <row r="316" spans="1:9" x14ac:dyDescent="0.25">
      <c r="A316" t="s">
        <v>919</v>
      </c>
      <c r="B316" t="s">
        <v>223</v>
      </c>
      <c r="C316" t="s">
        <v>920</v>
      </c>
      <c r="D316" t="s">
        <v>23</v>
      </c>
      <c r="E316" t="s">
        <v>38</v>
      </c>
      <c r="F316">
        <v>10500000</v>
      </c>
      <c r="G316">
        <v>31</v>
      </c>
      <c r="H316" s="1">
        <v>43902</v>
      </c>
      <c r="I316" t="s">
        <v>2104</v>
      </c>
    </row>
    <row r="317" spans="1:9" x14ac:dyDescent="0.25">
      <c r="A317" t="s">
        <v>921</v>
      </c>
      <c r="B317" t="s">
        <v>177</v>
      </c>
      <c r="C317" t="s">
        <v>922</v>
      </c>
      <c r="D317" t="s">
        <v>18</v>
      </c>
      <c r="E317" t="s">
        <v>15</v>
      </c>
      <c r="F317">
        <v>13000000</v>
      </c>
      <c r="G317">
        <v>30</v>
      </c>
      <c r="H317" s="1">
        <v>45457</v>
      </c>
      <c r="I317" t="s">
        <v>2104</v>
      </c>
    </row>
    <row r="318" spans="1:9" x14ac:dyDescent="0.25">
      <c r="A318" t="s">
        <v>923</v>
      </c>
      <c r="B318" t="s">
        <v>60</v>
      </c>
      <c r="C318" t="s">
        <v>924</v>
      </c>
      <c r="D318" t="s">
        <v>23</v>
      </c>
      <c r="E318" t="s">
        <v>19</v>
      </c>
      <c r="F318">
        <v>5500000</v>
      </c>
      <c r="G318">
        <v>0</v>
      </c>
      <c r="H318" s="1">
        <v>45125</v>
      </c>
      <c r="I318" t="s">
        <v>2104</v>
      </c>
    </row>
    <row r="319" spans="1:9" x14ac:dyDescent="0.25">
      <c r="A319" t="s">
        <v>929</v>
      </c>
      <c r="B319" t="s">
        <v>16</v>
      </c>
      <c r="C319" t="s">
        <v>930</v>
      </c>
      <c r="D319" t="s">
        <v>14</v>
      </c>
      <c r="E319" t="s">
        <v>34</v>
      </c>
      <c r="F319">
        <v>5500000</v>
      </c>
      <c r="G319">
        <v>18</v>
      </c>
      <c r="H319" s="1">
        <v>45345</v>
      </c>
      <c r="I319" t="s">
        <v>2104</v>
      </c>
    </row>
    <row r="320" spans="1:9" x14ac:dyDescent="0.25">
      <c r="A320" t="s">
        <v>931</v>
      </c>
      <c r="B320" t="s">
        <v>196</v>
      </c>
      <c r="C320" t="s">
        <v>932</v>
      </c>
      <c r="D320" t="s">
        <v>42</v>
      </c>
      <c r="E320" t="s">
        <v>19</v>
      </c>
      <c r="F320">
        <v>10500000</v>
      </c>
      <c r="G320">
        <v>3</v>
      </c>
      <c r="H320" s="1">
        <v>45615</v>
      </c>
      <c r="I320" t="s">
        <v>2104</v>
      </c>
    </row>
    <row r="321" spans="1:9" x14ac:dyDescent="0.25">
      <c r="A321" t="s">
        <v>933</v>
      </c>
      <c r="B321" t="s">
        <v>28</v>
      </c>
      <c r="C321" t="s">
        <v>934</v>
      </c>
      <c r="D321" t="s">
        <v>33</v>
      </c>
      <c r="E321" t="s">
        <v>38</v>
      </c>
      <c r="F321">
        <v>13000000</v>
      </c>
      <c r="G321">
        <v>27</v>
      </c>
      <c r="H321" s="1">
        <v>44472</v>
      </c>
      <c r="I321" t="s">
        <v>2104</v>
      </c>
    </row>
    <row r="322" spans="1:9" x14ac:dyDescent="0.25">
      <c r="A322" t="s">
        <v>935</v>
      </c>
      <c r="B322" t="s">
        <v>49</v>
      </c>
      <c r="C322" t="s">
        <v>936</v>
      </c>
      <c r="D322" t="s">
        <v>33</v>
      </c>
      <c r="E322" t="s">
        <v>19</v>
      </c>
      <c r="F322">
        <v>5500000</v>
      </c>
      <c r="G322">
        <v>33</v>
      </c>
      <c r="H322" s="1">
        <v>44612</v>
      </c>
      <c r="I322" t="s">
        <v>2104</v>
      </c>
    </row>
    <row r="323" spans="1:9" x14ac:dyDescent="0.25">
      <c r="A323" t="s">
        <v>937</v>
      </c>
      <c r="B323" t="s">
        <v>457</v>
      </c>
      <c r="C323" t="s">
        <v>938</v>
      </c>
      <c r="D323" t="s">
        <v>23</v>
      </c>
      <c r="E323" t="s">
        <v>24</v>
      </c>
      <c r="F323">
        <v>13000000</v>
      </c>
      <c r="G323">
        <v>3</v>
      </c>
      <c r="H323" s="1">
        <v>45627</v>
      </c>
      <c r="I323" t="s">
        <v>2104</v>
      </c>
    </row>
    <row r="324" spans="1:9" x14ac:dyDescent="0.25">
      <c r="A324" t="s">
        <v>939</v>
      </c>
      <c r="B324" t="s">
        <v>940</v>
      </c>
      <c r="C324" t="s">
        <v>941</v>
      </c>
      <c r="D324" t="s">
        <v>37</v>
      </c>
      <c r="E324" t="s">
        <v>24</v>
      </c>
      <c r="F324">
        <v>10500000</v>
      </c>
      <c r="G324">
        <v>8</v>
      </c>
      <c r="H324" s="1">
        <v>44621</v>
      </c>
      <c r="I324" t="s">
        <v>2104</v>
      </c>
    </row>
    <row r="325" spans="1:9" x14ac:dyDescent="0.25">
      <c r="A325" t="s">
        <v>944</v>
      </c>
      <c r="B325" t="s">
        <v>121</v>
      </c>
      <c r="C325" t="s">
        <v>945</v>
      </c>
      <c r="D325" t="s">
        <v>23</v>
      </c>
      <c r="E325" t="s">
        <v>38</v>
      </c>
      <c r="F325">
        <v>8000000</v>
      </c>
      <c r="G325">
        <v>19</v>
      </c>
      <c r="H325" s="1">
        <v>44931</v>
      </c>
      <c r="I325" t="s">
        <v>2104</v>
      </c>
    </row>
    <row r="326" spans="1:9" x14ac:dyDescent="0.25">
      <c r="A326" t="s">
        <v>946</v>
      </c>
      <c r="B326" t="s">
        <v>299</v>
      </c>
      <c r="C326" t="s">
        <v>947</v>
      </c>
      <c r="D326" t="s">
        <v>18</v>
      </c>
      <c r="E326" t="s">
        <v>34</v>
      </c>
      <c r="F326">
        <v>13000000</v>
      </c>
      <c r="G326">
        <v>26</v>
      </c>
      <c r="H326" s="1">
        <v>45273</v>
      </c>
      <c r="I326" t="s">
        <v>2104</v>
      </c>
    </row>
    <row r="327" spans="1:9" x14ac:dyDescent="0.25">
      <c r="A327" t="s">
        <v>948</v>
      </c>
      <c r="B327" t="s">
        <v>115</v>
      </c>
      <c r="C327" t="s">
        <v>949</v>
      </c>
      <c r="D327" t="s">
        <v>37</v>
      </c>
      <c r="E327" t="s">
        <v>15</v>
      </c>
      <c r="F327">
        <v>10500000</v>
      </c>
      <c r="G327">
        <v>35</v>
      </c>
      <c r="H327" s="1">
        <v>44625</v>
      </c>
      <c r="I327" t="s">
        <v>2104</v>
      </c>
    </row>
    <row r="328" spans="1:9" x14ac:dyDescent="0.25">
      <c r="A328" t="s">
        <v>950</v>
      </c>
      <c r="B328" t="s">
        <v>129</v>
      </c>
      <c r="C328" t="s">
        <v>951</v>
      </c>
      <c r="D328" t="s">
        <v>23</v>
      </c>
      <c r="E328" t="s">
        <v>19</v>
      </c>
      <c r="F328">
        <v>10500000</v>
      </c>
      <c r="G328">
        <v>24</v>
      </c>
      <c r="H328" s="1">
        <v>44471</v>
      </c>
      <c r="I328" t="s">
        <v>2104</v>
      </c>
    </row>
    <row r="329" spans="1:9" x14ac:dyDescent="0.25">
      <c r="A329" t="s">
        <v>952</v>
      </c>
      <c r="B329" t="s">
        <v>522</v>
      </c>
      <c r="C329" t="s">
        <v>953</v>
      </c>
      <c r="D329" t="s">
        <v>14</v>
      </c>
      <c r="E329" t="s">
        <v>24</v>
      </c>
      <c r="F329">
        <v>6500000</v>
      </c>
      <c r="G329">
        <v>19</v>
      </c>
      <c r="H329" s="1">
        <v>45958</v>
      </c>
      <c r="I329" t="s">
        <v>2104</v>
      </c>
    </row>
    <row r="330" spans="1:9" x14ac:dyDescent="0.25">
      <c r="A330" t="s">
        <v>954</v>
      </c>
      <c r="B330" t="s">
        <v>369</v>
      </c>
      <c r="C330" t="s">
        <v>955</v>
      </c>
      <c r="D330" t="s">
        <v>42</v>
      </c>
      <c r="E330" t="s">
        <v>34</v>
      </c>
      <c r="F330">
        <v>8000000</v>
      </c>
      <c r="G330">
        <v>26</v>
      </c>
      <c r="H330" s="1">
        <v>45553</v>
      </c>
      <c r="I330" t="s">
        <v>2104</v>
      </c>
    </row>
    <row r="331" spans="1:9" x14ac:dyDescent="0.25">
      <c r="A331" t="s">
        <v>956</v>
      </c>
      <c r="B331" t="s">
        <v>267</v>
      </c>
      <c r="C331" t="s">
        <v>957</v>
      </c>
      <c r="D331" t="s">
        <v>23</v>
      </c>
      <c r="E331" t="s">
        <v>19</v>
      </c>
      <c r="F331">
        <v>10500000</v>
      </c>
      <c r="G331">
        <v>23</v>
      </c>
      <c r="H331" s="1">
        <v>45820</v>
      </c>
      <c r="I331" t="s">
        <v>2104</v>
      </c>
    </row>
    <row r="332" spans="1:9" x14ac:dyDescent="0.25">
      <c r="A332" t="s">
        <v>960</v>
      </c>
      <c r="B332" t="s">
        <v>142</v>
      </c>
      <c r="C332" t="s">
        <v>961</v>
      </c>
      <c r="D332" t="s">
        <v>42</v>
      </c>
      <c r="E332" t="s">
        <v>15</v>
      </c>
      <c r="F332">
        <v>5500000</v>
      </c>
      <c r="G332">
        <v>26</v>
      </c>
      <c r="H332" s="1">
        <v>44052</v>
      </c>
      <c r="I332" t="s">
        <v>2104</v>
      </c>
    </row>
    <row r="333" spans="1:9" x14ac:dyDescent="0.25">
      <c r="A333" t="s">
        <v>962</v>
      </c>
      <c r="B333" t="s">
        <v>492</v>
      </c>
      <c r="C333" t="s">
        <v>963</v>
      </c>
      <c r="D333" t="s">
        <v>37</v>
      </c>
      <c r="E333" t="s">
        <v>24</v>
      </c>
      <c r="F333">
        <v>6500000</v>
      </c>
      <c r="G333">
        <v>13</v>
      </c>
      <c r="H333" s="1">
        <v>43867</v>
      </c>
      <c r="I333" t="s">
        <v>2104</v>
      </c>
    </row>
    <row r="334" spans="1:9" x14ac:dyDescent="0.25">
      <c r="A334" t="s">
        <v>964</v>
      </c>
      <c r="B334" t="s">
        <v>203</v>
      </c>
      <c r="C334" t="s">
        <v>965</v>
      </c>
      <c r="D334" t="s">
        <v>18</v>
      </c>
      <c r="E334" t="s">
        <v>15</v>
      </c>
      <c r="F334">
        <v>8000000</v>
      </c>
      <c r="G334">
        <v>37</v>
      </c>
      <c r="H334" s="1">
        <v>45115</v>
      </c>
      <c r="I334" t="s">
        <v>2104</v>
      </c>
    </row>
    <row r="335" spans="1:9" x14ac:dyDescent="0.25">
      <c r="A335" t="s">
        <v>966</v>
      </c>
      <c r="B335" t="s">
        <v>84</v>
      </c>
      <c r="C335" t="s">
        <v>967</v>
      </c>
      <c r="D335" t="s">
        <v>33</v>
      </c>
      <c r="E335" t="s">
        <v>34</v>
      </c>
      <c r="F335">
        <v>13000000</v>
      </c>
      <c r="G335">
        <v>13</v>
      </c>
      <c r="H335" s="1">
        <v>44214</v>
      </c>
      <c r="I335" t="s">
        <v>2104</v>
      </c>
    </row>
    <row r="336" spans="1:9" x14ac:dyDescent="0.25">
      <c r="A336" t="s">
        <v>968</v>
      </c>
      <c r="B336" t="s">
        <v>145</v>
      </c>
      <c r="C336" t="s">
        <v>969</v>
      </c>
      <c r="D336" t="s">
        <v>42</v>
      </c>
      <c r="E336" t="s">
        <v>19</v>
      </c>
      <c r="F336">
        <v>6500000</v>
      </c>
      <c r="G336">
        <v>29</v>
      </c>
      <c r="H336" s="1">
        <v>45524</v>
      </c>
      <c r="I336" t="s">
        <v>2104</v>
      </c>
    </row>
    <row r="337" spans="1:9" x14ac:dyDescent="0.25">
      <c r="A337" t="s">
        <v>972</v>
      </c>
      <c r="B337" t="s">
        <v>28</v>
      </c>
      <c r="C337" t="s">
        <v>973</v>
      </c>
      <c r="D337" t="s">
        <v>23</v>
      </c>
      <c r="E337" t="s">
        <v>38</v>
      </c>
      <c r="F337">
        <v>5500000</v>
      </c>
      <c r="G337">
        <v>40</v>
      </c>
      <c r="H337" s="1">
        <v>45992</v>
      </c>
      <c r="I337" t="s">
        <v>2104</v>
      </c>
    </row>
    <row r="338" spans="1:9" x14ac:dyDescent="0.25">
      <c r="A338" t="s">
        <v>976</v>
      </c>
      <c r="B338" t="s">
        <v>193</v>
      </c>
      <c r="C338" t="s">
        <v>977</v>
      </c>
      <c r="D338" t="s">
        <v>37</v>
      </c>
      <c r="E338" t="s">
        <v>34</v>
      </c>
      <c r="F338">
        <v>8000000</v>
      </c>
      <c r="G338">
        <v>32</v>
      </c>
      <c r="H338" s="1">
        <v>45446</v>
      </c>
      <c r="I338" t="s">
        <v>2104</v>
      </c>
    </row>
    <row r="339" spans="1:9" x14ac:dyDescent="0.25">
      <c r="A339" t="s">
        <v>978</v>
      </c>
      <c r="B339" t="s">
        <v>26</v>
      </c>
      <c r="C339" t="s">
        <v>979</v>
      </c>
      <c r="D339" t="s">
        <v>14</v>
      </c>
      <c r="E339" t="s">
        <v>19</v>
      </c>
      <c r="F339">
        <v>13000000</v>
      </c>
      <c r="G339">
        <v>13</v>
      </c>
      <c r="H339" s="1">
        <v>45012</v>
      </c>
      <c r="I339" t="s">
        <v>2104</v>
      </c>
    </row>
    <row r="340" spans="1:9" x14ac:dyDescent="0.25">
      <c r="A340" t="s">
        <v>980</v>
      </c>
      <c r="B340" t="s">
        <v>836</v>
      </c>
      <c r="C340" t="s">
        <v>981</v>
      </c>
      <c r="D340" t="s">
        <v>37</v>
      </c>
      <c r="E340" t="s">
        <v>24</v>
      </c>
      <c r="F340">
        <v>6500000</v>
      </c>
      <c r="G340">
        <v>9</v>
      </c>
      <c r="H340" s="1">
        <v>44147</v>
      </c>
      <c r="I340" t="s">
        <v>2104</v>
      </c>
    </row>
    <row r="341" spans="1:9" x14ac:dyDescent="0.25">
      <c r="A341" t="s">
        <v>984</v>
      </c>
      <c r="B341" t="s">
        <v>102</v>
      </c>
      <c r="C341" t="s">
        <v>985</v>
      </c>
      <c r="D341" t="s">
        <v>18</v>
      </c>
      <c r="E341" t="s">
        <v>15</v>
      </c>
      <c r="F341">
        <v>8000000</v>
      </c>
      <c r="G341">
        <v>1</v>
      </c>
      <c r="H341" s="1">
        <v>44716</v>
      </c>
      <c r="I341" t="s">
        <v>2104</v>
      </c>
    </row>
    <row r="342" spans="1:9" x14ac:dyDescent="0.25">
      <c r="A342" t="s">
        <v>986</v>
      </c>
      <c r="B342" t="s">
        <v>57</v>
      </c>
      <c r="C342" t="s">
        <v>987</v>
      </c>
      <c r="D342" t="s">
        <v>14</v>
      </c>
      <c r="E342" t="s">
        <v>24</v>
      </c>
      <c r="F342">
        <v>8000000</v>
      </c>
      <c r="G342">
        <v>40</v>
      </c>
      <c r="H342" s="1">
        <v>44887</v>
      </c>
      <c r="I342" t="s">
        <v>2104</v>
      </c>
    </row>
    <row r="343" spans="1:9" x14ac:dyDescent="0.25">
      <c r="A343" t="s">
        <v>988</v>
      </c>
      <c r="B343" t="s">
        <v>35</v>
      </c>
      <c r="C343" t="s">
        <v>989</v>
      </c>
      <c r="D343" t="s">
        <v>37</v>
      </c>
      <c r="E343" t="s">
        <v>19</v>
      </c>
      <c r="F343">
        <v>5500000</v>
      </c>
      <c r="G343">
        <v>23</v>
      </c>
      <c r="H343" s="1">
        <v>44670</v>
      </c>
      <c r="I343" t="s">
        <v>2104</v>
      </c>
    </row>
    <row r="344" spans="1:9" x14ac:dyDescent="0.25">
      <c r="A344" t="s">
        <v>990</v>
      </c>
      <c r="B344" t="s">
        <v>223</v>
      </c>
      <c r="C344" t="s">
        <v>991</v>
      </c>
      <c r="D344" t="s">
        <v>42</v>
      </c>
      <c r="E344" t="s">
        <v>38</v>
      </c>
      <c r="F344">
        <v>13000000</v>
      </c>
      <c r="G344">
        <v>24</v>
      </c>
      <c r="H344" s="1">
        <v>44682</v>
      </c>
      <c r="I344" t="s">
        <v>2104</v>
      </c>
    </row>
    <row r="345" spans="1:9" x14ac:dyDescent="0.25">
      <c r="A345" t="s">
        <v>992</v>
      </c>
      <c r="B345" t="s">
        <v>78</v>
      </c>
      <c r="C345" t="s">
        <v>993</v>
      </c>
      <c r="D345" t="s">
        <v>37</v>
      </c>
      <c r="E345" t="s">
        <v>34</v>
      </c>
      <c r="F345">
        <v>13000000</v>
      </c>
      <c r="G345">
        <v>17</v>
      </c>
      <c r="H345" s="1">
        <v>44603</v>
      </c>
      <c r="I345" t="s">
        <v>2104</v>
      </c>
    </row>
    <row r="346" spans="1:9" x14ac:dyDescent="0.25">
      <c r="A346" t="s">
        <v>994</v>
      </c>
      <c r="B346" t="s">
        <v>174</v>
      </c>
      <c r="C346" t="s">
        <v>995</v>
      </c>
      <c r="D346" t="s">
        <v>42</v>
      </c>
      <c r="E346" t="s">
        <v>19</v>
      </c>
      <c r="F346">
        <v>13000000</v>
      </c>
      <c r="G346">
        <v>20</v>
      </c>
      <c r="H346" s="1">
        <v>45904</v>
      </c>
      <c r="I346" t="s">
        <v>2104</v>
      </c>
    </row>
    <row r="347" spans="1:9" x14ac:dyDescent="0.25">
      <c r="A347" t="s">
        <v>996</v>
      </c>
      <c r="B347" t="s">
        <v>86</v>
      </c>
      <c r="C347" t="s">
        <v>997</v>
      </c>
      <c r="D347" t="s">
        <v>42</v>
      </c>
      <c r="E347" t="s">
        <v>38</v>
      </c>
      <c r="F347">
        <v>6500000</v>
      </c>
      <c r="G347">
        <v>31</v>
      </c>
      <c r="H347" s="1">
        <v>45952</v>
      </c>
      <c r="I347" t="s">
        <v>2104</v>
      </c>
    </row>
    <row r="348" spans="1:9" x14ac:dyDescent="0.25">
      <c r="A348" t="s">
        <v>998</v>
      </c>
      <c r="B348" t="s">
        <v>108</v>
      </c>
      <c r="C348" t="s">
        <v>999</v>
      </c>
      <c r="D348" t="s">
        <v>33</v>
      </c>
      <c r="E348" t="s">
        <v>15</v>
      </c>
      <c r="F348">
        <v>8000000</v>
      </c>
      <c r="G348">
        <v>12</v>
      </c>
      <c r="H348" s="1">
        <v>45623</v>
      </c>
      <c r="I348" t="s">
        <v>2104</v>
      </c>
    </row>
    <row r="349" spans="1:9" x14ac:dyDescent="0.25">
      <c r="A349" t="s">
        <v>1002</v>
      </c>
      <c r="B349" t="s">
        <v>86</v>
      </c>
      <c r="C349" t="s">
        <v>1003</v>
      </c>
      <c r="D349" t="s">
        <v>37</v>
      </c>
      <c r="E349" t="s">
        <v>38</v>
      </c>
      <c r="F349">
        <v>10500000</v>
      </c>
      <c r="G349">
        <v>25</v>
      </c>
      <c r="H349" s="1">
        <v>44070</v>
      </c>
      <c r="I349" t="s">
        <v>2104</v>
      </c>
    </row>
    <row r="350" spans="1:9" x14ac:dyDescent="0.25">
      <c r="A350" t="s">
        <v>1004</v>
      </c>
      <c r="B350" t="s">
        <v>92</v>
      </c>
      <c r="C350" t="s">
        <v>1005</v>
      </c>
      <c r="D350" t="s">
        <v>33</v>
      </c>
      <c r="E350" t="s">
        <v>15</v>
      </c>
      <c r="F350">
        <v>13000000</v>
      </c>
      <c r="G350">
        <v>12</v>
      </c>
      <c r="H350" s="1">
        <v>45854</v>
      </c>
      <c r="I350" t="s">
        <v>2104</v>
      </c>
    </row>
    <row r="351" spans="1:9" x14ac:dyDescent="0.25">
      <c r="A351" t="s">
        <v>1006</v>
      </c>
      <c r="B351" t="s">
        <v>26</v>
      </c>
      <c r="C351" t="s">
        <v>1007</v>
      </c>
      <c r="D351" t="s">
        <v>18</v>
      </c>
      <c r="E351" t="s">
        <v>15</v>
      </c>
      <c r="F351">
        <v>10500000</v>
      </c>
      <c r="G351">
        <v>29</v>
      </c>
      <c r="H351" s="1">
        <v>44612</v>
      </c>
      <c r="I351" t="s">
        <v>2104</v>
      </c>
    </row>
    <row r="352" spans="1:9" x14ac:dyDescent="0.25">
      <c r="A352" t="s">
        <v>1010</v>
      </c>
      <c r="B352" t="s">
        <v>208</v>
      </c>
      <c r="C352" t="s">
        <v>1011</v>
      </c>
      <c r="D352" t="s">
        <v>23</v>
      </c>
      <c r="E352" t="s">
        <v>15</v>
      </c>
      <c r="F352">
        <v>13000000</v>
      </c>
      <c r="G352">
        <v>2</v>
      </c>
      <c r="H352" s="1">
        <v>44433</v>
      </c>
      <c r="I352" t="s">
        <v>2104</v>
      </c>
    </row>
    <row r="353" spans="1:9" x14ac:dyDescent="0.25">
      <c r="A353" t="s">
        <v>1012</v>
      </c>
      <c r="B353" t="s">
        <v>40</v>
      </c>
      <c r="C353" t="s">
        <v>1013</v>
      </c>
      <c r="D353" t="s">
        <v>37</v>
      </c>
      <c r="E353" t="s">
        <v>34</v>
      </c>
      <c r="F353">
        <v>5500000</v>
      </c>
      <c r="G353">
        <v>24</v>
      </c>
      <c r="H353" s="1">
        <v>44369</v>
      </c>
      <c r="I353" t="s">
        <v>2104</v>
      </c>
    </row>
    <row r="354" spans="1:9" x14ac:dyDescent="0.25">
      <c r="A354" t="s">
        <v>1014</v>
      </c>
      <c r="B354" t="s">
        <v>49</v>
      </c>
      <c r="C354" t="s">
        <v>1015</v>
      </c>
      <c r="D354" t="s">
        <v>14</v>
      </c>
      <c r="E354" t="s">
        <v>15</v>
      </c>
      <c r="F354">
        <v>6500000</v>
      </c>
      <c r="G354">
        <v>16</v>
      </c>
      <c r="H354" s="1">
        <v>44801</v>
      </c>
      <c r="I354" t="s">
        <v>2104</v>
      </c>
    </row>
    <row r="355" spans="1:9" x14ac:dyDescent="0.25">
      <c r="A355" t="s">
        <v>1016</v>
      </c>
      <c r="B355" t="s">
        <v>171</v>
      </c>
      <c r="C355" t="s">
        <v>1017</v>
      </c>
      <c r="D355" t="s">
        <v>23</v>
      </c>
      <c r="E355" t="s">
        <v>38</v>
      </c>
      <c r="F355">
        <v>13000000</v>
      </c>
      <c r="G355">
        <v>32</v>
      </c>
      <c r="H355" s="1">
        <v>44999</v>
      </c>
      <c r="I355" t="s">
        <v>2104</v>
      </c>
    </row>
    <row r="356" spans="1:9" x14ac:dyDescent="0.25">
      <c r="A356" t="s">
        <v>1018</v>
      </c>
      <c r="B356" t="s">
        <v>115</v>
      </c>
      <c r="C356" t="s">
        <v>1019</v>
      </c>
      <c r="D356" t="s">
        <v>14</v>
      </c>
      <c r="E356" t="s">
        <v>34</v>
      </c>
      <c r="F356">
        <v>13000000</v>
      </c>
      <c r="G356">
        <v>38</v>
      </c>
      <c r="H356" s="1">
        <v>45433</v>
      </c>
      <c r="I356" t="s">
        <v>2104</v>
      </c>
    </row>
    <row r="357" spans="1:9" x14ac:dyDescent="0.25">
      <c r="A357" t="s">
        <v>1022</v>
      </c>
      <c r="B357" t="s">
        <v>212</v>
      </c>
      <c r="C357" t="s">
        <v>1023</v>
      </c>
      <c r="D357" t="s">
        <v>37</v>
      </c>
      <c r="E357" t="s">
        <v>24</v>
      </c>
      <c r="F357">
        <v>10500000</v>
      </c>
      <c r="G357">
        <v>18</v>
      </c>
      <c r="H357" s="1">
        <v>44003</v>
      </c>
      <c r="I357" t="s">
        <v>2104</v>
      </c>
    </row>
    <row r="358" spans="1:9" x14ac:dyDescent="0.25">
      <c r="A358" t="s">
        <v>1026</v>
      </c>
      <c r="B358" t="s">
        <v>92</v>
      </c>
      <c r="C358" t="s">
        <v>1027</v>
      </c>
      <c r="D358" t="s">
        <v>23</v>
      </c>
      <c r="E358" t="s">
        <v>38</v>
      </c>
      <c r="F358">
        <v>13000000</v>
      </c>
      <c r="G358">
        <v>3</v>
      </c>
      <c r="H358" s="1">
        <v>44827</v>
      </c>
      <c r="I358" t="s">
        <v>2104</v>
      </c>
    </row>
    <row r="359" spans="1:9" x14ac:dyDescent="0.25">
      <c r="A359" t="s">
        <v>1028</v>
      </c>
      <c r="B359" t="s">
        <v>225</v>
      </c>
      <c r="C359" t="s">
        <v>1029</v>
      </c>
      <c r="D359" t="s">
        <v>14</v>
      </c>
      <c r="E359" t="s">
        <v>24</v>
      </c>
      <c r="F359">
        <v>13000000</v>
      </c>
      <c r="G359">
        <v>33</v>
      </c>
      <c r="H359" s="1">
        <v>44458</v>
      </c>
      <c r="I359" t="s">
        <v>2104</v>
      </c>
    </row>
    <row r="360" spans="1:9" x14ac:dyDescent="0.25">
      <c r="A360" t="s">
        <v>1030</v>
      </c>
      <c r="B360" t="s">
        <v>177</v>
      </c>
      <c r="C360" t="s">
        <v>1031</v>
      </c>
      <c r="D360" t="s">
        <v>33</v>
      </c>
      <c r="E360" t="s">
        <v>15</v>
      </c>
      <c r="F360">
        <v>6500000</v>
      </c>
      <c r="G360">
        <v>28</v>
      </c>
      <c r="H360" s="1">
        <v>45062</v>
      </c>
      <c r="I360" t="s">
        <v>2104</v>
      </c>
    </row>
    <row r="361" spans="1:9" x14ac:dyDescent="0.25">
      <c r="A361" t="s">
        <v>1032</v>
      </c>
      <c r="B361" t="s">
        <v>447</v>
      </c>
      <c r="C361" t="s">
        <v>1033</v>
      </c>
      <c r="D361" t="s">
        <v>18</v>
      </c>
      <c r="E361" t="s">
        <v>34</v>
      </c>
      <c r="F361">
        <v>10500000</v>
      </c>
      <c r="G361">
        <v>23</v>
      </c>
      <c r="H361" s="1">
        <v>45116</v>
      </c>
      <c r="I361" t="s">
        <v>2104</v>
      </c>
    </row>
    <row r="362" spans="1:9" x14ac:dyDescent="0.25">
      <c r="A362" t="s">
        <v>1034</v>
      </c>
      <c r="B362" t="s">
        <v>113</v>
      </c>
      <c r="C362" t="s">
        <v>1035</v>
      </c>
      <c r="D362" t="s">
        <v>33</v>
      </c>
      <c r="E362" t="s">
        <v>34</v>
      </c>
      <c r="F362">
        <v>5500000</v>
      </c>
      <c r="G362">
        <v>35</v>
      </c>
      <c r="H362" s="1">
        <v>45907</v>
      </c>
      <c r="I362" t="s">
        <v>2104</v>
      </c>
    </row>
    <row r="363" spans="1:9" x14ac:dyDescent="0.25">
      <c r="A363" t="s">
        <v>1036</v>
      </c>
      <c r="B363" t="s">
        <v>380</v>
      </c>
      <c r="C363" t="s">
        <v>1037</v>
      </c>
      <c r="D363" t="s">
        <v>23</v>
      </c>
      <c r="E363" t="s">
        <v>24</v>
      </c>
      <c r="F363">
        <v>10500000</v>
      </c>
      <c r="G363">
        <v>2</v>
      </c>
      <c r="H363" s="1">
        <v>45257</v>
      </c>
      <c r="I363" t="s">
        <v>2104</v>
      </c>
    </row>
    <row r="364" spans="1:9" x14ac:dyDescent="0.25">
      <c r="A364" t="s">
        <v>1038</v>
      </c>
      <c r="B364" t="s">
        <v>736</v>
      </c>
      <c r="C364" t="s">
        <v>1039</v>
      </c>
      <c r="D364" t="s">
        <v>23</v>
      </c>
      <c r="E364" t="s">
        <v>24</v>
      </c>
      <c r="F364">
        <v>5500000</v>
      </c>
      <c r="G364">
        <v>15</v>
      </c>
      <c r="H364" s="1">
        <v>45633</v>
      </c>
      <c r="I364" t="s">
        <v>2104</v>
      </c>
    </row>
    <row r="365" spans="1:9" x14ac:dyDescent="0.25">
      <c r="A365" t="s">
        <v>1040</v>
      </c>
      <c r="B365" t="s">
        <v>134</v>
      </c>
      <c r="C365" t="s">
        <v>1041</v>
      </c>
      <c r="D365" t="s">
        <v>37</v>
      </c>
      <c r="E365" t="s">
        <v>34</v>
      </c>
      <c r="F365">
        <v>6500000</v>
      </c>
      <c r="G365">
        <v>30</v>
      </c>
      <c r="H365" s="1">
        <v>45529</v>
      </c>
      <c r="I365" t="s">
        <v>2104</v>
      </c>
    </row>
    <row r="366" spans="1:9" x14ac:dyDescent="0.25">
      <c r="A366" t="s">
        <v>1042</v>
      </c>
      <c r="B366" t="s">
        <v>281</v>
      </c>
      <c r="C366" t="s">
        <v>1043</v>
      </c>
      <c r="D366" t="s">
        <v>37</v>
      </c>
      <c r="E366" t="s">
        <v>15</v>
      </c>
      <c r="F366">
        <v>5500000</v>
      </c>
      <c r="G366">
        <v>11</v>
      </c>
      <c r="H366" s="1">
        <v>45465</v>
      </c>
      <c r="I366" t="s">
        <v>2104</v>
      </c>
    </row>
    <row r="367" spans="1:9" x14ac:dyDescent="0.25">
      <c r="A367" t="s">
        <v>1044</v>
      </c>
      <c r="B367" t="s">
        <v>227</v>
      </c>
      <c r="C367" t="s">
        <v>1045</v>
      </c>
      <c r="D367" t="s">
        <v>37</v>
      </c>
      <c r="E367" t="s">
        <v>15</v>
      </c>
      <c r="F367">
        <v>6500000</v>
      </c>
      <c r="G367">
        <v>29</v>
      </c>
      <c r="H367" s="1">
        <v>45631</v>
      </c>
      <c r="I367" t="s">
        <v>2104</v>
      </c>
    </row>
    <row r="368" spans="1:9" x14ac:dyDescent="0.25">
      <c r="A368" t="s">
        <v>1046</v>
      </c>
      <c r="B368" t="s">
        <v>86</v>
      </c>
      <c r="C368" t="s">
        <v>1047</v>
      </c>
      <c r="D368" t="s">
        <v>23</v>
      </c>
      <c r="E368" t="s">
        <v>24</v>
      </c>
      <c r="F368">
        <v>10500000</v>
      </c>
      <c r="G368">
        <v>11</v>
      </c>
      <c r="H368" s="1">
        <v>44122</v>
      </c>
      <c r="I368" t="s">
        <v>2104</v>
      </c>
    </row>
    <row r="369" spans="1:9" x14ac:dyDescent="0.25">
      <c r="A369" t="s">
        <v>1048</v>
      </c>
      <c r="B369" t="s">
        <v>299</v>
      </c>
      <c r="C369" t="s">
        <v>1049</v>
      </c>
      <c r="D369" t="s">
        <v>33</v>
      </c>
      <c r="E369" t="s">
        <v>24</v>
      </c>
      <c r="F369">
        <v>8000000</v>
      </c>
      <c r="G369">
        <v>24</v>
      </c>
      <c r="H369" s="1">
        <v>44623</v>
      </c>
      <c r="I369" t="s">
        <v>2104</v>
      </c>
    </row>
    <row r="370" spans="1:9" x14ac:dyDescent="0.25">
      <c r="A370" t="s">
        <v>1050</v>
      </c>
      <c r="B370" t="s">
        <v>43</v>
      </c>
      <c r="C370" t="s">
        <v>1051</v>
      </c>
      <c r="D370" t="s">
        <v>37</v>
      </c>
      <c r="E370" t="s">
        <v>24</v>
      </c>
      <c r="F370">
        <v>13000000</v>
      </c>
      <c r="G370">
        <v>3</v>
      </c>
      <c r="H370" s="1">
        <v>44191</v>
      </c>
      <c r="I370" t="s">
        <v>2104</v>
      </c>
    </row>
    <row r="371" spans="1:9" x14ac:dyDescent="0.25">
      <c r="A371" t="s">
        <v>1054</v>
      </c>
      <c r="B371" t="s">
        <v>86</v>
      </c>
      <c r="C371" t="s">
        <v>1055</v>
      </c>
      <c r="D371" t="s">
        <v>14</v>
      </c>
      <c r="E371" t="s">
        <v>34</v>
      </c>
      <c r="F371">
        <v>10500000</v>
      </c>
      <c r="G371">
        <v>1</v>
      </c>
      <c r="H371" s="1">
        <v>45299</v>
      </c>
      <c r="I371" t="s">
        <v>2104</v>
      </c>
    </row>
    <row r="372" spans="1:9" x14ac:dyDescent="0.25">
      <c r="A372" t="s">
        <v>1056</v>
      </c>
      <c r="B372" t="s">
        <v>870</v>
      </c>
      <c r="C372" t="s">
        <v>1057</v>
      </c>
      <c r="D372" t="s">
        <v>14</v>
      </c>
      <c r="E372" t="s">
        <v>19</v>
      </c>
      <c r="F372">
        <v>10500000</v>
      </c>
      <c r="G372">
        <v>15</v>
      </c>
      <c r="H372" s="1">
        <v>45247</v>
      </c>
      <c r="I372" t="s">
        <v>2104</v>
      </c>
    </row>
    <row r="373" spans="1:9" x14ac:dyDescent="0.25">
      <c r="A373" t="s">
        <v>1058</v>
      </c>
      <c r="B373" t="s">
        <v>193</v>
      </c>
      <c r="C373" t="s">
        <v>1059</v>
      </c>
      <c r="D373" t="s">
        <v>37</v>
      </c>
      <c r="E373" t="s">
        <v>15</v>
      </c>
      <c r="F373">
        <v>10500000</v>
      </c>
      <c r="G373">
        <v>38</v>
      </c>
      <c r="H373" s="1">
        <v>44456</v>
      </c>
      <c r="I373" t="s">
        <v>2104</v>
      </c>
    </row>
    <row r="374" spans="1:9" x14ac:dyDescent="0.25">
      <c r="A374" t="s">
        <v>1062</v>
      </c>
      <c r="B374" t="s">
        <v>92</v>
      </c>
      <c r="C374" t="s">
        <v>1063</v>
      </c>
      <c r="D374" t="s">
        <v>37</v>
      </c>
      <c r="E374" t="s">
        <v>15</v>
      </c>
      <c r="F374">
        <v>8000000</v>
      </c>
      <c r="G374">
        <v>9</v>
      </c>
      <c r="H374" s="1">
        <v>45947</v>
      </c>
      <c r="I374" t="s">
        <v>2104</v>
      </c>
    </row>
    <row r="375" spans="1:9" x14ac:dyDescent="0.25">
      <c r="A375" t="s">
        <v>1064</v>
      </c>
      <c r="B375" t="s">
        <v>229</v>
      </c>
      <c r="C375" t="s">
        <v>1065</v>
      </c>
      <c r="D375" t="s">
        <v>23</v>
      </c>
      <c r="E375" t="s">
        <v>38</v>
      </c>
      <c r="F375">
        <v>5500000</v>
      </c>
      <c r="G375">
        <v>8</v>
      </c>
      <c r="H375" s="1">
        <v>45647</v>
      </c>
      <c r="I375" t="s">
        <v>2104</v>
      </c>
    </row>
    <row r="376" spans="1:9" x14ac:dyDescent="0.25">
      <c r="A376" t="s">
        <v>1066</v>
      </c>
      <c r="B376" t="s">
        <v>539</v>
      </c>
      <c r="C376" t="s">
        <v>1067</v>
      </c>
      <c r="D376" t="s">
        <v>18</v>
      </c>
      <c r="E376" t="s">
        <v>15</v>
      </c>
      <c r="F376">
        <v>5500000</v>
      </c>
      <c r="G376">
        <v>26</v>
      </c>
      <c r="H376" s="1">
        <v>43916</v>
      </c>
      <c r="I376" t="s">
        <v>2104</v>
      </c>
    </row>
    <row r="377" spans="1:9" x14ac:dyDescent="0.25">
      <c r="A377" t="s">
        <v>1068</v>
      </c>
      <c r="B377" t="s">
        <v>203</v>
      </c>
      <c r="C377" t="s">
        <v>1069</v>
      </c>
      <c r="D377" t="s">
        <v>37</v>
      </c>
      <c r="E377" t="s">
        <v>24</v>
      </c>
      <c r="F377">
        <v>13000000</v>
      </c>
      <c r="G377">
        <v>27</v>
      </c>
      <c r="H377" s="1">
        <v>45171</v>
      </c>
      <c r="I377" t="s">
        <v>2104</v>
      </c>
    </row>
    <row r="378" spans="1:9" x14ac:dyDescent="0.25">
      <c r="A378" t="s">
        <v>1070</v>
      </c>
      <c r="B378" t="s">
        <v>223</v>
      </c>
      <c r="C378" t="s">
        <v>1071</v>
      </c>
      <c r="D378" t="s">
        <v>18</v>
      </c>
      <c r="E378" t="s">
        <v>38</v>
      </c>
      <c r="F378">
        <v>13000000</v>
      </c>
      <c r="G378">
        <v>35</v>
      </c>
      <c r="H378" s="1">
        <v>44667</v>
      </c>
      <c r="I378" t="s">
        <v>2104</v>
      </c>
    </row>
    <row r="379" spans="1:9" x14ac:dyDescent="0.25">
      <c r="A379" t="s">
        <v>1074</v>
      </c>
      <c r="B379" t="s">
        <v>142</v>
      </c>
      <c r="C379" t="s">
        <v>1075</v>
      </c>
      <c r="D379" t="s">
        <v>14</v>
      </c>
      <c r="E379" t="s">
        <v>34</v>
      </c>
      <c r="F379">
        <v>6500000</v>
      </c>
      <c r="G379">
        <v>17</v>
      </c>
      <c r="H379" s="1">
        <v>45850</v>
      </c>
      <c r="I379" t="s">
        <v>2104</v>
      </c>
    </row>
    <row r="380" spans="1:9" x14ac:dyDescent="0.25">
      <c r="A380" t="s">
        <v>1076</v>
      </c>
      <c r="B380" t="s">
        <v>327</v>
      </c>
      <c r="C380" t="s">
        <v>1077</v>
      </c>
      <c r="D380" t="s">
        <v>18</v>
      </c>
      <c r="E380" t="s">
        <v>15</v>
      </c>
      <c r="F380">
        <v>13000000</v>
      </c>
      <c r="G380">
        <v>22</v>
      </c>
      <c r="H380" s="1">
        <v>45604</v>
      </c>
      <c r="I380" t="s">
        <v>2104</v>
      </c>
    </row>
    <row r="381" spans="1:9" x14ac:dyDescent="0.25">
      <c r="A381" t="s">
        <v>1078</v>
      </c>
      <c r="B381" t="s">
        <v>158</v>
      </c>
      <c r="C381" t="s">
        <v>1079</v>
      </c>
      <c r="D381" t="s">
        <v>23</v>
      </c>
      <c r="E381" t="s">
        <v>24</v>
      </c>
      <c r="F381">
        <v>6500000</v>
      </c>
      <c r="G381">
        <v>4</v>
      </c>
      <c r="H381" s="1">
        <v>45932</v>
      </c>
      <c r="I381" t="s">
        <v>2104</v>
      </c>
    </row>
    <row r="382" spans="1:9" x14ac:dyDescent="0.25">
      <c r="A382" t="s">
        <v>1080</v>
      </c>
      <c r="B382" t="s">
        <v>102</v>
      </c>
      <c r="C382" t="s">
        <v>1081</v>
      </c>
      <c r="D382" t="s">
        <v>42</v>
      </c>
      <c r="E382" t="s">
        <v>19</v>
      </c>
      <c r="F382">
        <v>13000000</v>
      </c>
      <c r="G382">
        <v>37</v>
      </c>
      <c r="H382" s="1">
        <v>44122</v>
      </c>
      <c r="I382" t="s">
        <v>2104</v>
      </c>
    </row>
    <row r="383" spans="1:9" x14ac:dyDescent="0.25">
      <c r="A383" t="s">
        <v>1084</v>
      </c>
      <c r="B383" t="s">
        <v>316</v>
      </c>
      <c r="C383" t="s">
        <v>1085</v>
      </c>
      <c r="D383" t="s">
        <v>37</v>
      </c>
      <c r="E383" t="s">
        <v>15</v>
      </c>
      <c r="F383">
        <v>13000000</v>
      </c>
      <c r="G383">
        <v>19</v>
      </c>
      <c r="H383" s="1">
        <v>45052</v>
      </c>
      <c r="I383" t="s">
        <v>2104</v>
      </c>
    </row>
    <row r="384" spans="1:9" x14ac:dyDescent="0.25">
      <c r="A384" t="s">
        <v>1086</v>
      </c>
      <c r="B384" t="s">
        <v>351</v>
      </c>
      <c r="C384" t="s">
        <v>1087</v>
      </c>
      <c r="D384" t="s">
        <v>14</v>
      </c>
      <c r="E384" t="s">
        <v>34</v>
      </c>
      <c r="F384">
        <v>5500000</v>
      </c>
      <c r="G384">
        <v>29</v>
      </c>
      <c r="H384" s="1">
        <v>44923</v>
      </c>
      <c r="I384" t="s">
        <v>2104</v>
      </c>
    </row>
    <row r="385" spans="1:9" x14ac:dyDescent="0.25">
      <c r="A385" t="s">
        <v>1088</v>
      </c>
      <c r="B385" t="s">
        <v>439</v>
      </c>
      <c r="C385" t="s">
        <v>1089</v>
      </c>
      <c r="D385" t="s">
        <v>33</v>
      </c>
      <c r="E385" t="s">
        <v>15</v>
      </c>
      <c r="F385">
        <v>10500000</v>
      </c>
      <c r="G385">
        <v>7</v>
      </c>
      <c r="H385" s="1">
        <v>44919</v>
      </c>
      <c r="I385" t="s">
        <v>2104</v>
      </c>
    </row>
    <row r="386" spans="1:9" x14ac:dyDescent="0.25">
      <c r="A386" t="s">
        <v>1090</v>
      </c>
      <c r="B386" t="s">
        <v>148</v>
      </c>
      <c r="C386" t="s">
        <v>1091</v>
      </c>
      <c r="D386" t="s">
        <v>18</v>
      </c>
      <c r="E386" t="s">
        <v>38</v>
      </c>
      <c r="F386">
        <v>6500000</v>
      </c>
      <c r="G386">
        <v>12</v>
      </c>
      <c r="H386" s="1">
        <v>45273</v>
      </c>
      <c r="I386" t="s">
        <v>2104</v>
      </c>
    </row>
    <row r="387" spans="1:9" x14ac:dyDescent="0.25">
      <c r="A387" t="s">
        <v>1092</v>
      </c>
      <c r="B387" t="s">
        <v>267</v>
      </c>
      <c r="C387" t="s">
        <v>1093</v>
      </c>
      <c r="D387" t="s">
        <v>37</v>
      </c>
      <c r="E387" t="s">
        <v>24</v>
      </c>
      <c r="F387">
        <v>13000000</v>
      </c>
      <c r="G387">
        <v>30</v>
      </c>
      <c r="H387" s="1">
        <v>44023</v>
      </c>
      <c r="I387" t="s">
        <v>2104</v>
      </c>
    </row>
    <row r="388" spans="1:9" x14ac:dyDescent="0.25">
      <c r="A388" t="s">
        <v>1094</v>
      </c>
      <c r="B388" t="s">
        <v>51</v>
      </c>
      <c r="C388" t="s">
        <v>1095</v>
      </c>
      <c r="D388" t="s">
        <v>23</v>
      </c>
      <c r="E388" t="s">
        <v>19</v>
      </c>
      <c r="F388">
        <v>10500000</v>
      </c>
      <c r="G388">
        <v>31</v>
      </c>
      <c r="H388" s="1">
        <v>44099</v>
      </c>
      <c r="I388" t="s">
        <v>2104</v>
      </c>
    </row>
    <row r="389" spans="1:9" x14ac:dyDescent="0.25">
      <c r="A389" t="s">
        <v>1096</v>
      </c>
      <c r="B389" t="s">
        <v>26</v>
      </c>
      <c r="C389" t="s">
        <v>1097</v>
      </c>
      <c r="D389" t="s">
        <v>23</v>
      </c>
      <c r="E389" t="s">
        <v>15</v>
      </c>
      <c r="F389">
        <v>10500000</v>
      </c>
      <c r="G389">
        <v>27</v>
      </c>
      <c r="H389" s="1">
        <v>44432</v>
      </c>
      <c r="I389" t="s">
        <v>2104</v>
      </c>
    </row>
    <row r="390" spans="1:9" x14ac:dyDescent="0.25">
      <c r="A390" t="s">
        <v>1100</v>
      </c>
      <c r="B390" t="s">
        <v>719</v>
      </c>
      <c r="C390" t="s">
        <v>1101</v>
      </c>
      <c r="D390" t="s">
        <v>23</v>
      </c>
      <c r="E390" t="s">
        <v>24</v>
      </c>
      <c r="F390">
        <v>8000000</v>
      </c>
      <c r="G390">
        <v>30</v>
      </c>
      <c r="H390" s="1">
        <v>44797</v>
      </c>
      <c r="I390" t="s">
        <v>2104</v>
      </c>
    </row>
    <row r="391" spans="1:9" x14ac:dyDescent="0.25">
      <c r="A391" t="s">
        <v>1106</v>
      </c>
      <c r="B391" t="s">
        <v>450</v>
      </c>
      <c r="C391" t="s">
        <v>1107</v>
      </c>
      <c r="D391" t="s">
        <v>33</v>
      </c>
      <c r="E391" t="s">
        <v>15</v>
      </c>
      <c r="F391">
        <v>6500000</v>
      </c>
      <c r="G391">
        <v>36</v>
      </c>
      <c r="H391" s="1">
        <v>44759</v>
      </c>
      <c r="I391" t="s">
        <v>2104</v>
      </c>
    </row>
    <row r="392" spans="1:9" x14ac:dyDescent="0.25">
      <c r="A392" t="s">
        <v>1108</v>
      </c>
      <c r="B392" t="s">
        <v>345</v>
      </c>
      <c r="C392" t="s">
        <v>1109</v>
      </c>
      <c r="D392" t="s">
        <v>18</v>
      </c>
      <c r="E392" t="s">
        <v>19</v>
      </c>
      <c r="F392">
        <v>5500000</v>
      </c>
      <c r="G392">
        <v>14</v>
      </c>
      <c r="H392" s="1">
        <v>45303</v>
      </c>
      <c r="I392" t="s">
        <v>2104</v>
      </c>
    </row>
    <row r="393" spans="1:9" x14ac:dyDescent="0.25">
      <c r="A393" t="s">
        <v>1110</v>
      </c>
      <c r="B393" t="s">
        <v>380</v>
      </c>
      <c r="C393" t="s">
        <v>1111</v>
      </c>
      <c r="D393" t="s">
        <v>37</v>
      </c>
      <c r="E393" t="s">
        <v>34</v>
      </c>
      <c r="F393">
        <v>6500000</v>
      </c>
      <c r="G393">
        <v>37</v>
      </c>
      <c r="H393" s="1">
        <v>44306</v>
      </c>
      <c r="I393" t="s">
        <v>2104</v>
      </c>
    </row>
    <row r="394" spans="1:9" x14ac:dyDescent="0.25">
      <c r="A394" t="s">
        <v>1112</v>
      </c>
      <c r="B394" t="s">
        <v>1113</v>
      </c>
      <c r="C394" t="s">
        <v>1114</v>
      </c>
      <c r="D394" t="s">
        <v>42</v>
      </c>
      <c r="E394" t="s">
        <v>19</v>
      </c>
      <c r="F394">
        <v>13000000</v>
      </c>
      <c r="G394">
        <v>32</v>
      </c>
      <c r="H394" s="1">
        <v>45491</v>
      </c>
      <c r="I394" t="s">
        <v>2104</v>
      </c>
    </row>
    <row r="395" spans="1:9" x14ac:dyDescent="0.25">
      <c r="A395" t="s">
        <v>1115</v>
      </c>
      <c r="B395" t="s">
        <v>736</v>
      </c>
      <c r="C395" t="s">
        <v>1116</v>
      </c>
      <c r="D395" t="s">
        <v>18</v>
      </c>
      <c r="E395" t="s">
        <v>15</v>
      </c>
      <c r="F395">
        <v>10500000</v>
      </c>
      <c r="G395">
        <v>7</v>
      </c>
      <c r="H395" s="1">
        <v>44868</v>
      </c>
      <c r="I395" t="s">
        <v>2104</v>
      </c>
    </row>
    <row r="396" spans="1:9" x14ac:dyDescent="0.25">
      <c r="A396" t="s">
        <v>1119</v>
      </c>
      <c r="B396" t="s">
        <v>483</v>
      </c>
      <c r="C396" t="s">
        <v>1120</v>
      </c>
      <c r="D396" t="s">
        <v>14</v>
      </c>
      <c r="E396" t="s">
        <v>19</v>
      </c>
      <c r="F396">
        <v>10500000</v>
      </c>
      <c r="G396">
        <v>37</v>
      </c>
      <c r="H396" s="1">
        <v>45491</v>
      </c>
      <c r="I396" t="s">
        <v>2104</v>
      </c>
    </row>
    <row r="397" spans="1:9" x14ac:dyDescent="0.25">
      <c r="A397" t="s">
        <v>1121</v>
      </c>
      <c r="B397" t="s">
        <v>805</v>
      </c>
      <c r="C397" t="s">
        <v>1122</v>
      </c>
      <c r="D397" t="s">
        <v>33</v>
      </c>
      <c r="E397" t="s">
        <v>19</v>
      </c>
      <c r="F397">
        <v>8000000</v>
      </c>
      <c r="G397">
        <v>36</v>
      </c>
      <c r="H397" s="1">
        <v>44617</v>
      </c>
      <c r="I397" t="s">
        <v>2104</v>
      </c>
    </row>
    <row r="398" spans="1:9" x14ac:dyDescent="0.25">
      <c r="A398" t="s">
        <v>1123</v>
      </c>
      <c r="B398" t="s">
        <v>78</v>
      </c>
      <c r="C398" t="s">
        <v>1124</v>
      </c>
      <c r="D398" t="s">
        <v>18</v>
      </c>
      <c r="E398" t="s">
        <v>34</v>
      </c>
      <c r="F398">
        <v>8000000</v>
      </c>
      <c r="G398">
        <v>35</v>
      </c>
      <c r="H398" s="1">
        <v>44731</v>
      </c>
      <c r="I398" t="s">
        <v>2104</v>
      </c>
    </row>
    <row r="399" spans="1:9" x14ac:dyDescent="0.25">
      <c r="A399" t="s">
        <v>1125</v>
      </c>
      <c r="B399" t="s">
        <v>870</v>
      </c>
      <c r="C399" t="s">
        <v>1126</v>
      </c>
      <c r="D399" t="s">
        <v>23</v>
      </c>
      <c r="E399" t="s">
        <v>24</v>
      </c>
      <c r="F399">
        <v>10500000</v>
      </c>
      <c r="G399">
        <v>16</v>
      </c>
      <c r="H399" s="1">
        <v>45796</v>
      </c>
      <c r="I399" t="s">
        <v>2104</v>
      </c>
    </row>
    <row r="400" spans="1:9" x14ac:dyDescent="0.25">
      <c r="A400" t="s">
        <v>1127</v>
      </c>
      <c r="B400" t="s">
        <v>134</v>
      </c>
      <c r="C400" t="s">
        <v>1128</v>
      </c>
      <c r="D400" t="s">
        <v>42</v>
      </c>
      <c r="E400" t="s">
        <v>19</v>
      </c>
      <c r="F400">
        <v>13000000</v>
      </c>
      <c r="G400">
        <v>5</v>
      </c>
      <c r="H400" s="1">
        <v>45778</v>
      </c>
      <c r="I400" t="s">
        <v>2104</v>
      </c>
    </row>
    <row r="401" spans="1:9" x14ac:dyDescent="0.25">
      <c r="A401" t="s">
        <v>1129</v>
      </c>
      <c r="B401" t="s">
        <v>227</v>
      </c>
      <c r="C401" t="s">
        <v>1130</v>
      </c>
      <c r="D401" t="s">
        <v>23</v>
      </c>
      <c r="E401" t="s">
        <v>24</v>
      </c>
      <c r="F401">
        <v>5500000</v>
      </c>
      <c r="G401">
        <v>24</v>
      </c>
      <c r="H401" s="1">
        <v>44089</v>
      </c>
      <c r="I401" t="s">
        <v>2104</v>
      </c>
    </row>
    <row r="402" spans="1:9" x14ac:dyDescent="0.25">
      <c r="A402" t="s">
        <v>1131</v>
      </c>
      <c r="B402" t="s">
        <v>115</v>
      </c>
      <c r="C402" t="s">
        <v>1132</v>
      </c>
      <c r="D402" t="s">
        <v>37</v>
      </c>
      <c r="E402" t="s">
        <v>34</v>
      </c>
      <c r="F402">
        <v>6500000</v>
      </c>
      <c r="G402">
        <v>26</v>
      </c>
      <c r="H402" s="1">
        <v>45780</v>
      </c>
      <c r="I402" t="s">
        <v>2104</v>
      </c>
    </row>
    <row r="403" spans="1:9" x14ac:dyDescent="0.25">
      <c r="A403" t="s">
        <v>1133</v>
      </c>
      <c r="B403" t="s">
        <v>327</v>
      </c>
      <c r="C403" t="s">
        <v>1134</v>
      </c>
      <c r="D403" t="s">
        <v>42</v>
      </c>
      <c r="E403" t="s">
        <v>15</v>
      </c>
      <c r="F403">
        <v>5500000</v>
      </c>
      <c r="G403">
        <v>32</v>
      </c>
      <c r="H403" s="1">
        <v>44716</v>
      </c>
      <c r="I403" t="s">
        <v>2104</v>
      </c>
    </row>
    <row r="404" spans="1:9" x14ac:dyDescent="0.25">
      <c r="A404" t="s">
        <v>1135</v>
      </c>
      <c r="B404" t="s">
        <v>425</v>
      </c>
      <c r="C404" t="s">
        <v>1136</v>
      </c>
      <c r="D404" t="s">
        <v>14</v>
      </c>
      <c r="E404" t="s">
        <v>24</v>
      </c>
      <c r="F404">
        <v>10500000</v>
      </c>
      <c r="G404">
        <v>31</v>
      </c>
      <c r="H404" s="1">
        <v>45883</v>
      </c>
      <c r="I404" t="s">
        <v>2104</v>
      </c>
    </row>
    <row r="405" spans="1:9" x14ac:dyDescent="0.25">
      <c r="A405" t="s">
        <v>1137</v>
      </c>
      <c r="B405" t="s">
        <v>110</v>
      </c>
      <c r="C405" t="s">
        <v>1138</v>
      </c>
      <c r="D405" t="s">
        <v>18</v>
      </c>
      <c r="E405" t="s">
        <v>24</v>
      </c>
      <c r="F405">
        <v>6500000</v>
      </c>
      <c r="G405">
        <v>33</v>
      </c>
      <c r="H405" s="1">
        <v>44018</v>
      </c>
      <c r="I405" t="s">
        <v>2104</v>
      </c>
    </row>
    <row r="406" spans="1:9" x14ac:dyDescent="0.25">
      <c r="A406" t="s">
        <v>1139</v>
      </c>
      <c r="B406" t="s">
        <v>206</v>
      </c>
      <c r="C406" t="s">
        <v>1140</v>
      </c>
      <c r="D406" t="s">
        <v>23</v>
      </c>
      <c r="E406" t="s">
        <v>24</v>
      </c>
      <c r="F406">
        <v>8000000</v>
      </c>
      <c r="G406">
        <v>7</v>
      </c>
      <c r="H406" s="1">
        <v>44661</v>
      </c>
      <c r="I406" t="s">
        <v>2104</v>
      </c>
    </row>
    <row r="407" spans="1:9" x14ac:dyDescent="0.25">
      <c r="A407" t="s">
        <v>1141</v>
      </c>
      <c r="B407" t="s">
        <v>46</v>
      </c>
      <c r="C407" t="s">
        <v>1142</v>
      </c>
      <c r="D407" t="s">
        <v>37</v>
      </c>
      <c r="E407" t="s">
        <v>38</v>
      </c>
      <c r="F407">
        <v>8000000</v>
      </c>
      <c r="G407">
        <v>30</v>
      </c>
      <c r="H407" s="1">
        <v>44374</v>
      </c>
      <c r="I407" t="s">
        <v>2104</v>
      </c>
    </row>
    <row r="408" spans="1:9" x14ac:dyDescent="0.25">
      <c r="A408" t="s">
        <v>1143</v>
      </c>
      <c r="B408" t="s">
        <v>110</v>
      </c>
      <c r="C408" t="s">
        <v>1144</v>
      </c>
      <c r="D408" t="s">
        <v>37</v>
      </c>
      <c r="E408" t="s">
        <v>38</v>
      </c>
      <c r="F408">
        <v>13000000</v>
      </c>
      <c r="G408">
        <v>21</v>
      </c>
      <c r="H408" s="1">
        <v>44487</v>
      </c>
      <c r="I408" t="s">
        <v>2104</v>
      </c>
    </row>
    <row r="409" spans="1:9" x14ac:dyDescent="0.25">
      <c r="A409" t="s">
        <v>1145</v>
      </c>
      <c r="B409" t="s">
        <v>110</v>
      </c>
      <c r="C409" t="s">
        <v>1146</v>
      </c>
      <c r="D409" t="s">
        <v>14</v>
      </c>
      <c r="E409" t="s">
        <v>38</v>
      </c>
      <c r="F409">
        <v>6500000</v>
      </c>
      <c r="G409">
        <v>33</v>
      </c>
      <c r="H409" s="1">
        <v>45581</v>
      </c>
      <c r="I409" t="s">
        <v>2104</v>
      </c>
    </row>
    <row r="410" spans="1:9" x14ac:dyDescent="0.25">
      <c r="A410" t="s">
        <v>1149</v>
      </c>
      <c r="B410" t="s">
        <v>35</v>
      </c>
      <c r="C410" t="s">
        <v>1150</v>
      </c>
      <c r="D410" t="s">
        <v>42</v>
      </c>
      <c r="E410" t="s">
        <v>15</v>
      </c>
      <c r="F410">
        <v>5500000</v>
      </c>
      <c r="G410">
        <v>12</v>
      </c>
      <c r="H410" s="1">
        <v>44348</v>
      </c>
      <c r="I410" t="s">
        <v>2104</v>
      </c>
    </row>
    <row r="411" spans="1:9" x14ac:dyDescent="0.25">
      <c r="A411" t="s">
        <v>1151</v>
      </c>
      <c r="B411" t="s">
        <v>35</v>
      </c>
      <c r="C411" t="s">
        <v>1152</v>
      </c>
      <c r="D411" t="s">
        <v>42</v>
      </c>
      <c r="E411" t="s">
        <v>38</v>
      </c>
      <c r="F411">
        <v>8000000</v>
      </c>
      <c r="G411">
        <v>26</v>
      </c>
      <c r="H411" s="1">
        <v>44244</v>
      </c>
      <c r="I411" t="s">
        <v>2104</v>
      </c>
    </row>
    <row r="412" spans="1:9" x14ac:dyDescent="0.25">
      <c r="A412" t="s">
        <v>1153</v>
      </c>
      <c r="B412" t="s">
        <v>89</v>
      </c>
      <c r="C412" t="s">
        <v>1154</v>
      </c>
      <c r="D412" t="s">
        <v>42</v>
      </c>
      <c r="E412" t="s">
        <v>15</v>
      </c>
      <c r="F412">
        <v>10500000</v>
      </c>
      <c r="G412">
        <v>20</v>
      </c>
      <c r="H412" s="1">
        <v>43954</v>
      </c>
      <c r="I412" t="s">
        <v>2104</v>
      </c>
    </row>
    <row r="413" spans="1:9" x14ac:dyDescent="0.25">
      <c r="A413" t="s">
        <v>1155</v>
      </c>
      <c r="B413" t="s">
        <v>212</v>
      </c>
      <c r="C413" t="s">
        <v>1156</v>
      </c>
      <c r="D413" t="s">
        <v>18</v>
      </c>
      <c r="E413" t="s">
        <v>34</v>
      </c>
      <c r="F413">
        <v>8000000</v>
      </c>
      <c r="G413">
        <v>7</v>
      </c>
      <c r="H413" s="1">
        <v>44189</v>
      </c>
      <c r="I413" t="s">
        <v>2104</v>
      </c>
    </row>
    <row r="414" spans="1:9" x14ac:dyDescent="0.25">
      <c r="A414" t="s">
        <v>1157</v>
      </c>
      <c r="B414" t="s">
        <v>450</v>
      </c>
      <c r="C414" t="s">
        <v>1158</v>
      </c>
      <c r="D414" t="s">
        <v>33</v>
      </c>
      <c r="E414" t="s">
        <v>15</v>
      </c>
      <c r="F414">
        <v>5500000</v>
      </c>
      <c r="G414">
        <v>37</v>
      </c>
      <c r="H414" s="1">
        <v>45254</v>
      </c>
      <c r="I414" t="s">
        <v>2104</v>
      </c>
    </row>
    <row r="415" spans="1:9" x14ac:dyDescent="0.25">
      <c r="A415" t="s">
        <v>1159</v>
      </c>
      <c r="B415" t="s">
        <v>63</v>
      </c>
      <c r="C415" t="s">
        <v>1160</v>
      </c>
      <c r="D415" t="s">
        <v>37</v>
      </c>
      <c r="E415" t="s">
        <v>19</v>
      </c>
      <c r="F415">
        <v>6500000</v>
      </c>
      <c r="G415">
        <v>10</v>
      </c>
      <c r="H415" s="1">
        <v>44440</v>
      </c>
      <c r="I415" t="s">
        <v>2104</v>
      </c>
    </row>
    <row r="416" spans="1:9" x14ac:dyDescent="0.25">
      <c r="A416" t="s">
        <v>1161</v>
      </c>
      <c r="B416" t="s">
        <v>522</v>
      </c>
      <c r="C416" t="s">
        <v>1162</v>
      </c>
      <c r="D416" t="s">
        <v>18</v>
      </c>
      <c r="E416" t="s">
        <v>19</v>
      </c>
      <c r="F416">
        <v>13000000</v>
      </c>
      <c r="G416">
        <v>17</v>
      </c>
      <c r="H416" s="1">
        <v>44440</v>
      </c>
      <c r="I416" t="s">
        <v>2104</v>
      </c>
    </row>
    <row r="417" spans="1:9" x14ac:dyDescent="0.25">
      <c r="A417" t="s">
        <v>1165</v>
      </c>
      <c r="B417" t="s">
        <v>425</v>
      </c>
      <c r="C417" t="s">
        <v>1166</v>
      </c>
      <c r="D417" t="s">
        <v>42</v>
      </c>
      <c r="E417" t="s">
        <v>19</v>
      </c>
      <c r="F417">
        <v>5500000</v>
      </c>
      <c r="G417">
        <v>14</v>
      </c>
      <c r="H417" s="1">
        <v>45281</v>
      </c>
      <c r="I417" t="s">
        <v>2104</v>
      </c>
    </row>
    <row r="418" spans="1:9" x14ac:dyDescent="0.25">
      <c r="A418" t="s">
        <v>1167</v>
      </c>
      <c r="B418" t="s">
        <v>281</v>
      </c>
      <c r="C418" t="s">
        <v>1168</v>
      </c>
      <c r="D418" t="s">
        <v>14</v>
      </c>
      <c r="E418" t="s">
        <v>19</v>
      </c>
      <c r="F418">
        <v>13000000</v>
      </c>
      <c r="G418">
        <v>15</v>
      </c>
      <c r="H418" s="1">
        <v>44725</v>
      </c>
      <c r="I418" t="s">
        <v>2104</v>
      </c>
    </row>
    <row r="419" spans="1:9" x14ac:dyDescent="0.25">
      <c r="A419" t="s">
        <v>1171</v>
      </c>
      <c r="B419" t="s">
        <v>351</v>
      </c>
      <c r="C419" t="s">
        <v>1172</v>
      </c>
      <c r="D419" t="s">
        <v>37</v>
      </c>
      <c r="E419" t="s">
        <v>24</v>
      </c>
      <c r="F419">
        <v>10500000</v>
      </c>
      <c r="G419">
        <v>17</v>
      </c>
      <c r="H419" s="1">
        <v>45232</v>
      </c>
      <c r="I419" t="s">
        <v>2104</v>
      </c>
    </row>
    <row r="420" spans="1:9" x14ac:dyDescent="0.25">
      <c r="A420" t="s">
        <v>1173</v>
      </c>
      <c r="B420" t="s">
        <v>81</v>
      </c>
      <c r="C420" t="s">
        <v>1174</v>
      </c>
      <c r="D420" t="s">
        <v>37</v>
      </c>
      <c r="E420" t="s">
        <v>15</v>
      </c>
      <c r="F420">
        <v>6500000</v>
      </c>
      <c r="G420">
        <v>5</v>
      </c>
      <c r="H420" s="1">
        <v>44279</v>
      </c>
      <c r="I420" t="s">
        <v>2104</v>
      </c>
    </row>
    <row r="421" spans="1:9" x14ac:dyDescent="0.25">
      <c r="A421" t="s">
        <v>1175</v>
      </c>
      <c r="B421" t="s">
        <v>12</v>
      </c>
      <c r="C421" t="s">
        <v>1176</v>
      </c>
      <c r="D421" t="s">
        <v>23</v>
      </c>
      <c r="E421" t="s">
        <v>34</v>
      </c>
      <c r="F421">
        <v>8000000</v>
      </c>
      <c r="G421">
        <v>6</v>
      </c>
      <c r="H421" s="1">
        <v>45993</v>
      </c>
      <c r="I421" t="s">
        <v>2104</v>
      </c>
    </row>
    <row r="422" spans="1:9" x14ac:dyDescent="0.25">
      <c r="A422" t="s">
        <v>1177</v>
      </c>
      <c r="B422" t="s">
        <v>118</v>
      </c>
      <c r="C422" t="s">
        <v>1178</v>
      </c>
      <c r="D422" t="s">
        <v>18</v>
      </c>
      <c r="E422" t="s">
        <v>34</v>
      </c>
      <c r="F422">
        <v>13000000</v>
      </c>
      <c r="G422">
        <v>4</v>
      </c>
      <c r="H422" s="1">
        <v>44569</v>
      </c>
      <c r="I422" t="s">
        <v>2104</v>
      </c>
    </row>
    <row r="423" spans="1:9" x14ac:dyDescent="0.25">
      <c r="A423" t="s">
        <v>1179</v>
      </c>
      <c r="B423" t="s">
        <v>94</v>
      </c>
      <c r="C423" t="s">
        <v>1180</v>
      </c>
      <c r="D423" t="s">
        <v>18</v>
      </c>
      <c r="E423" t="s">
        <v>24</v>
      </c>
      <c r="F423">
        <v>5500000</v>
      </c>
      <c r="G423">
        <v>1</v>
      </c>
      <c r="H423" s="1">
        <v>45833</v>
      </c>
      <c r="I423" t="s">
        <v>2104</v>
      </c>
    </row>
    <row r="424" spans="1:9" x14ac:dyDescent="0.25">
      <c r="A424" t="s">
        <v>1181</v>
      </c>
      <c r="B424" t="s">
        <v>345</v>
      </c>
      <c r="C424" t="s">
        <v>1182</v>
      </c>
      <c r="D424" t="s">
        <v>14</v>
      </c>
      <c r="E424" t="s">
        <v>15</v>
      </c>
      <c r="F424">
        <v>5500000</v>
      </c>
      <c r="G424">
        <v>37</v>
      </c>
      <c r="H424" s="1">
        <v>44443</v>
      </c>
      <c r="I424" t="s">
        <v>2104</v>
      </c>
    </row>
    <row r="425" spans="1:9" x14ac:dyDescent="0.25">
      <c r="A425" t="s">
        <v>1183</v>
      </c>
      <c r="B425" t="s">
        <v>108</v>
      </c>
      <c r="C425" t="s">
        <v>1184</v>
      </c>
      <c r="D425" t="s">
        <v>14</v>
      </c>
      <c r="E425" t="s">
        <v>15</v>
      </c>
      <c r="F425">
        <v>8000000</v>
      </c>
      <c r="G425">
        <v>33</v>
      </c>
      <c r="H425" s="1">
        <v>45940</v>
      </c>
      <c r="I425" t="s">
        <v>2104</v>
      </c>
    </row>
    <row r="426" spans="1:9" x14ac:dyDescent="0.25">
      <c r="A426" t="s">
        <v>1185</v>
      </c>
      <c r="B426" t="s">
        <v>153</v>
      </c>
      <c r="C426" t="s">
        <v>1186</v>
      </c>
      <c r="D426" t="s">
        <v>18</v>
      </c>
      <c r="E426" t="s">
        <v>38</v>
      </c>
      <c r="F426">
        <v>10500000</v>
      </c>
      <c r="G426">
        <v>25</v>
      </c>
      <c r="H426" s="1">
        <v>44114</v>
      </c>
      <c r="I426" t="s">
        <v>2104</v>
      </c>
    </row>
    <row r="427" spans="1:9" x14ac:dyDescent="0.25">
      <c r="A427" t="s">
        <v>1187</v>
      </c>
      <c r="B427" t="s">
        <v>327</v>
      </c>
      <c r="C427" t="s">
        <v>1188</v>
      </c>
      <c r="D427" t="s">
        <v>33</v>
      </c>
      <c r="E427" t="s">
        <v>34</v>
      </c>
      <c r="F427">
        <v>13000000</v>
      </c>
      <c r="G427">
        <v>11</v>
      </c>
      <c r="H427" s="1">
        <v>44514</v>
      </c>
      <c r="I427" t="s">
        <v>2104</v>
      </c>
    </row>
    <row r="428" spans="1:9" x14ac:dyDescent="0.25">
      <c r="A428" t="s">
        <v>1189</v>
      </c>
      <c r="B428" t="s">
        <v>261</v>
      </c>
      <c r="C428" t="s">
        <v>1190</v>
      </c>
      <c r="D428" t="s">
        <v>37</v>
      </c>
      <c r="E428" t="s">
        <v>38</v>
      </c>
      <c r="F428">
        <v>8000000</v>
      </c>
      <c r="G428">
        <v>10</v>
      </c>
      <c r="H428" s="1">
        <v>44236</v>
      </c>
      <c r="I428" t="s">
        <v>2104</v>
      </c>
    </row>
    <row r="429" spans="1:9" x14ac:dyDescent="0.25">
      <c r="A429" t="s">
        <v>1191</v>
      </c>
      <c r="B429" t="s">
        <v>121</v>
      </c>
      <c r="C429" t="s">
        <v>1192</v>
      </c>
      <c r="D429" t="s">
        <v>37</v>
      </c>
      <c r="E429" t="s">
        <v>19</v>
      </c>
      <c r="F429">
        <v>13000000</v>
      </c>
      <c r="G429">
        <v>6</v>
      </c>
      <c r="H429" s="1">
        <v>46010</v>
      </c>
      <c r="I429" t="s">
        <v>2104</v>
      </c>
    </row>
    <row r="430" spans="1:9" x14ac:dyDescent="0.25">
      <c r="A430" t="s">
        <v>1193</v>
      </c>
      <c r="B430" t="s">
        <v>444</v>
      </c>
      <c r="C430" t="s">
        <v>1194</v>
      </c>
      <c r="D430" t="s">
        <v>14</v>
      </c>
      <c r="E430" t="s">
        <v>24</v>
      </c>
      <c r="F430">
        <v>5500000</v>
      </c>
      <c r="G430">
        <v>6</v>
      </c>
      <c r="H430" s="1">
        <v>44566</v>
      </c>
      <c r="I430" t="s">
        <v>2104</v>
      </c>
    </row>
    <row r="431" spans="1:9" x14ac:dyDescent="0.25">
      <c r="A431" t="s">
        <v>1195</v>
      </c>
      <c r="B431" t="s">
        <v>127</v>
      </c>
      <c r="C431" t="s">
        <v>1196</v>
      </c>
      <c r="D431" t="s">
        <v>37</v>
      </c>
      <c r="E431" t="s">
        <v>15</v>
      </c>
      <c r="F431">
        <v>13000000</v>
      </c>
      <c r="G431">
        <v>26</v>
      </c>
      <c r="H431" s="1">
        <v>44144</v>
      </c>
      <c r="I431" t="s">
        <v>2104</v>
      </c>
    </row>
    <row r="432" spans="1:9" x14ac:dyDescent="0.25">
      <c r="A432" t="s">
        <v>1197</v>
      </c>
      <c r="B432" t="s">
        <v>60</v>
      </c>
      <c r="C432" t="s">
        <v>1198</v>
      </c>
      <c r="D432" t="s">
        <v>33</v>
      </c>
      <c r="E432" t="s">
        <v>38</v>
      </c>
      <c r="F432">
        <v>8000000</v>
      </c>
      <c r="G432">
        <v>29</v>
      </c>
      <c r="H432" s="1">
        <v>44879</v>
      </c>
      <c r="I432" t="s">
        <v>2104</v>
      </c>
    </row>
    <row r="433" spans="1:9" x14ac:dyDescent="0.25">
      <c r="A433" t="s">
        <v>1207</v>
      </c>
      <c r="B433" t="s">
        <v>492</v>
      </c>
      <c r="C433" t="s">
        <v>1208</v>
      </c>
      <c r="D433" t="s">
        <v>33</v>
      </c>
      <c r="E433" t="s">
        <v>19</v>
      </c>
      <c r="F433">
        <v>8000000</v>
      </c>
      <c r="G433">
        <v>33</v>
      </c>
      <c r="H433" s="1">
        <v>46004</v>
      </c>
      <c r="I433" t="s">
        <v>2104</v>
      </c>
    </row>
    <row r="434" spans="1:9" x14ac:dyDescent="0.25">
      <c r="A434" t="s">
        <v>1209</v>
      </c>
      <c r="B434" t="s">
        <v>430</v>
      </c>
      <c r="C434" t="s">
        <v>1210</v>
      </c>
      <c r="D434" t="s">
        <v>23</v>
      </c>
      <c r="E434" t="s">
        <v>34</v>
      </c>
      <c r="F434">
        <v>6500000</v>
      </c>
      <c r="G434">
        <v>27</v>
      </c>
      <c r="H434" s="1">
        <v>45617</v>
      </c>
      <c r="I434" t="s">
        <v>2104</v>
      </c>
    </row>
    <row r="435" spans="1:9" x14ac:dyDescent="0.25">
      <c r="A435" t="s">
        <v>1211</v>
      </c>
      <c r="B435" t="s">
        <v>299</v>
      </c>
      <c r="C435" t="s">
        <v>1212</v>
      </c>
      <c r="D435" t="s">
        <v>42</v>
      </c>
      <c r="E435" t="s">
        <v>15</v>
      </c>
      <c r="F435">
        <v>6500000</v>
      </c>
      <c r="G435">
        <v>20</v>
      </c>
      <c r="H435" s="1">
        <v>44829</v>
      </c>
      <c r="I435" t="s">
        <v>2104</v>
      </c>
    </row>
    <row r="436" spans="1:9" x14ac:dyDescent="0.25">
      <c r="A436" t="s">
        <v>1213</v>
      </c>
      <c r="B436" t="s">
        <v>439</v>
      </c>
      <c r="C436" t="s">
        <v>1214</v>
      </c>
      <c r="D436" t="s">
        <v>18</v>
      </c>
      <c r="E436" t="s">
        <v>38</v>
      </c>
      <c r="F436">
        <v>5500000</v>
      </c>
      <c r="G436">
        <v>38</v>
      </c>
      <c r="H436" s="1">
        <v>45784</v>
      </c>
      <c r="I436" t="s">
        <v>2104</v>
      </c>
    </row>
    <row r="437" spans="1:9" x14ac:dyDescent="0.25">
      <c r="A437" t="s">
        <v>1215</v>
      </c>
      <c r="B437" t="s">
        <v>450</v>
      </c>
      <c r="C437" t="s">
        <v>1216</v>
      </c>
      <c r="D437" t="s">
        <v>14</v>
      </c>
      <c r="E437" t="s">
        <v>38</v>
      </c>
      <c r="F437">
        <v>6500000</v>
      </c>
      <c r="G437">
        <v>2</v>
      </c>
      <c r="H437" s="1">
        <v>44389</v>
      </c>
      <c r="I437" t="s">
        <v>2104</v>
      </c>
    </row>
    <row r="438" spans="1:9" x14ac:dyDescent="0.25">
      <c r="A438" t="s">
        <v>1219</v>
      </c>
      <c r="B438" t="s">
        <v>258</v>
      </c>
      <c r="C438" t="s">
        <v>1220</v>
      </c>
      <c r="D438" t="s">
        <v>23</v>
      </c>
      <c r="E438" t="s">
        <v>24</v>
      </c>
      <c r="F438">
        <v>13000000</v>
      </c>
      <c r="G438">
        <v>4</v>
      </c>
      <c r="H438" s="1">
        <v>44585</v>
      </c>
      <c r="I438" t="s">
        <v>2104</v>
      </c>
    </row>
    <row r="439" spans="1:9" x14ac:dyDescent="0.25">
      <c r="A439" t="s">
        <v>1221</v>
      </c>
      <c r="B439" t="s">
        <v>771</v>
      </c>
      <c r="C439" t="s">
        <v>1222</v>
      </c>
      <c r="D439" t="s">
        <v>23</v>
      </c>
      <c r="E439" t="s">
        <v>38</v>
      </c>
      <c r="F439">
        <v>5500000</v>
      </c>
      <c r="G439">
        <v>14</v>
      </c>
      <c r="H439" s="1">
        <v>44544</v>
      </c>
      <c r="I439" t="s">
        <v>2104</v>
      </c>
    </row>
    <row r="440" spans="1:9" x14ac:dyDescent="0.25">
      <c r="A440" t="s">
        <v>1223</v>
      </c>
      <c r="B440" t="s">
        <v>492</v>
      </c>
      <c r="C440" t="s">
        <v>1224</v>
      </c>
      <c r="D440" t="s">
        <v>37</v>
      </c>
      <c r="E440" t="s">
        <v>15</v>
      </c>
      <c r="F440">
        <v>10500000</v>
      </c>
      <c r="G440">
        <v>38</v>
      </c>
      <c r="H440" s="1">
        <v>44335</v>
      </c>
      <c r="I440" t="s">
        <v>2104</v>
      </c>
    </row>
    <row r="441" spans="1:9" x14ac:dyDescent="0.25">
      <c r="A441" t="s">
        <v>1225</v>
      </c>
      <c r="B441" t="s">
        <v>123</v>
      </c>
      <c r="C441" t="s">
        <v>1226</v>
      </c>
      <c r="D441" t="s">
        <v>14</v>
      </c>
      <c r="E441" t="s">
        <v>24</v>
      </c>
      <c r="F441">
        <v>8000000</v>
      </c>
      <c r="G441">
        <v>33</v>
      </c>
      <c r="H441" s="1">
        <v>44750</v>
      </c>
      <c r="I441" t="s">
        <v>2104</v>
      </c>
    </row>
    <row r="442" spans="1:9" x14ac:dyDescent="0.25">
      <c r="A442" t="s">
        <v>1227</v>
      </c>
      <c r="B442" t="s">
        <v>115</v>
      </c>
      <c r="C442" t="s">
        <v>1228</v>
      </c>
      <c r="D442" t="s">
        <v>23</v>
      </c>
      <c r="E442" t="s">
        <v>19</v>
      </c>
      <c r="F442">
        <v>6500000</v>
      </c>
      <c r="G442">
        <v>11</v>
      </c>
      <c r="H442" s="1">
        <v>44182</v>
      </c>
      <c r="I442" t="s">
        <v>2104</v>
      </c>
    </row>
    <row r="443" spans="1:9" x14ac:dyDescent="0.25">
      <c r="A443" t="s">
        <v>1229</v>
      </c>
      <c r="B443" t="s">
        <v>444</v>
      </c>
      <c r="C443" t="s">
        <v>1230</v>
      </c>
      <c r="D443" t="s">
        <v>37</v>
      </c>
      <c r="E443" t="s">
        <v>19</v>
      </c>
      <c r="F443">
        <v>5500000</v>
      </c>
      <c r="G443">
        <v>20</v>
      </c>
      <c r="H443" s="1">
        <v>44229</v>
      </c>
      <c r="I443" t="s">
        <v>2104</v>
      </c>
    </row>
    <row r="444" spans="1:9" x14ac:dyDescent="0.25">
      <c r="A444" t="s">
        <v>1231</v>
      </c>
      <c r="B444" t="s">
        <v>193</v>
      </c>
      <c r="C444" t="s">
        <v>1232</v>
      </c>
      <c r="D444" t="s">
        <v>23</v>
      </c>
      <c r="E444" t="s">
        <v>19</v>
      </c>
      <c r="F444">
        <v>5500000</v>
      </c>
      <c r="G444">
        <v>30</v>
      </c>
      <c r="H444" s="1">
        <v>45947</v>
      </c>
      <c r="I444" t="s">
        <v>2104</v>
      </c>
    </row>
    <row r="445" spans="1:9" x14ac:dyDescent="0.25">
      <c r="A445" t="s">
        <v>1235</v>
      </c>
      <c r="B445" t="s">
        <v>161</v>
      </c>
      <c r="C445" t="s">
        <v>1236</v>
      </c>
      <c r="D445" t="s">
        <v>42</v>
      </c>
      <c r="E445" t="s">
        <v>19</v>
      </c>
      <c r="F445">
        <v>10500000</v>
      </c>
      <c r="G445">
        <v>6</v>
      </c>
      <c r="H445" s="1">
        <v>44218</v>
      </c>
      <c r="I445" t="s">
        <v>2104</v>
      </c>
    </row>
    <row r="446" spans="1:9" x14ac:dyDescent="0.25">
      <c r="A446" t="s">
        <v>1237</v>
      </c>
      <c r="B446" t="s">
        <v>84</v>
      </c>
      <c r="C446" t="s">
        <v>1238</v>
      </c>
      <c r="D446" t="s">
        <v>23</v>
      </c>
      <c r="E446" t="s">
        <v>38</v>
      </c>
      <c r="F446">
        <v>13000000</v>
      </c>
      <c r="G446">
        <v>23</v>
      </c>
      <c r="H446" s="1">
        <v>45573</v>
      </c>
      <c r="I446" t="s">
        <v>2104</v>
      </c>
    </row>
    <row r="447" spans="1:9" x14ac:dyDescent="0.25">
      <c r="A447" t="s">
        <v>1239</v>
      </c>
      <c r="B447" t="s">
        <v>148</v>
      </c>
      <c r="C447" t="s">
        <v>1240</v>
      </c>
      <c r="D447" t="s">
        <v>37</v>
      </c>
      <c r="E447" t="s">
        <v>38</v>
      </c>
      <c r="F447">
        <v>13000000</v>
      </c>
      <c r="G447">
        <v>36</v>
      </c>
      <c r="H447" s="1">
        <v>44844</v>
      </c>
      <c r="I447" t="s">
        <v>2104</v>
      </c>
    </row>
    <row r="448" spans="1:9" x14ac:dyDescent="0.25">
      <c r="A448" t="s">
        <v>1241</v>
      </c>
      <c r="B448" t="s">
        <v>400</v>
      </c>
      <c r="C448" t="s">
        <v>1242</v>
      </c>
      <c r="D448" t="s">
        <v>23</v>
      </c>
      <c r="E448" t="s">
        <v>38</v>
      </c>
      <c r="F448">
        <v>13000000</v>
      </c>
      <c r="G448">
        <v>10</v>
      </c>
      <c r="H448" s="1">
        <v>44312</v>
      </c>
      <c r="I448" t="s">
        <v>2104</v>
      </c>
    </row>
    <row r="449" spans="1:9" x14ac:dyDescent="0.25">
      <c r="A449" t="s">
        <v>1243</v>
      </c>
      <c r="B449" t="s">
        <v>190</v>
      </c>
      <c r="C449" t="s">
        <v>1244</v>
      </c>
      <c r="D449" t="s">
        <v>18</v>
      </c>
      <c r="E449" t="s">
        <v>34</v>
      </c>
      <c r="F449">
        <v>10500000</v>
      </c>
      <c r="G449">
        <v>15</v>
      </c>
      <c r="H449" s="1">
        <v>45202</v>
      </c>
      <c r="I449" t="s">
        <v>2104</v>
      </c>
    </row>
    <row r="450" spans="1:9" x14ac:dyDescent="0.25">
      <c r="A450" t="s">
        <v>1245</v>
      </c>
      <c r="B450" t="s">
        <v>71</v>
      </c>
      <c r="C450" t="s">
        <v>1246</v>
      </c>
      <c r="D450" t="s">
        <v>14</v>
      </c>
      <c r="E450" t="s">
        <v>24</v>
      </c>
      <c r="F450">
        <v>13000000</v>
      </c>
      <c r="G450">
        <v>9</v>
      </c>
      <c r="H450" s="1">
        <v>43924</v>
      </c>
      <c r="I450" t="s">
        <v>2104</v>
      </c>
    </row>
    <row r="451" spans="1:9" x14ac:dyDescent="0.25">
      <c r="A451" t="s">
        <v>1247</v>
      </c>
      <c r="B451" t="s">
        <v>348</v>
      </c>
      <c r="C451" t="s">
        <v>1248</v>
      </c>
      <c r="D451" t="s">
        <v>14</v>
      </c>
      <c r="E451" t="s">
        <v>34</v>
      </c>
      <c r="F451">
        <v>8000000</v>
      </c>
      <c r="G451">
        <v>15</v>
      </c>
      <c r="H451" s="1">
        <v>45499</v>
      </c>
      <c r="I451" t="s">
        <v>2104</v>
      </c>
    </row>
    <row r="452" spans="1:9" x14ac:dyDescent="0.25">
      <c r="A452" t="s">
        <v>1249</v>
      </c>
      <c r="B452" t="s">
        <v>145</v>
      </c>
      <c r="C452" t="s">
        <v>1250</v>
      </c>
      <c r="D452" t="s">
        <v>42</v>
      </c>
      <c r="E452" t="s">
        <v>38</v>
      </c>
      <c r="F452">
        <v>13000000</v>
      </c>
      <c r="G452">
        <v>30</v>
      </c>
      <c r="H452" s="1">
        <v>44143</v>
      </c>
      <c r="I452" t="s">
        <v>2104</v>
      </c>
    </row>
    <row r="453" spans="1:9" x14ac:dyDescent="0.25">
      <c r="A453" t="s">
        <v>1251</v>
      </c>
      <c r="B453" t="s">
        <v>400</v>
      </c>
      <c r="C453" t="s">
        <v>1252</v>
      </c>
      <c r="D453" t="s">
        <v>42</v>
      </c>
      <c r="E453" t="s">
        <v>24</v>
      </c>
      <c r="F453">
        <v>5500000</v>
      </c>
      <c r="G453">
        <v>40</v>
      </c>
      <c r="H453" s="1">
        <v>44115</v>
      </c>
      <c r="I453" t="s">
        <v>2104</v>
      </c>
    </row>
    <row r="454" spans="1:9" x14ac:dyDescent="0.25">
      <c r="A454" t="s">
        <v>1253</v>
      </c>
      <c r="B454" t="s">
        <v>121</v>
      </c>
      <c r="C454" t="s">
        <v>1254</v>
      </c>
      <c r="D454" t="s">
        <v>42</v>
      </c>
      <c r="E454" t="s">
        <v>15</v>
      </c>
      <c r="F454">
        <v>8000000</v>
      </c>
      <c r="G454">
        <v>10</v>
      </c>
      <c r="H454" s="1">
        <v>44921</v>
      </c>
      <c r="I454" t="s">
        <v>2104</v>
      </c>
    </row>
    <row r="455" spans="1:9" x14ac:dyDescent="0.25">
      <c r="A455" t="s">
        <v>1255</v>
      </c>
      <c r="B455" t="s">
        <v>340</v>
      </c>
      <c r="C455" t="s">
        <v>1256</v>
      </c>
      <c r="D455" t="s">
        <v>33</v>
      </c>
      <c r="E455" t="s">
        <v>15</v>
      </c>
      <c r="F455">
        <v>8000000</v>
      </c>
      <c r="G455">
        <v>30</v>
      </c>
      <c r="H455" s="1">
        <v>45017</v>
      </c>
      <c r="I455" t="s">
        <v>2104</v>
      </c>
    </row>
    <row r="456" spans="1:9" x14ac:dyDescent="0.25">
      <c r="A456" t="s">
        <v>1257</v>
      </c>
      <c r="B456" t="s">
        <v>81</v>
      </c>
      <c r="C456" t="s">
        <v>1258</v>
      </c>
      <c r="D456" t="s">
        <v>18</v>
      </c>
      <c r="E456" t="s">
        <v>34</v>
      </c>
      <c r="F456">
        <v>13000000</v>
      </c>
      <c r="G456">
        <v>4</v>
      </c>
      <c r="H456" s="1">
        <v>45242</v>
      </c>
      <c r="I456" t="s">
        <v>2104</v>
      </c>
    </row>
    <row r="457" spans="1:9" x14ac:dyDescent="0.25">
      <c r="A457" t="s">
        <v>1259</v>
      </c>
      <c r="B457" t="s">
        <v>84</v>
      </c>
      <c r="C457" t="s">
        <v>1260</v>
      </c>
      <c r="D457" t="s">
        <v>42</v>
      </c>
      <c r="E457" t="s">
        <v>15</v>
      </c>
      <c r="F457">
        <v>8000000</v>
      </c>
      <c r="G457">
        <v>14</v>
      </c>
      <c r="H457" s="1">
        <v>44385</v>
      </c>
      <c r="I457" t="s">
        <v>2104</v>
      </c>
    </row>
    <row r="458" spans="1:9" x14ac:dyDescent="0.25">
      <c r="A458" t="s">
        <v>1261</v>
      </c>
      <c r="B458" t="s">
        <v>51</v>
      </c>
      <c r="C458" t="s">
        <v>1262</v>
      </c>
      <c r="D458" t="s">
        <v>23</v>
      </c>
      <c r="E458" t="s">
        <v>24</v>
      </c>
      <c r="F458">
        <v>8000000</v>
      </c>
      <c r="G458">
        <v>4</v>
      </c>
      <c r="H458" s="1">
        <v>44689</v>
      </c>
      <c r="I458" t="s">
        <v>2104</v>
      </c>
    </row>
    <row r="459" spans="1:9" x14ac:dyDescent="0.25">
      <c r="A459" t="s">
        <v>1263</v>
      </c>
      <c r="B459" t="s">
        <v>351</v>
      </c>
      <c r="C459" t="s">
        <v>1264</v>
      </c>
      <c r="D459" t="s">
        <v>37</v>
      </c>
      <c r="E459" t="s">
        <v>19</v>
      </c>
      <c r="F459">
        <v>5500000</v>
      </c>
      <c r="G459">
        <v>30</v>
      </c>
      <c r="H459" s="1">
        <v>44004</v>
      </c>
      <c r="I459" t="s">
        <v>2104</v>
      </c>
    </row>
    <row r="460" spans="1:9" x14ac:dyDescent="0.25">
      <c r="A460" t="s">
        <v>1265</v>
      </c>
      <c r="B460" t="s">
        <v>49</v>
      </c>
      <c r="C460" t="s">
        <v>1266</v>
      </c>
      <c r="D460" t="s">
        <v>14</v>
      </c>
      <c r="E460" t="s">
        <v>15</v>
      </c>
      <c r="F460">
        <v>13000000</v>
      </c>
      <c r="G460">
        <v>36</v>
      </c>
      <c r="H460" s="1">
        <v>44806</v>
      </c>
      <c r="I460" t="s">
        <v>2104</v>
      </c>
    </row>
    <row r="461" spans="1:9" x14ac:dyDescent="0.25">
      <c r="A461" t="s">
        <v>1269</v>
      </c>
      <c r="B461" t="s">
        <v>177</v>
      </c>
      <c r="C461" t="s">
        <v>1270</v>
      </c>
      <c r="D461" t="s">
        <v>42</v>
      </c>
      <c r="E461" t="s">
        <v>15</v>
      </c>
      <c r="F461">
        <v>13000000</v>
      </c>
      <c r="G461">
        <v>36</v>
      </c>
      <c r="H461" s="1">
        <v>44810</v>
      </c>
      <c r="I461" t="s">
        <v>2104</v>
      </c>
    </row>
    <row r="462" spans="1:9" x14ac:dyDescent="0.25">
      <c r="A462" t="s">
        <v>1271</v>
      </c>
      <c r="B462" t="s">
        <v>89</v>
      </c>
      <c r="C462" t="s">
        <v>1272</v>
      </c>
      <c r="D462" t="s">
        <v>14</v>
      </c>
      <c r="E462" t="s">
        <v>24</v>
      </c>
      <c r="F462">
        <v>10500000</v>
      </c>
      <c r="G462">
        <v>12</v>
      </c>
      <c r="H462" s="1">
        <v>45475</v>
      </c>
      <c r="I462" t="s">
        <v>2104</v>
      </c>
    </row>
    <row r="463" spans="1:9" x14ac:dyDescent="0.25">
      <c r="A463" t="s">
        <v>1273</v>
      </c>
      <c r="B463" t="s">
        <v>444</v>
      </c>
      <c r="C463" t="s">
        <v>1274</v>
      </c>
      <c r="D463" t="s">
        <v>37</v>
      </c>
      <c r="E463" t="s">
        <v>19</v>
      </c>
      <c r="F463">
        <v>6500000</v>
      </c>
      <c r="G463">
        <v>24</v>
      </c>
      <c r="H463" s="1">
        <v>44769</v>
      </c>
      <c r="I463" t="s">
        <v>2104</v>
      </c>
    </row>
    <row r="464" spans="1:9" x14ac:dyDescent="0.25">
      <c r="A464" t="s">
        <v>1275</v>
      </c>
      <c r="B464" t="s">
        <v>121</v>
      </c>
      <c r="C464" t="s">
        <v>1276</v>
      </c>
      <c r="D464" t="s">
        <v>42</v>
      </c>
      <c r="E464" t="s">
        <v>34</v>
      </c>
      <c r="F464">
        <v>5500000</v>
      </c>
      <c r="G464">
        <v>13</v>
      </c>
      <c r="H464" s="1">
        <v>44540</v>
      </c>
      <c r="I464" t="s">
        <v>2104</v>
      </c>
    </row>
    <row r="465" spans="1:9" x14ac:dyDescent="0.25">
      <c r="A465" t="s">
        <v>1277</v>
      </c>
      <c r="B465" t="s">
        <v>94</v>
      </c>
      <c r="C465" t="s">
        <v>1278</v>
      </c>
      <c r="D465" t="s">
        <v>14</v>
      </c>
      <c r="E465" t="s">
        <v>15</v>
      </c>
      <c r="F465">
        <v>8000000</v>
      </c>
      <c r="G465">
        <v>18</v>
      </c>
      <c r="H465" s="1">
        <v>44017</v>
      </c>
      <c r="I465" t="s">
        <v>2104</v>
      </c>
    </row>
    <row r="466" spans="1:9" x14ac:dyDescent="0.25">
      <c r="A466" t="s">
        <v>1279</v>
      </c>
      <c r="B466" t="s">
        <v>16</v>
      </c>
      <c r="C466" t="s">
        <v>1280</v>
      </c>
      <c r="D466" t="s">
        <v>37</v>
      </c>
      <c r="E466" t="s">
        <v>15</v>
      </c>
      <c r="F466">
        <v>8000000</v>
      </c>
      <c r="G466">
        <v>0</v>
      </c>
      <c r="H466" s="1">
        <v>44620</v>
      </c>
      <c r="I466" t="s">
        <v>2104</v>
      </c>
    </row>
    <row r="467" spans="1:9" x14ac:dyDescent="0.25">
      <c r="A467" t="s">
        <v>1281</v>
      </c>
      <c r="B467" t="s">
        <v>539</v>
      </c>
      <c r="C467" t="s">
        <v>1282</v>
      </c>
      <c r="D467" t="s">
        <v>42</v>
      </c>
      <c r="E467" t="s">
        <v>24</v>
      </c>
      <c r="F467">
        <v>5500000</v>
      </c>
      <c r="G467">
        <v>12</v>
      </c>
      <c r="H467" s="1">
        <v>44283</v>
      </c>
      <c r="I467" t="s">
        <v>2104</v>
      </c>
    </row>
    <row r="468" spans="1:9" x14ac:dyDescent="0.25">
      <c r="A468" t="s">
        <v>1285</v>
      </c>
      <c r="B468" t="s">
        <v>75</v>
      </c>
      <c r="C468" t="s">
        <v>1286</v>
      </c>
      <c r="D468" t="s">
        <v>14</v>
      </c>
      <c r="E468" t="s">
        <v>34</v>
      </c>
      <c r="F468">
        <v>8000000</v>
      </c>
      <c r="G468">
        <v>33</v>
      </c>
      <c r="H468" s="1">
        <v>44459</v>
      </c>
      <c r="I468" t="s">
        <v>2104</v>
      </c>
    </row>
    <row r="469" spans="1:9" x14ac:dyDescent="0.25">
      <c r="A469" t="s">
        <v>1287</v>
      </c>
      <c r="B469" t="s">
        <v>1288</v>
      </c>
      <c r="C469" t="s">
        <v>1289</v>
      </c>
      <c r="D469" t="s">
        <v>33</v>
      </c>
      <c r="E469" t="s">
        <v>19</v>
      </c>
      <c r="F469">
        <v>13000000</v>
      </c>
      <c r="G469">
        <v>29</v>
      </c>
      <c r="H469" s="1">
        <v>44621</v>
      </c>
      <c r="I469" t="s">
        <v>2104</v>
      </c>
    </row>
    <row r="470" spans="1:9" x14ac:dyDescent="0.25">
      <c r="A470" t="s">
        <v>1290</v>
      </c>
      <c r="B470" t="s">
        <v>31</v>
      </c>
      <c r="C470" t="s">
        <v>1291</v>
      </c>
      <c r="D470" t="s">
        <v>23</v>
      </c>
      <c r="E470" t="s">
        <v>38</v>
      </c>
      <c r="F470">
        <v>6500000</v>
      </c>
      <c r="G470">
        <v>26</v>
      </c>
      <c r="H470" s="1">
        <v>45669</v>
      </c>
      <c r="I470" t="s">
        <v>2104</v>
      </c>
    </row>
    <row r="471" spans="1:9" x14ac:dyDescent="0.25">
      <c r="A471" t="s">
        <v>1292</v>
      </c>
      <c r="B471" t="s">
        <v>51</v>
      </c>
      <c r="C471" t="s">
        <v>1293</v>
      </c>
      <c r="D471" t="s">
        <v>33</v>
      </c>
      <c r="E471" t="s">
        <v>38</v>
      </c>
      <c r="F471">
        <v>5500000</v>
      </c>
      <c r="G471">
        <v>27</v>
      </c>
      <c r="H471" s="1">
        <v>44320</v>
      </c>
      <c r="I471" t="s">
        <v>2104</v>
      </c>
    </row>
    <row r="472" spans="1:9" x14ac:dyDescent="0.25">
      <c r="A472" t="s">
        <v>1294</v>
      </c>
      <c r="B472" t="s">
        <v>877</v>
      </c>
      <c r="C472" t="s">
        <v>1295</v>
      </c>
      <c r="D472" t="s">
        <v>14</v>
      </c>
      <c r="E472" t="s">
        <v>24</v>
      </c>
      <c r="F472">
        <v>10500000</v>
      </c>
      <c r="G472">
        <v>28</v>
      </c>
      <c r="H472" s="1">
        <v>44998</v>
      </c>
      <c r="I472" t="s">
        <v>2104</v>
      </c>
    </row>
    <row r="473" spans="1:9" x14ac:dyDescent="0.25">
      <c r="A473" t="s">
        <v>1296</v>
      </c>
      <c r="B473" t="s">
        <v>142</v>
      </c>
      <c r="C473" t="s">
        <v>1297</v>
      </c>
      <c r="D473" t="s">
        <v>23</v>
      </c>
      <c r="E473" t="s">
        <v>34</v>
      </c>
      <c r="F473">
        <v>6500000</v>
      </c>
      <c r="G473">
        <v>3</v>
      </c>
      <c r="H473" s="1">
        <v>45619</v>
      </c>
      <c r="I473" t="s">
        <v>2104</v>
      </c>
    </row>
    <row r="474" spans="1:9" x14ac:dyDescent="0.25">
      <c r="A474" t="s">
        <v>1298</v>
      </c>
      <c r="B474" t="s">
        <v>187</v>
      </c>
      <c r="C474" t="s">
        <v>1299</v>
      </c>
      <c r="D474" t="s">
        <v>42</v>
      </c>
      <c r="E474" t="s">
        <v>24</v>
      </c>
      <c r="F474">
        <v>6500000</v>
      </c>
      <c r="G474">
        <v>16</v>
      </c>
      <c r="H474" s="1">
        <v>45319</v>
      </c>
      <c r="I474" t="s">
        <v>2104</v>
      </c>
    </row>
    <row r="475" spans="1:9" x14ac:dyDescent="0.25">
      <c r="A475" t="s">
        <v>1302</v>
      </c>
      <c r="B475" t="s">
        <v>153</v>
      </c>
      <c r="C475" t="s">
        <v>1303</v>
      </c>
      <c r="D475" t="s">
        <v>42</v>
      </c>
      <c r="E475" t="s">
        <v>15</v>
      </c>
      <c r="F475">
        <v>8000000</v>
      </c>
      <c r="G475">
        <v>29</v>
      </c>
      <c r="H475" s="1">
        <v>44939</v>
      </c>
      <c r="I475" t="s">
        <v>2104</v>
      </c>
    </row>
    <row r="476" spans="1:9" x14ac:dyDescent="0.25">
      <c r="A476" t="s">
        <v>1304</v>
      </c>
      <c r="B476" t="s">
        <v>217</v>
      </c>
      <c r="C476" t="s">
        <v>1305</v>
      </c>
      <c r="D476" t="s">
        <v>23</v>
      </c>
      <c r="E476" t="s">
        <v>15</v>
      </c>
      <c r="F476">
        <v>13000000</v>
      </c>
      <c r="G476">
        <v>26</v>
      </c>
      <c r="H476" s="1">
        <v>44784</v>
      </c>
      <c r="I476" t="s">
        <v>2104</v>
      </c>
    </row>
    <row r="477" spans="1:9" x14ac:dyDescent="0.25">
      <c r="A477" t="s">
        <v>1306</v>
      </c>
      <c r="B477" t="s">
        <v>40</v>
      </c>
      <c r="C477" t="s">
        <v>1307</v>
      </c>
      <c r="D477" t="s">
        <v>37</v>
      </c>
      <c r="E477" t="s">
        <v>38</v>
      </c>
      <c r="F477">
        <v>10500000</v>
      </c>
      <c r="G477">
        <v>23</v>
      </c>
      <c r="H477" s="1">
        <v>44961</v>
      </c>
      <c r="I477" t="s">
        <v>2104</v>
      </c>
    </row>
    <row r="478" spans="1:9" x14ac:dyDescent="0.25">
      <c r="A478" t="s">
        <v>1308</v>
      </c>
      <c r="B478" t="s">
        <v>1309</v>
      </c>
      <c r="C478" t="s">
        <v>1310</v>
      </c>
      <c r="D478" t="s">
        <v>33</v>
      </c>
      <c r="E478" t="s">
        <v>24</v>
      </c>
      <c r="F478">
        <v>13000000</v>
      </c>
      <c r="G478">
        <v>15</v>
      </c>
      <c r="H478" s="1">
        <v>44978</v>
      </c>
      <c r="I478" t="s">
        <v>2104</v>
      </c>
    </row>
    <row r="479" spans="1:9" x14ac:dyDescent="0.25">
      <c r="A479" t="s">
        <v>1313</v>
      </c>
      <c r="B479" t="s">
        <v>771</v>
      </c>
      <c r="C479" t="s">
        <v>1314</v>
      </c>
      <c r="D479" t="s">
        <v>33</v>
      </c>
      <c r="E479" t="s">
        <v>34</v>
      </c>
      <c r="F479">
        <v>6500000</v>
      </c>
      <c r="G479">
        <v>25</v>
      </c>
      <c r="H479" s="1">
        <v>44240</v>
      </c>
      <c r="I479" t="s">
        <v>2104</v>
      </c>
    </row>
    <row r="480" spans="1:9" x14ac:dyDescent="0.25">
      <c r="A480" t="s">
        <v>1317</v>
      </c>
      <c r="B480" t="s">
        <v>51</v>
      </c>
      <c r="C480" t="s">
        <v>1318</v>
      </c>
      <c r="D480" t="s">
        <v>37</v>
      </c>
      <c r="E480" t="s">
        <v>24</v>
      </c>
      <c r="F480">
        <v>5500000</v>
      </c>
      <c r="G480">
        <v>31</v>
      </c>
      <c r="H480" s="1">
        <v>45407</v>
      </c>
      <c r="I480" t="s">
        <v>2104</v>
      </c>
    </row>
    <row r="481" spans="1:9" x14ac:dyDescent="0.25">
      <c r="A481" t="s">
        <v>1319</v>
      </c>
      <c r="B481" t="s">
        <v>84</v>
      </c>
      <c r="C481" t="s">
        <v>1320</v>
      </c>
      <c r="D481" t="s">
        <v>42</v>
      </c>
      <c r="E481" t="s">
        <v>15</v>
      </c>
      <c r="F481">
        <v>5500000</v>
      </c>
      <c r="G481">
        <v>36</v>
      </c>
      <c r="H481" s="1">
        <v>44443</v>
      </c>
      <c r="I481" t="s">
        <v>2104</v>
      </c>
    </row>
    <row r="482" spans="1:9" x14ac:dyDescent="0.25">
      <c r="A482" t="s">
        <v>1323</v>
      </c>
      <c r="B482" t="s">
        <v>66</v>
      </c>
      <c r="C482" t="s">
        <v>1324</v>
      </c>
      <c r="D482" t="s">
        <v>14</v>
      </c>
      <c r="E482" t="s">
        <v>38</v>
      </c>
      <c r="F482">
        <v>5500000</v>
      </c>
      <c r="G482">
        <v>0</v>
      </c>
      <c r="H482" s="1">
        <v>45879</v>
      </c>
      <c r="I482" t="s">
        <v>2104</v>
      </c>
    </row>
    <row r="483" spans="1:9" x14ac:dyDescent="0.25">
      <c r="A483" t="s">
        <v>1325</v>
      </c>
      <c r="B483" t="s">
        <v>430</v>
      </c>
      <c r="C483" t="s">
        <v>1326</v>
      </c>
      <c r="D483" t="s">
        <v>37</v>
      </c>
      <c r="E483" t="s">
        <v>19</v>
      </c>
      <c r="F483">
        <v>8000000</v>
      </c>
      <c r="G483">
        <v>26</v>
      </c>
      <c r="H483" s="1">
        <v>44251</v>
      </c>
      <c r="I483" t="s">
        <v>2104</v>
      </c>
    </row>
    <row r="484" spans="1:9" x14ac:dyDescent="0.25">
      <c r="A484" t="s">
        <v>1327</v>
      </c>
      <c r="B484" t="s">
        <v>805</v>
      </c>
      <c r="C484" t="s">
        <v>1328</v>
      </c>
      <c r="D484" t="s">
        <v>23</v>
      </c>
      <c r="E484" t="s">
        <v>24</v>
      </c>
      <c r="F484">
        <v>6500000</v>
      </c>
      <c r="G484">
        <v>24</v>
      </c>
      <c r="H484" s="1">
        <v>45949</v>
      </c>
      <c r="I484" t="s">
        <v>2104</v>
      </c>
    </row>
    <row r="485" spans="1:9" x14ac:dyDescent="0.25">
      <c r="A485" t="s">
        <v>1329</v>
      </c>
      <c r="B485" t="s">
        <v>1288</v>
      </c>
      <c r="C485" t="s">
        <v>1330</v>
      </c>
      <c r="D485" t="s">
        <v>42</v>
      </c>
      <c r="E485" t="s">
        <v>19</v>
      </c>
      <c r="F485">
        <v>10500000</v>
      </c>
      <c r="G485">
        <v>9</v>
      </c>
      <c r="H485" s="1">
        <v>44869</v>
      </c>
      <c r="I485" t="s">
        <v>2104</v>
      </c>
    </row>
    <row r="486" spans="1:9" x14ac:dyDescent="0.25">
      <c r="A486" t="s">
        <v>1331</v>
      </c>
      <c r="B486" t="s">
        <v>522</v>
      </c>
      <c r="C486" t="s">
        <v>1332</v>
      </c>
      <c r="D486" t="s">
        <v>23</v>
      </c>
      <c r="E486" t="s">
        <v>15</v>
      </c>
      <c r="F486">
        <v>10500000</v>
      </c>
      <c r="G486">
        <v>8</v>
      </c>
      <c r="H486" s="1">
        <v>45190</v>
      </c>
      <c r="I486" t="s">
        <v>2104</v>
      </c>
    </row>
    <row r="487" spans="1:9" x14ac:dyDescent="0.25">
      <c r="A487" t="s">
        <v>1333</v>
      </c>
      <c r="B487" t="s">
        <v>43</v>
      </c>
      <c r="C487" t="s">
        <v>1334</v>
      </c>
      <c r="D487" t="s">
        <v>23</v>
      </c>
      <c r="E487" t="s">
        <v>24</v>
      </c>
      <c r="F487">
        <v>10500000</v>
      </c>
      <c r="G487">
        <v>28</v>
      </c>
      <c r="H487" s="1">
        <v>45785</v>
      </c>
      <c r="I487" t="s">
        <v>2104</v>
      </c>
    </row>
    <row r="488" spans="1:9" x14ac:dyDescent="0.25">
      <c r="A488" t="s">
        <v>1335</v>
      </c>
      <c r="B488" t="s">
        <v>174</v>
      </c>
      <c r="C488" t="s">
        <v>1336</v>
      </c>
      <c r="D488" t="s">
        <v>18</v>
      </c>
      <c r="E488" t="s">
        <v>19</v>
      </c>
      <c r="F488">
        <v>10500000</v>
      </c>
      <c r="G488">
        <v>39</v>
      </c>
      <c r="H488" s="1">
        <v>45157</v>
      </c>
      <c r="I488" t="s">
        <v>2104</v>
      </c>
    </row>
    <row r="489" spans="1:9" x14ac:dyDescent="0.25">
      <c r="A489" t="s">
        <v>1337</v>
      </c>
      <c r="B489" t="s">
        <v>425</v>
      </c>
      <c r="C489" t="s">
        <v>1338</v>
      </c>
      <c r="D489" t="s">
        <v>37</v>
      </c>
      <c r="E489" t="s">
        <v>38</v>
      </c>
      <c r="F489">
        <v>6500000</v>
      </c>
      <c r="G489">
        <v>30</v>
      </c>
      <c r="H489" s="1">
        <v>44277</v>
      </c>
      <c r="I489" t="s">
        <v>2104</v>
      </c>
    </row>
    <row r="490" spans="1:9" x14ac:dyDescent="0.25">
      <c r="A490" t="s">
        <v>1339</v>
      </c>
      <c r="B490" t="s">
        <v>174</v>
      </c>
      <c r="C490" t="s">
        <v>1340</v>
      </c>
      <c r="D490" t="s">
        <v>42</v>
      </c>
      <c r="E490" t="s">
        <v>38</v>
      </c>
      <c r="F490">
        <v>5500000</v>
      </c>
      <c r="G490">
        <v>38</v>
      </c>
      <c r="H490" s="1">
        <v>44147</v>
      </c>
      <c r="I490" t="s">
        <v>2104</v>
      </c>
    </row>
    <row r="491" spans="1:9" x14ac:dyDescent="0.25">
      <c r="A491" t="s">
        <v>1341</v>
      </c>
      <c r="B491" t="s">
        <v>539</v>
      </c>
      <c r="C491" t="s">
        <v>1342</v>
      </c>
      <c r="D491" t="s">
        <v>33</v>
      </c>
      <c r="E491" t="s">
        <v>19</v>
      </c>
      <c r="F491">
        <v>13000000</v>
      </c>
      <c r="G491">
        <v>12</v>
      </c>
      <c r="H491" s="1">
        <v>45821</v>
      </c>
      <c r="I491" t="s">
        <v>2104</v>
      </c>
    </row>
    <row r="492" spans="1:9" x14ac:dyDescent="0.25">
      <c r="A492" t="s">
        <v>1343</v>
      </c>
      <c r="B492" t="s">
        <v>46</v>
      </c>
      <c r="C492" t="s">
        <v>1344</v>
      </c>
      <c r="D492" t="s">
        <v>33</v>
      </c>
      <c r="E492" t="s">
        <v>38</v>
      </c>
      <c r="F492">
        <v>13000000</v>
      </c>
      <c r="G492">
        <v>11</v>
      </c>
      <c r="H492" s="1">
        <v>44387</v>
      </c>
      <c r="I492" t="s">
        <v>2104</v>
      </c>
    </row>
    <row r="493" spans="1:9" x14ac:dyDescent="0.25">
      <c r="A493" t="s">
        <v>1345</v>
      </c>
      <c r="B493" t="s">
        <v>153</v>
      </c>
      <c r="C493" t="s">
        <v>1346</v>
      </c>
      <c r="D493" t="s">
        <v>42</v>
      </c>
      <c r="E493" t="s">
        <v>38</v>
      </c>
      <c r="F493">
        <v>6500000</v>
      </c>
      <c r="G493">
        <v>29</v>
      </c>
      <c r="H493" s="1">
        <v>45949</v>
      </c>
      <c r="I493" t="s">
        <v>2104</v>
      </c>
    </row>
    <row r="494" spans="1:9" x14ac:dyDescent="0.25">
      <c r="A494" t="s">
        <v>1347</v>
      </c>
      <c r="B494" t="s">
        <v>105</v>
      </c>
      <c r="C494" t="s">
        <v>1348</v>
      </c>
      <c r="D494" t="s">
        <v>37</v>
      </c>
      <c r="E494" t="s">
        <v>34</v>
      </c>
      <c r="F494">
        <v>10500000</v>
      </c>
      <c r="G494">
        <v>6</v>
      </c>
      <c r="H494" s="1">
        <v>45279</v>
      </c>
      <c r="I494" t="s">
        <v>2104</v>
      </c>
    </row>
    <row r="495" spans="1:9" x14ac:dyDescent="0.25">
      <c r="A495" t="s">
        <v>1349</v>
      </c>
      <c r="B495" t="s">
        <v>153</v>
      </c>
      <c r="C495" t="s">
        <v>1350</v>
      </c>
      <c r="D495" t="s">
        <v>14</v>
      </c>
      <c r="E495" t="s">
        <v>38</v>
      </c>
      <c r="F495">
        <v>10500000</v>
      </c>
      <c r="G495">
        <v>30</v>
      </c>
      <c r="H495" s="1">
        <v>44266</v>
      </c>
      <c r="I495" t="s">
        <v>2104</v>
      </c>
    </row>
    <row r="496" spans="1:9" x14ac:dyDescent="0.25">
      <c r="A496" t="s">
        <v>1351</v>
      </c>
      <c r="B496" t="s">
        <v>316</v>
      </c>
      <c r="C496" t="s">
        <v>1352</v>
      </c>
      <c r="D496" t="s">
        <v>37</v>
      </c>
      <c r="E496" t="s">
        <v>34</v>
      </c>
      <c r="F496">
        <v>8000000</v>
      </c>
      <c r="G496">
        <v>19</v>
      </c>
      <c r="H496" s="1">
        <v>45391</v>
      </c>
      <c r="I496" t="s">
        <v>2104</v>
      </c>
    </row>
    <row r="497" spans="1:9" x14ac:dyDescent="0.25">
      <c r="A497" t="s">
        <v>1353</v>
      </c>
      <c r="B497" t="s">
        <v>105</v>
      </c>
      <c r="C497" t="s">
        <v>1354</v>
      </c>
      <c r="D497" t="s">
        <v>18</v>
      </c>
      <c r="E497" t="s">
        <v>19</v>
      </c>
      <c r="F497">
        <v>8000000</v>
      </c>
      <c r="G497">
        <v>17</v>
      </c>
      <c r="H497" s="1">
        <v>44972</v>
      </c>
      <c r="I497" t="s">
        <v>2104</v>
      </c>
    </row>
    <row r="498" spans="1:9" x14ac:dyDescent="0.25">
      <c r="A498" t="s">
        <v>1357</v>
      </c>
      <c r="B498" t="s">
        <v>369</v>
      </c>
      <c r="C498" t="s">
        <v>1358</v>
      </c>
      <c r="D498" t="s">
        <v>42</v>
      </c>
      <c r="E498" t="s">
        <v>19</v>
      </c>
      <c r="F498">
        <v>10500000</v>
      </c>
      <c r="G498">
        <v>34</v>
      </c>
      <c r="H498" s="1">
        <v>45088</v>
      </c>
      <c r="I498" t="s">
        <v>2104</v>
      </c>
    </row>
    <row r="499" spans="1:9" x14ac:dyDescent="0.25">
      <c r="A499" t="s">
        <v>1359</v>
      </c>
      <c r="B499" t="s">
        <v>464</v>
      </c>
      <c r="C499" t="s">
        <v>1360</v>
      </c>
      <c r="D499" t="s">
        <v>37</v>
      </c>
      <c r="E499" t="s">
        <v>15</v>
      </c>
      <c r="F499">
        <v>8000000</v>
      </c>
      <c r="G499">
        <v>10</v>
      </c>
      <c r="H499" s="1">
        <v>45628</v>
      </c>
      <c r="I499" t="s">
        <v>2104</v>
      </c>
    </row>
    <row r="500" spans="1:9" x14ac:dyDescent="0.25">
      <c r="A500" t="s">
        <v>1361</v>
      </c>
      <c r="B500" t="s">
        <v>327</v>
      </c>
      <c r="C500" t="s">
        <v>1362</v>
      </c>
      <c r="D500" t="s">
        <v>18</v>
      </c>
      <c r="E500" t="s">
        <v>19</v>
      </c>
      <c r="F500">
        <v>6500000</v>
      </c>
      <c r="G500">
        <v>24</v>
      </c>
      <c r="H500" s="1">
        <v>44191</v>
      </c>
      <c r="I500" t="s">
        <v>2104</v>
      </c>
    </row>
    <row r="501" spans="1:9" x14ac:dyDescent="0.25">
      <c r="A501" t="s">
        <v>1363</v>
      </c>
      <c r="B501" t="s">
        <v>180</v>
      </c>
      <c r="C501" t="s">
        <v>1364</v>
      </c>
      <c r="D501" t="s">
        <v>37</v>
      </c>
      <c r="E501" t="s">
        <v>19</v>
      </c>
      <c r="F501">
        <v>5500000</v>
      </c>
      <c r="G501">
        <v>16</v>
      </c>
      <c r="H501" s="1">
        <v>44653</v>
      </c>
      <c r="I501" t="s">
        <v>2104</v>
      </c>
    </row>
    <row r="502" spans="1:9" x14ac:dyDescent="0.25">
      <c r="A502" t="s">
        <v>1365</v>
      </c>
      <c r="B502" t="s">
        <v>66</v>
      </c>
      <c r="C502" t="s">
        <v>1366</v>
      </c>
      <c r="D502" t="s">
        <v>14</v>
      </c>
      <c r="E502" t="s">
        <v>19</v>
      </c>
      <c r="F502">
        <v>13000000</v>
      </c>
      <c r="G502">
        <v>35</v>
      </c>
      <c r="H502" s="1">
        <v>43845</v>
      </c>
      <c r="I502" t="s">
        <v>2104</v>
      </c>
    </row>
    <row r="503" spans="1:9" x14ac:dyDescent="0.25">
      <c r="A503" t="s">
        <v>1367</v>
      </c>
      <c r="B503" t="s">
        <v>345</v>
      </c>
      <c r="C503" t="s">
        <v>1368</v>
      </c>
      <c r="D503" t="s">
        <v>37</v>
      </c>
      <c r="E503" t="s">
        <v>15</v>
      </c>
      <c r="F503">
        <v>10500000</v>
      </c>
      <c r="G503">
        <v>33</v>
      </c>
      <c r="H503" s="1">
        <v>44324</v>
      </c>
      <c r="I503" t="s">
        <v>2104</v>
      </c>
    </row>
    <row r="504" spans="1:9" x14ac:dyDescent="0.25">
      <c r="A504" t="s">
        <v>1373</v>
      </c>
      <c r="B504" t="s">
        <v>1288</v>
      </c>
      <c r="C504" t="s">
        <v>1374</v>
      </c>
      <c r="D504" t="s">
        <v>14</v>
      </c>
      <c r="E504" t="s">
        <v>38</v>
      </c>
      <c r="F504">
        <v>6500000</v>
      </c>
      <c r="G504">
        <v>30</v>
      </c>
      <c r="H504" s="1">
        <v>45697</v>
      </c>
      <c r="I504" t="s">
        <v>2104</v>
      </c>
    </row>
    <row r="505" spans="1:9" x14ac:dyDescent="0.25">
      <c r="A505" t="s">
        <v>1375</v>
      </c>
      <c r="B505" t="s">
        <v>86</v>
      </c>
      <c r="C505" t="s">
        <v>1376</v>
      </c>
      <c r="D505" t="s">
        <v>18</v>
      </c>
      <c r="E505" t="s">
        <v>15</v>
      </c>
      <c r="F505">
        <v>10500000</v>
      </c>
      <c r="G505">
        <v>39</v>
      </c>
      <c r="H505" s="1">
        <v>46003</v>
      </c>
      <c r="I505" t="s">
        <v>2104</v>
      </c>
    </row>
    <row r="506" spans="1:9" x14ac:dyDescent="0.25">
      <c r="A506" t="s">
        <v>1377</v>
      </c>
      <c r="B506" t="s">
        <v>180</v>
      </c>
      <c r="C506" t="s">
        <v>1378</v>
      </c>
      <c r="D506" t="s">
        <v>42</v>
      </c>
      <c r="E506" t="s">
        <v>15</v>
      </c>
      <c r="F506">
        <v>10500000</v>
      </c>
      <c r="G506">
        <v>12</v>
      </c>
      <c r="H506" s="1">
        <v>44828</v>
      </c>
      <c r="I506" t="s">
        <v>2104</v>
      </c>
    </row>
    <row r="507" spans="1:9" x14ac:dyDescent="0.25">
      <c r="A507" t="s">
        <v>1379</v>
      </c>
      <c r="B507" t="s">
        <v>369</v>
      </c>
      <c r="C507" t="s">
        <v>1380</v>
      </c>
      <c r="D507" t="s">
        <v>18</v>
      </c>
      <c r="E507" t="s">
        <v>34</v>
      </c>
      <c r="F507">
        <v>13000000</v>
      </c>
      <c r="G507">
        <v>25</v>
      </c>
      <c r="H507" s="1">
        <v>44419</v>
      </c>
      <c r="I507" t="s">
        <v>2104</v>
      </c>
    </row>
    <row r="508" spans="1:9" x14ac:dyDescent="0.25">
      <c r="A508" t="s">
        <v>1383</v>
      </c>
      <c r="B508" t="s">
        <v>299</v>
      </c>
      <c r="C508" t="s">
        <v>1384</v>
      </c>
      <c r="D508" t="s">
        <v>14</v>
      </c>
      <c r="E508" t="s">
        <v>19</v>
      </c>
      <c r="F508">
        <v>8000000</v>
      </c>
      <c r="G508">
        <v>15</v>
      </c>
      <c r="H508" s="1">
        <v>46013</v>
      </c>
      <c r="I508" t="s">
        <v>2104</v>
      </c>
    </row>
    <row r="509" spans="1:9" x14ac:dyDescent="0.25">
      <c r="A509" t="s">
        <v>1389</v>
      </c>
      <c r="B509" t="s">
        <v>219</v>
      </c>
      <c r="C509" t="s">
        <v>1390</v>
      </c>
      <c r="D509" t="s">
        <v>14</v>
      </c>
      <c r="E509" t="s">
        <v>24</v>
      </c>
      <c r="F509">
        <v>13000000</v>
      </c>
      <c r="G509">
        <v>9</v>
      </c>
      <c r="H509" s="1">
        <v>45133</v>
      </c>
      <c r="I509" t="s">
        <v>2104</v>
      </c>
    </row>
    <row r="510" spans="1:9" x14ac:dyDescent="0.25">
      <c r="A510" t="s">
        <v>1391</v>
      </c>
      <c r="B510" t="s">
        <v>1288</v>
      </c>
      <c r="C510" t="s">
        <v>1392</v>
      </c>
      <c r="D510" t="s">
        <v>14</v>
      </c>
      <c r="E510" t="s">
        <v>15</v>
      </c>
      <c r="F510">
        <v>6500000</v>
      </c>
      <c r="G510">
        <v>30</v>
      </c>
      <c r="H510" s="1">
        <v>44918</v>
      </c>
      <c r="I510" t="s">
        <v>2104</v>
      </c>
    </row>
    <row r="511" spans="1:9" x14ac:dyDescent="0.25">
      <c r="A511" t="s">
        <v>1393</v>
      </c>
      <c r="B511" t="s">
        <v>208</v>
      </c>
      <c r="C511" t="s">
        <v>1394</v>
      </c>
      <c r="D511" t="s">
        <v>14</v>
      </c>
      <c r="E511" t="s">
        <v>38</v>
      </c>
      <c r="F511">
        <v>8000000</v>
      </c>
      <c r="G511">
        <v>4</v>
      </c>
      <c r="H511" s="1">
        <v>45193</v>
      </c>
      <c r="I511" t="s">
        <v>2104</v>
      </c>
    </row>
    <row r="512" spans="1:9" x14ac:dyDescent="0.25">
      <c r="A512" t="s">
        <v>1397</v>
      </c>
      <c r="B512" t="s">
        <v>127</v>
      </c>
      <c r="C512" t="s">
        <v>1398</v>
      </c>
      <c r="D512" t="s">
        <v>37</v>
      </c>
      <c r="E512" t="s">
        <v>15</v>
      </c>
      <c r="F512">
        <v>6500000</v>
      </c>
      <c r="G512">
        <v>29</v>
      </c>
      <c r="H512" s="1">
        <v>45089</v>
      </c>
      <c r="I512" t="s">
        <v>2104</v>
      </c>
    </row>
    <row r="513" spans="1:9" x14ac:dyDescent="0.25">
      <c r="A513" t="s">
        <v>1399</v>
      </c>
      <c r="B513" t="s">
        <v>94</v>
      </c>
      <c r="C513" t="s">
        <v>1400</v>
      </c>
      <c r="D513" t="s">
        <v>18</v>
      </c>
      <c r="E513" t="s">
        <v>15</v>
      </c>
      <c r="F513">
        <v>13000000</v>
      </c>
      <c r="G513">
        <v>3</v>
      </c>
      <c r="H513" s="1">
        <v>45123</v>
      </c>
      <c r="I513" t="s">
        <v>2104</v>
      </c>
    </row>
    <row r="514" spans="1:9" x14ac:dyDescent="0.25">
      <c r="A514" t="s">
        <v>1401</v>
      </c>
      <c r="B514" t="s">
        <v>258</v>
      </c>
      <c r="C514" t="s">
        <v>1402</v>
      </c>
      <c r="D514" t="s">
        <v>14</v>
      </c>
      <c r="E514" t="s">
        <v>19</v>
      </c>
      <c r="F514">
        <v>10500000</v>
      </c>
      <c r="G514">
        <v>21</v>
      </c>
      <c r="H514" s="1">
        <v>44603</v>
      </c>
      <c r="I514" t="s">
        <v>2104</v>
      </c>
    </row>
    <row r="515" spans="1:9" x14ac:dyDescent="0.25">
      <c r="A515" t="s">
        <v>1405</v>
      </c>
      <c r="B515" t="s">
        <v>187</v>
      </c>
      <c r="C515" t="s">
        <v>1406</v>
      </c>
      <c r="D515" t="s">
        <v>42</v>
      </c>
      <c r="E515" t="s">
        <v>34</v>
      </c>
      <c r="F515">
        <v>13000000</v>
      </c>
      <c r="G515">
        <v>38</v>
      </c>
      <c r="H515" s="1">
        <v>44060</v>
      </c>
      <c r="I515" t="s">
        <v>2104</v>
      </c>
    </row>
    <row r="516" spans="1:9" x14ac:dyDescent="0.25">
      <c r="A516" t="s">
        <v>1407</v>
      </c>
      <c r="B516" t="s">
        <v>219</v>
      </c>
      <c r="C516" t="s">
        <v>1408</v>
      </c>
      <c r="D516" t="s">
        <v>42</v>
      </c>
      <c r="E516" t="s">
        <v>34</v>
      </c>
      <c r="F516">
        <v>6500000</v>
      </c>
      <c r="G516">
        <v>30</v>
      </c>
      <c r="H516" s="1">
        <v>43844</v>
      </c>
      <c r="I516" t="s">
        <v>2104</v>
      </c>
    </row>
    <row r="517" spans="1:9" x14ac:dyDescent="0.25">
      <c r="A517" t="s">
        <v>1409</v>
      </c>
      <c r="B517" t="s">
        <v>483</v>
      </c>
      <c r="C517" t="s">
        <v>1410</v>
      </c>
      <c r="D517" t="s">
        <v>37</v>
      </c>
      <c r="E517" t="s">
        <v>19</v>
      </c>
      <c r="F517">
        <v>13000000</v>
      </c>
      <c r="G517">
        <v>37</v>
      </c>
      <c r="H517" s="1">
        <v>44934</v>
      </c>
      <c r="I517" t="s">
        <v>2104</v>
      </c>
    </row>
    <row r="518" spans="1:9" x14ac:dyDescent="0.25">
      <c r="A518" t="s">
        <v>1411</v>
      </c>
      <c r="B518" t="s">
        <v>264</v>
      </c>
      <c r="C518" t="s">
        <v>1412</v>
      </c>
      <c r="D518" t="s">
        <v>18</v>
      </c>
      <c r="E518" t="s">
        <v>38</v>
      </c>
      <c r="F518">
        <v>8000000</v>
      </c>
      <c r="G518">
        <v>23</v>
      </c>
      <c r="H518" s="1">
        <v>45114</v>
      </c>
      <c r="I518" t="s">
        <v>2104</v>
      </c>
    </row>
    <row r="519" spans="1:9" x14ac:dyDescent="0.25">
      <c r="A519" t="s">
        <v>1413</v>
      </c>
      <c r="B519" t="s">
        <v>75</v>
      </c>
      <c r="C519" t="s">
        <v>1414</v>
      </c>
      <c r="D519" t="s">
        <v>33</v>
      </c>
      <c r="E519" t="s">
        <v>38</v>
      </c>
      <c r="F519">
        <v>10500000</v>
      </c>
      <c r="G519">
        <v>10</v>
      </c>
      <c r="H519" s="1">
        <v>45464</v>
      </c>
      <c r="I519" t="s">
        <v>2104</v>
      </c>
    </row>
    <row r="520" spans="1:9" x14ac:dyDescent="0.25">
      <c r="A520" t="s">
        <v>1415</v>
      </c>
      <c r="B520" t="s">
        <v>450</v>
      </c>
      <c r="C520" t="s">
        <v>1416</v>
      </c>
      <c r="D520" t="s">
        <v>42</v>
      </c>
      <c r="E520" t="s">
        <v>15</v>
      </c>
      <c r="F520">
        <v>10500000</v>
      </c>
      <c r="G520">
        <v>8</v>
      </c>
      <c r="H520" s="1">
        <v>45375</v>
      </c>
      <c r="I520" t="s">
        <v>2104</v>
      </c>
    </row>
    <row r="521" spans="1:9" x14ac:dyDescent="0.25">
      <c r="A521" t="s">
        <v>1417</v>
      </c>
      <c r="B521" t="s">
        <v>129</v>
      </c>
      <c r="C521" t="s">
        <v>1418</v>
      </c>
      <c r="D521" t="s">
        <v>33</v>
      </c>
      <c r="E521" t="s">
        <v>19</v>
      </c>
      <c r="F521">
        <v>8000000</v>
      </c>
      <c r="G521">
        <v>22</v>
      </c>
      <c r="H521" s="1">
        <v>44646</v>
      </c>
      <c r="I521" t="s">
        <v>2104</v>
      </c>
    </row>
    <row r="522" spans="1:9" x14ac:dyDescent="0.25">
      <c r="A522" t="s">
        <v>1421</v>
      </c>
      <c r="B522" t="s">
        <v>94</v>
      </c>
      <c r="C522" t="s">
        <v>1422</v>
      </c>
      <c r="D522" t="s">
        <v>18</v>
      </c>
      <c r="E522" t="s">
        <v>24</v>
      </c>
      <c r="F522">
        <v>13000000</v>
      </c>
      <c r="G522">
        <v>8</v>
      </c>
      <c r="H522" s="1">
        <v>45506</v>
      </c>
      <c r="I522" t="s">
        <v>2104</v>
      </c>
    </row>
    <row r="523" spans="1:9" x14ac:dyDescent="0.25">
      <c r="A523" t="s">
        <v>1425</v>
      </c>
      <c r="B523" t="s">
        <v>439</v>
      </c>
      <c r="C523" t="s">
        <v>1426</v>
      </c>
      <c r="D523" t="s">
        <v>33</v>
      </c>
      <c r="E523" t="s">
        <v>15</v>
      </c>
      <c r="F523">
        <v>8000000</v>
      </c>
      <c r="G523">
        <v>34</v>
      </c>
      <c r="H523" s="1">
        <v>44567</v>
      </c>
      <c r="I523" t="s">
        <v>2104</v>
      </c>
    </row>
    <row r="524" spans="1:9" x14ac:dyDescent="0.25">
      <c r="A524" t="s">
        <v>1427</v>
      </c>
      <c r="B524" t="s">
        <v>60</v>
      </c>
      <c r="C524" t="s">
        <v>1428</v>
      </c>
      <c r="D524" t="s">
        <v>33</v>
      </c>
      <c r="E524" t="s">
        <v>34</v>
      </c>
      <c r="F524">
        <v>8000000</v>
      </c>
      <c r="G524">
        <v>8</v>
      </c>
      <c r="H524" s="1">
        <v>43908</v>
      </c>
      <c r="I524" t="s">
        <v>2104</v>
      </c>
    </row>
    <row r="525" spans="1:9" x14ac:dyDescent="0.25">
      <c r="A525" t="s">
        <v>1431</v>
      </c>
      <c r="B525" t="s">
        <v>113</v>
      </c>
      <c r="C525" t="s">
        <v>1432</v>
      </c>
      <c r="D525" t="s">
        <v>14</v>
      </c>
      <c r="E525" t="s">
        <v>15</v>
      </c>
      <c r="F525">
        <v>10500000</v>
      </c>
      <c r="G525">
        <v>0</v>
      </c>
      <c r="H525" s="1">
        <v>45764</v>
      </c>
      <c r="I525" t="s">
        <v>2104</v>
      </c>
    </row>
    <row r="526" spans="1:9" x14ac:dyDescent="0.25">
      <c r="A526" t="s">
        <v>1433</v>
      </c>
      <c r="B526" t="s">
        <v>123</v>
      </c>
      <c r="C526" t="s">
        <v>1434</v>
      </c>
      <c r="D526" t="s">
        <v>23</v>
      </c>
      <c r="E526" t="s">
        <v>19</v>
      </c>
      <c r="F526">
        <v>6500000</v>
      </c>
      <c r="G526">
        <v>9</v>
      </c>
      <c r="H526" s="1">
        <v>45461</v>
      </c>
      <c r="I526" t="s">
        <v>2104</v>
      </c>
    </row>
    <row r="527" spans="1:9" x14ac:dyDescent="0.25">
      <c r="A527" t="s">
        <v>1435</v>
      </c>
      <c r="B527" t="s">
        <v>281</v>
      </c>
      <c r="C527" t="s">
        <v>1436</v>
      </c>
      <c r="D527" t="s">
        <v>42</v>
      </c>
      <c r="E527" t="s">
        <v>19</v>
      </c>
      <c r="F527">
        <v>8000000</v>
      </c>
      <c r="G527">
        <v>38</v>
      </c>
      <c r="H527" s="1">
        <v>45982</v>
      </c>
      <c r="I527" t="s">
        <v>2104</v>
      </c>
    </row>
    <row r="528" spans="1:9" x14ac:dyDescent="0.25">
      <c r="A528" t="s">
        <v>1437</v>
      </c>
      <c r="B528" t="s">
        <v>219</v>
      </c>
      <c r="C528" t="s">
        <v>1438</v>
      </c>
      <c r="D528" t="s">
        <v>33</v>
      </c>
      <c r="E528" t="s">
        <v>34</v>
      </c>
      <c r="F528">
        <v>6500000</v>
      </c>
      <c r="G528">
        <v>26</v>
      </c>
      <c r="H528" s="1">
        <v>45769</v>
      </c>
      <c r="I528" t="s">
        <v>2104</v>
      </c>
    </row>
    <row r="529" spans="1:9" x14ac:dyDescent="0.25">
      <c r="A529" t="s">
        <v>1439</v>
      </c>
      <c r="B529" t="s">
        <v>127</v>
      </c>
      <c r="C529" t="s">
        <v>1440</v>
      </c>
      <c r="D529" t="s">
        <v>33</v>
      </c>
      <c r="E529" t="s">
        <v>15</v>
      </c>
      <c r="F529">
        <v>8000000</v>
      </c>
      <c r="G529">
        <v>39</v>
      </c>
      <c r="H529" s="1">
        <v>45695</v>
      </c>
      <c r="I529" t="s">
        <v>2104</v>
      </c>
    </row>
    <row r="530" spans="1:9" x14ac:dyDescent="0.25">
      <c r="A530" t="s">
        <v>1441</v>
      </c>
      <c r="B530" t="s">
        <v>78</v>
      </c>
      <c r="C530" t="s">
        <v>1442</v>
      </c>
      <c r="D530" t="s">
        <v>14</v>
      </c>
      <c r="E530" t="s">
        <v>34</v>
      </c>
      <c r="F530">
        <v>6500000</v>
      </c>
      <c r="G530">
        <v>19</v>
      </c>
      <c r="H530" s="1">
        <v>44977</v>
      </c>
      <c r="I530" t="s">
        <v>2104</v>
      </c>
    </row>
    <row r="531" spans="1:9" x14ac:dyDescent="0.25">
      <c r="A531" t="s">
        <v>1443</v>
      </c>
      <c r="B531" t="s">
        <v>223</v>
      </c>
      <c r="C531" t="s">
        <v>1444</v>
      </c>
      <c r="D531" t="s">
        <v>18</v>
      </c>
      <c r="E531" t="s">
        <v>38</v>
      </c>
      <c r="F531">
        <v>8000000</v>
      </c>
      <c r="G531">
        <v>4</v>
      </c>
      <c r="H531" s="1">
        <v>44993</v>
      </c>
      <c r="I531" t="s">
        <v>2104</v>
      </c>
    </row>
    <row r="532" spans="1:9" x14ac:dyDescent="0.25">
      <c r="A532" t="s">
        <v>1445</v>
      </c>
      <c r="B532" t="s">
        <v>78</v>
      </c>
      <c r="C532" t="s">
        <v>1446</v>
      </c>
      <c r="D532" t="s">
        <v>42</v>
      </c>
      <c r="E532" t="s">
        <v>38</v>
      </c>
      <c r="F532">
        <v>13000000</v>
      </c>
      <c r="G532">
        <v>2</v>
      </c>
      <c r="H532" s="1">
        <v>45130</v>
      </c>
      <c r="I532" t="s">
        <v>2104</v>
      </c>
    </row>
    <row r="533" spans="1:9" x14ac:dyDescent="0.25">
      <c r="A533" t="s">
        <v>1449</v>
      </c>
      <c r="B533" t="s">
        <v>311</v>
      </c>
      <c r="C533" t="s">
        <v>1450</v>
      </c>
      <c r="D533" t="s">
        <v>33</v>
      </c>
      <c r="E533" t="s">
        <v>24</v>
      </c>
      <c r="F533">
        <v>6500000</v>
      </c>
      <c r="G533">
        <v>15</v>
      </c>
      <c r="H533" s="1">
        <v>45025</v>
      </c>
      <c r="I533" t="s">
        <v>2104</v>
      </c>
    </row>
    <row r="534" spans="1:9" x14ac:dyDescent="0.25">
      <c r="A534" t="s">
        <v>1451</v>
      </c>
      <c r="B534" t="s">
        <v>444</v>
      </c>
      <c r="C534" t="s">
        <v>1452</v>
      </c>
      <c r="D534" t="s">
        <v>37</v>
      </c>
      <c r="E534" t="s">
        <v>34</v>
      </c>
      <c r="F534">
        <v>10500000</v>
      </c>
      <c r="G534">
        <v>17</v>
      </c>
      <c r="H534" s="1">
        <v>44433</v>
      </c>
      <c r="I534" t="s">
        <v>2104</v>
      </c>
    </row>
    <row r="535" spans="1:9" x14ac:dyDescent="0.25">
      <c r="A535" t="s">
        <v>1453</v>
      </c>
      <c r="B535" t="s">
        <v>261</v>
      </c>
      <c r="C535" t="s">
        <v>1454</v>
      </c>
      <c r="D535" t="s">
        <v>14</v>
      </c>
      <c r="E535" t="s">
        <v>15</v>
      </c>
      <c r="F535">
        <v>6500000</v>
      </c>
      <c r="G535">
        <v>0</v>
      </c>
      <c r="H535" s="1">
        <v>45463</v>
      </c>
      <c r="I535" t="s">
        <v>2104</v>
      </c>
    </row>
    <row r="536" spans="1:9" x14ac:dyDescent="0.25">
      <c r="A536" t="s">
        <v>1455</v>
      </c>
      <c r="B536" t="s">
        <v>174</v>
      </c>
      <c r="C536" t="s">
        <v>1456</v>
      </c>
      <c r="D536" t="s">
        <v>23</v>
      </c>
      <c r="E536" t="s">
        <v>38</v>
      </c>
      <c r="F536">
        <v>8000000</v>
      </c>
      <c r="G536">
        <v>21</v>
      </c>
      <c r="H536" s="1">
        <v>44824</v>
      </c>
      <c r="I536" t="s">
        <v>2104</v>
      </c>
    </row>
    <row r="537" spans="1:9" x14ac:dyDescent="0.25">
      <c r="A537" t="s">
        <v>1457</v>
      </c>
      <c r="B537" t="s">
        <v>327</v>
      </c>
      <c r="C537" t="s">
        <v>1458</v>
      </c>
      <c r="D537" t="s">
        <v>33</v>
      </c>
      <c r="E537" t="s">
        <v>24</v>
      </c>
      <c r="F537">
        <v>10500000</v>
      </c>
      <c r="G537">
        <v>35</v>
      </c>
      <c r="H537" s="1">
        <v>45702</v>
      </c>
      <c r="I537" t="s">
        <v>2104</v>
      </c>
    </row>
    <row r="538" spans="1:9" x14ac:dyDescent="0.25">
      <c r="A538" t="s">
        <v>1459</v>
      </c>
      <c r="B538" t="s">
        <v>870</v>
      </c>
      <c r="C538" t="s">
        <v>1460</v>
      </c>
      <c r="D538" t="s">
        <v>33</v>
      </c>
      <c r="E538" t="s">
        <v>38</v>
      </c>
      <c r="F538">
        <v>10500000</v>
      </c>
      <c r="G538">
        <v>31</v>
      </c>
      <c r="H538" s="1">
        <v>43888</v>
      </c>
      <c r="I538" t="s">
        <v>2104</v>
      </c>
    </row>
    <row r="539" spans="1:9" x14ac:dyDescent="0.25">
      <c r="A539" t="s">
        <v>1461</v>
      </c>
      <c r="B539" t="s">
        <v>113</v>
      </c>
      <c r="C539" t="s">
        <v>1462</v>
      </c>
      <c r="D539" t="s">
        <v>18</v>
      </c>
      <c r="E539" t="s">
        <v>19</v>
      </c>
      <c r="F539">
        <v>10500000</v>
      </c>
      <c r="G539">
        <v>9</v>
      </c>
      <c r="H539" s="1">
        <v>45217</v>
      </c>
      <c r="I539" t="s">
        <v>2104</v>
      </c>
    </row>
    <row r="540" spans="1:9" x14ac:dyDescent="0.25">
      <c r="A540" t="s">
        <v>1463</v>
      </c>
      <c r="B540" t="s">
        <v>360</v>
      </c>
      <c r="C540" t="s">
        <v>1464</v>
      </c>
      <c r="D540" t="s">
        <v>33</v>
      </c>
      <c r="E540" t="s">
        <v>15</v>
      </c>
      <c r="F540">
        <v>10500000</v>
      </c>
      <c r="G540">
        <v>13</v>
      </c>
      <c r="H540" s="1">
        <v>43887</v>
      </c>
      <c r="I540" t="s">
        <v>2104</v>
      </c>
    </row>
    <row r="541" spans="1:9" x14ac:dyDescent="0.25">
      <c r="A541" t="s">
        <v>1465</v>
      </c>
      <c r="B541" t="s">
        <v>193</v>
      </c>
      <c r="C541" t="s">
        <v>1466</v>
      </c>
      <c r="D541" t="s">
        <v>14</v>
      </c>
      <c r="E541" t="s">
        <v>15</v>
      </c>
      <c r="F541">
        <v>5500000</v>
      </c>
      <c r="G541">
        <v>34</v>
      </c>
      <c r="H541" s="1">
        <v>45667</v>
      </c>
      <c r="I541" t="s">
        <v>2104</v>
      </c>
    </row>
    <row r="542" spans="1:9" x14ac:dyDescent="0.25">
      <c r="A542" t="s">
        <v>1467</v>
      </c>
      <c r="B542" t="s">
        <v>507</v>
      </c>
      <c r="C542" t="s">
        <v>1468</v>
      </c>
      <c r="D542" t="s">
        <v>14</v>
      </c>
      <c r="E542" t="s">
        <v>34</v>
      </c>
      <c r="F542">
        <v>8000000</v>
      </c>
      <c r="G542">
        <v>30</v>
      </c>
      <c r="H542" s="1">
        <v>43964</v>
      </c>
      <c r="I542" t="s">
        <v>2104</v>
      </c>
    </row>
    <row r="543" spans="1:9" x14ac:dyDescent="0.25">
      <c r="A543" t="s">
        <v>1469</v>
      </c>
      <c r="B543" t="s">
        <v>196</v>
      </c>
      <c r="C543" t="s">
        <v>1470</v>
      </c>
      <c r="D543" t="s">
        <v>37</v>
      </c>
      <c r="E543" t="s">
        <v>34</v>
      </c>
      <c r="F543">
        <v>8000000</v>
      </c>
      <c r="G543">
        <v>27</v>
      </c>
      <c r="H543" s="1">
        <v>44535</v>
      </c>
      <c r="I543" t="s">
        <v>2104</v>
      </c>
    </row>
    <row r="544" spans="1:9" x14ac:dyDescent="0.25">
      <c r="A544" t="s">
        <v>1474</v>
      </c>
      <c r="B544" t="s">
        <v>270</v>
      </c>
      <c r="C544" t="s">
        <v>1475</v>
      </c>
      <c r="D544" t="s">
        <v>33</v>
      </c>
      <c r="E544" t="s">
        <v>38</v>
      </c>
      <c r="F544">
        <v>6500000</v>
      </c>
      <c r="G544">
        <v>8</v>
      </c>
      <c r="H544" s="1">
        <v>45415</v>
      </c>
      <c r="I544" t="s">
        <v>2104</v>
      </c>
    </row>
    <row r="545" spans="1:9" x14ac:dyDescent="0.25">
      <c r="A545" t="s">
        <v>1476</v>
      </c>
      <c r="B545" t="s">
        <v>940</v>
      </c>
      <c r="C545" t="s">
        <v>1477</v>
      </c>
      <c r="D545" t="s">
        <v>18</v>
      </c>
      <c r="E545" t="s">
        <v>24</v>
      </c>
      <c r="F545">
        <v>5500000</v>
      </c>
      <c r="G545">
        <v>6</v>
      </c>
      <c r="H545" s="1">
        <v>45383</v>
      </c>
      <c r="I545" t="s">
        <v>2104</v>
      </c>
    </row>
    <row r="546" spans="1:9" x14ac:dyDescent="0.25">
      <c r="A546" t="s">
        <v>1478</v>
      </c>
      <c r="B546" t="s">
        <v>267</v>
      </c>
      <c r="C546" t="s">
        <v>1479</v>
      </c>
      <c r="D546" t="s">
        <v>33</v>
      </c>
      <c r="E546" t="s">
        <v>19</v>
      </c>
      <c r="F546">
        <v>5500000</v>
      </c>
      <c r="G546">
        <v>23</v>
      </c>
      <c r="H546" s="1">
        <v>44979</v>
      </c>
      <c r="I546" t="s">
        <v>2104</v>
      </c>
    </row>
    <row r="547" spans="1:9" x14ac:dyDescent="0.25">
      <c r="A547" t="s">
        <v>1480</v>
      </c>
      <c r="B547" t="s">
        <v>118</v>
      </c>
      <c r="C547" t="s">
        <v>1481</v>
      </c>
      <c r="D547" t="s">
        <v>42</v>
      </c>
      <c r="E547" t="s">
        <v>15</v>
      </c>
      <c r="F547">
        <v>8000000</v>
      </c>
      <c r="G547">
        <v>9</v>
      </c>
      <c r="H547" s="1">
        <v>45750</v>
      </c>
      <c r="I547" t="s">
        <v>2104</v>
      </c>
    </row>
    <row r="548" spans="1:9" x14ac:dyDescent="0.25">
      <c r="A548" t="s">
        <v>1482</v>
      </c>
      <c r="B548" t="s">
        <v>439</v>
      </c>
      <c r="C548" t="s">
        <v>1483</v>
      </c>
      <c r="D548" t="s">
        <v>42</v>
      </c>
      <c r="E548" t="s">
        <v>19</v>
      </c>
      <c r="F548">
        <v>13000000</v>
      </c>
      <c r="G548">
        <v>16</v>
      </c>
      <c r="H548" s="1">
        <v>44151</v>
      </c>
      <c r="I548" t="s">
        <v>2104</v>
      </c>
    </row>
    <row r="549" spans="1:9" x14ac:dyDescent="0.25">
      <c r="A549" t="s">
        <v>1484</v>
      </c>
      <c r="B549" t="s">
        <v>464</v>
      </c>
      <c r="C549" t="s">
        <v>1485</v>
      </c>
      <c r="D549" t="s">
        <v>18</v>
      </c>
      <c r="E549" t="s">
        <v>38</v>
      </c>
      <c r="F549">
        <v>8000000</v>
      </c>
      <c r="G549">
        <v>30</v>
      </c>
      <c r="H549" s="1">
        <v>43831</v>
      </c>
      <c r="I549" t="s">
        <v>2104</v>
      </c>
    </row>
    <row r="550" spans="1:9" x14ac:dyDescent="0.25">
      <c r="A550" t="s">
        <v>1486</v>
      </c>
      <c r="B550" t="s">
        <v>766</v>
      </c>
      <c r="C550" t="s">
        <v>1487</v>
      </c>
      <c r="D550" t="s">
        <v>33</v>
      </c>
      <c r="E550" t="s">
        <v>34</v>
      </c>
      <c r="F550">
        <v>10500000</v>
      </c>
      <c r="G550">
        <v>26</v>
      </c>
      <c r="H550" s="1">
        <v>44810</v>
      </c>
      <c r="I550" t="s">
        <v>2104</v>
      </c>
    </row>
    <row r="551" spans="1:9" x14ac:dyDescent="0.25">
      <c r="A551" t="s">
        <v>1488</v>
      </c>
      <c r="B551" t="s">
        <v>805</v>
      </c>
      <c r="C551" t="s">
        <v>1489</v>
      </c>
      <c r="D551" t="s">
        <v>23</v>
      </c>
      <c r="E551" t="s">
        <v>15</v>
      </c>
      <c r="F551">
        <v>10500000</v>
      </c>
      <c r="G551">
        <v>18</v>
      </c>
      <c r="H551" s="1">
        <v>44597</v>
      </c>
      <c r="I551" t="s">
        <v>2104</v>
      </c>
    </row>
    <row r="552" spans="1:9" x14ac:dyDescent="0.25">
      <c r="A552" t="s">
        <v>1490</v>
      </c>
      <c r="B552" t="s">
        <v>430</v>
      </c>
      <c r="C552" t="s">
        <v>1491</v>
      </c>
      <c r="D552" t="s">
        <v>37</v>
      </c>
      <c r="E552" t="s">
        <v>19</v>
      </c>
      <c r="F552">
        <v>10500000</v>
      </c>
      <c r="G552">
        <v>8</v>
      </c>
      <c r="H552" s="1">
        <v>44831</v>
      </c>
      <c r="I552" t="s">
        <v>2104</v>
      </c>
    </row>
    <row r="553" spans="1:9" x14ac:dyDescent="0.25">
      <c r="A553" t="s">
        <v>1492</v>
      </c>
      <c r="B553" t="s">
        <v>63</v>
      </c>
      <c r="C553" t="s">
        <v>1493</v>
      </c>
      <c r="D553" t="s">
        <v>37</v>
      </c>
      <c r="E553" t="s">
        <v>38</v>
      </c>
      <c r="F553">
        <v>6500000</v>
      </c>
      <c r="G553">
        <v>40</v>
      </c>
      <c r="H553" s="1">
        <v>45457</v>
      </c>
      <c r="I553" t="s">
        <v>2104</v>
      </c>
    </row>
    <row r="554" spans="1:9" x14ac:dyDescent="0.25">
      <c r="A554" t="s">
        <v>1494</v>
      </c>
      <c r="B554" t="s">
        <v>166</v>
      </c>
      <c r="C554" t="s">
        <v>1495</v>
      </c>
      <c r="D554" t="s">
        <v>23</v>
      </c>
      <c r="E554" t="s">
        <v>34</v>
      </c>
      <c r="F554">
        <v>10500000</v>
      </c>
      <c r="G554">
        <v>2</v>
      </c>
      <c r="H554" s="1">
        <v>45542</v>
      </c>
      <c r="I554" t="s">
        <v>2104</v>
      </c>
    </row>
    <row r="555" spans="1:9" x14ac:dyDescent="0.25">
      <c r="A555" t="s">
        <v>1496</v>
      </c>
      <c r="B555" t="s">
        <v>219</v>
      </c>
      <c r="C555" t="s">
        <v>1497</v>
      </c>
      <c r="D555" t="s">
        <v>18</v>
      </c>
      <c r="E555" t="s">
        <v>38</v>
      </c>
      <c r="F555">
        <v>10500000</v>
      </c>
      <c r="G555">
        <v>20</v>
      </c>
      <c r="H555" s="1">
        <v>44843</v>
      </c>
      <c r="I555" t="s">
        <v>2104</v>
      </c>
    </row>
    <row r="556" spans="1:9" x14ac:dyDescent="0.25">
      <c r="A556" t="s">
        <v>1498</v>
      </c>
      <c r="B556" t="s">
        <v>123</v>
      </c>
      <c r="C556" t="s">
        <v>1499</v>
      </c>
      <c r="D556" t="s">
        <v>33</v>
      </c>
      <c r="E556" t="s">
        <v>38</v>
      </c>
      <c r="F556">
        <v>6500000</v>
      </c>
      <c r="G556">
        <v>14</v>
      </c>
      <c r="H556" s="1">
        <v>45722</v>
      </c>
      <c r="I556" t="s">
        <v>2104</v>
      </c>
    </row>
    <row r="557" spans="1:9" x14ac:dyDescent="0.25">
      <c r="A557" t="s">
        <v>1500</v>
      </c>
      <c r="B557" t="s">
        <v>161</v>
      </c>
      <c r="C557" t="s">
        <v>1501</v>
      </c>
      <c r="D557" t="s">
        <v>37</v>
      </c>
      <c r="E557" t="s">
        <v>15</v>
      </c>
      <c r="F557">
        <v>8000000</v>
      </c>
      <c r="G557">
        <v>17</v>
      </c>
      <c r="H557" s="1">
        <v>45079</v>
      </c>
      <c r="I557" t="s">
        <v>2104</v>
      </c>
    </row>
    <row r="558" spans="1:9" x14ac:dyDescent="0.25">
      <c r="A558" t="s">
        <v>1502</v>
      </c>
      <c r="B558" t="s">
        <v>736</v>
      </c>
      <c r="C558" t="s">
        <v>1503</v>
      </c>
      <c r="D558" t="s">
        <v>23</v>
      </c>
      <c r="E558" t="s">
        <v>19</v>
      </c>
      <c r="F558">
        <v>6500000</v>
      </c>
      <c r="G558">
        <v>6</v>
      </c>
      <c r="H558" s="1">
        <v>44289</v>
      </c>
      <c r="I558" t="s">
        <v>2104</v>
      </c>
    </row>
    <row r="559" spans="1:9" x14ac:dyDescent="0.25">
      <c r="A559" t="s">
        <v>1504</v>
      </c>
      <c r="B559" t="s">
        <v>457</v>
      </c>
      <c r="C559" t="s">
        <v>1505</v>
      </c>
      <c r="D559" t="s">
        <v>14</v>
      </c>
      <c r="E559" t="s">
        <v>15</v>
      </c>
      <c r="F559">
        <v>6500000</v>
      </c>
      <c r="G559">
        <v>34</v>
      </c>
      <c r="H559" s="1">
        <v>44213</v>
      </c>
      <c r="I559" t="s">
        <v>2104</v>
      </c>
    </row>
    <row r="560" spans="1:9" x14ac:dyDescent="0.25">
      <c r="A560" t="s">
        <v>1506</v>
      </c>
      <c r="B560" t="s">
        <v>1309</v>
      </c>
      <c r="C560" t="s">
        <v>1507</v>
      </c>
      <c r="D560" t="s">
        <v>14</v>
      </c>
      <c r="E560" t="s">
        <v>15</v>
      </c>
      <c r="F560">
        <v>13000000</v>
      </c>
      <c r="G560">
        <v>30</v>
      </c>
      <c r="H560" s="1">
        <v>44048</v>
      </c>
      <c r="I560" t="s">
        <v>2104</v>
      </c>
    </row>
    <row r="561" spans="1:9" x14ac:dyDescent="0.25">
      <c r="A561" t="s">
        <v>1508</v>
      </c>
      <c r="B561" t="s">
        <v>51</v>
      </c>
      <c r="C561" t="s">
        <v>1509</v>
      </c>
      <c r="D561" t="s">
        <v>23</v>
      </c>
      <c r="E561" t="s">
        <v>15</v>
      </c>
      <c r="F561">
        <v>5500000</v>
      </c>
      <c r="G561">
        <v>8</v>
      </c>
      <c r="H561" s="1">
        <v>45995</v>
      </c>
      <c r="I561" t="s">
        <v>2104</v>
      </c>
    </row>
    <row r="562" spans="1:9" x14ac:dyDescent="0.25">
      <c r="A562" t="s">
        <v>1510</v>
      </c>
      <c r="B562" t="s">
        <v>223</v>
      </c>
      <c r="C562" t="s">
        <v>1511</v>
      </c>
      <c r="D562" t="s">
        <v>33</v>
      </c>
      <c r="E562" t="s">
        <v>19</v>
      </c>
      <c r="F562">
        <v>13000000</v>
      </c>
      <c r="G562">
        <v>19</v>
      </c>
      <c r="H562" s="1">
        <v>43876</v>
      </c>
      <c r="I562" t="s">
        <v>2104</v>
      </c>
    </row>
    <row r="563" spans="1:9" x14ac:dyDescent="0.25">
      <c r="A563" t="s">
        <v>1512</v>
      </c>
      <c r="B563" t="s">
        <v>121</v>
      </c>
      <c r="C563" t="s">
        <v>1513</v>
      </c>
      <c r="D563" t="s">
        <v>23</v>
      </c>
      <c r="E563" t="s">
        <v>15</v>
      </c>
      <c r="F563">
        <v>6500000</v>
      </c>
      <c r="G563">
        <v>8</v>
      </c>
      <c r="H563" s="1">
        <v>45607</v>
      </c>
      <c r="I563" t="s">
        <v>2104</v>
      </c>
    </row>
    <row r="564" spans="1:9" x14ac:dyDescent="0.25">
      <c r="A564" t="s">
        <v>1514</v>
      </c>
      <c r="B564" t="s">
        <v>258</v>
      </c>
      <c r="C564" t="s">
        <v>1515</v>
      </c>
      <c r="D564" t="s">
        <v>18</v>
      </c>
      <c r="E564" t="s">
        <v>34</v>
      </c>
      <c r="F564">
        <v>8000000</v>
      </c>
      <c r="G564">
        <v>30</v>
      </c>
      <c r="H564" s="1">
        <v>45520</v>
      </c>
      <c r="I564" t="s">
        <v>2104</v>
      </c>
    </row>
    <row r="565" spans="1:9" x14ac:dyDescent="0.25">
      <c r="A565" t="s">
        <v>1516</v>
      </c>
      <c r="B565" t="s">
        <v>281</v>
      </c>
      <c r="C565" t="s">
        <v>1517</v>
      </c>
      <c r="D565" t="s">
        <v>33</v>
      </c>
      <c r="E565" t="s">
        <v>34</v>
      </c>
      <c r="F565">
        <v>5500000</v>
      </c>
      <c r="G565">
        <v>2</v>
      </c>
      <c r="H565" s="1">
        <v>44613</v>
      </c>
      <c r="I565" t="s">
        <v>2104</v>
      </c>
    </row>
    <row r="566" spans="1:9" x14ac:dyDescent="0.25">
      <c r="A566" t="s">
        <v>1518</v>
      </c>
      <c r="B566" t="s">
        <v>16</v>
      </c>
      <c r="C566" t="s">
        <v>1519</v>
      </c>
      <c r="D566" t="s">
        <v>42</v>
      </c>
      <c r="E566" t="s">
        <v>38</v>
      </c>
      <c r="F566">
        <v>10500000</v>
      </c>
      <c r="G566">
        <v>17</v>
      </c>
      <c r="H566" s="1">
        <v>45477</v>
      </c>
      <c r="I566" t="s">
        <v>2104</v>
      </c>
    </row>
    <row r="567" spans="1:9" x14ac:dyDescent="0.25">
      <c r="A567" t="s">
        <v>1520</v>
      </c>
      <c r="B567" t="s">
        <v>281</v>
      </c>
      <c r="C567" t="s">
        <v>1521</v>
      </c>
      <c r="D567" t="s">
        <v>33</v>
      </c>
      <c r="E567" t="s">
        <v>15</v>
      </c>
      <c r="F567">
        <v>13000000</v>
      </c>
      <c r="G567">
        <v>37</v>
      </c>
      <c r="H567" s="1">
        <v>45892</v>
      </c>
      <c r="I567" t="s">
        <v>2104</v>
      </c>
    </row>
    <row r="568" spans="1:9" x14ac:dyDescent="0.25">
      <c r="A568" t="s">
        <v>1522</v>
      </c>
      <c r="B568" t="s">
        <v>196</v>
      </c>
      <c r="C568" t="s">
        <v>1523</v>
      </c>
      <c r="D568" t="s">
        <v>18</v>
      </c>
      <c r="E568" t="s">
        <v>19</v>
      </c>
      <c r="F568">
        <v>5500000</v>
      </c>
      <c r="G568">
        <v>30</v>
      </c>
      <c r="H568" s="1">
        <v>43876</v>
      </c>
      <c r="I568" t="s">
        <v>2104</v>
      </c>
    </row>
    <row r="569" spans="1:9" x14ac:dyDescent="0.25">
      <c r="A569" t="s">
        <v>1526</v>
      </c>
      <c r="B569" t="s">
        <v>877</v>
      </c>
      <c r="C569" t="s">
        <v>1527</v>
      </c>
      <c r="D569" t="s">
        <v>37</v>
      </c>
      <c r="E569" t="s">
        <v>38</v>
      </c>
      <c r="F569">
        <v>8000000</v>
      </c>
      <c r="G569">
        <v>16</v>
      </c>
      <c r="H569" s="1">
        <v>44308</v>
      </c>
      <c r="I569" t="s">
        <v>2104</v>
      </c>
    </row>
    <row r="570" spans="1:9" x14ac:dyDescent="0.25">
      <c r="A570" t="s">
        <v>1528</v>
      </c>
      <c r="B570" t="s">
        <v>258</v>
      </c>
      <c r="C570" t="s">
        <v>1529</v>
      </c>
      <c r="D570" t="s">
        <v>33</v>
      </c>
      <c r="E570" t="s">
        <v>38</v>
      </c>
      <c r="F570">
        <v>8000000</v>
      </c>
      <c r="G570">
        <v>30</v>
      </c>
      <c r="H570" s="1">
        <v>44933</v>
      </c>
      <c r="I570" t="s">
        <v>2104</v>
      </c>
    </row>
    <row r="571" spans="1:9" x14ac:dyDescent="0.25">
      <c r="A571" t="s">
        <v>1530</v>
      </c>
      <c r="B571" t="s">
        <v>166</v>
      </c>
      <c r="C571" t="s">
        <v>1531</v>
      </c>
      <c r="D571" t="s">
        <v>33</v>
      </c>
      <c r="E571" t="s">
        <v>24</v>
      </c>
      <c r="F571">
        <v>8000000</v>
      </c>
      <c r="G571">
        <v>20</v>
      </c>
      <c r="H571" s="1">
        <v>44519</v>
      </c>
      <c r="I571" t="s">
        <v>2104</v>
      </c>
    </row>
    <row r="572" spans="1:9" x14ac:dyDescent="0.25">
      <c r="A572" t="s">
        <v>1532</v>
      </c>
      <c r="B572" t="s">
        <v>223</v>
      </c>
      <c r="C572" t="s">
        <v>1533</v>
      </c>
      <c r="D572" t="s">
        <v>37</v>
      </c>
      <c r="E572" t="s">
        <v>19</v>
      </c>
      <c r="F572">
        <v>10500000</v>
      </c>
      <c r="G572">
        <v>5</v>
      </c>
      <c r="H572" s="1">
        <v>44911</v>
      </c>
      <c r="I572" t="s">
        <v>2104</v>
      </c>
    </row>
    <row r="573" spans="1:9" x14ac:dyDescent="0.25">
      <c r="A573" t="s">
        <v>1534</v>
      </c>
      <c r="B573" t="s">
        <v>26</v>
      </c>
      <c r="C573" t="s">
        <v>1535</v>
      </c>
      <c r="D573" t="s">
        <v>18</v>
      </c>
      <c r="E573" t="s">
        <v>19</v>
      </c>
      <c r="F573">
        <v>10500000</v>
      </c>
      <c r="G573">
        <v>7</v>
      </c>
      <c r="H573" s="1">
        <v>45474</v>
      </c>
      <c r="I573" t="s">
        <v>2104</v>
      </c>
    </row>
    <row r="574" spans="1:9" x14ac:dyDescent="0.25">
      <c r="A574" t="s">
        <v>1536</v>
      </c>
      <c r="B574" t="s">
        <v>522</v>
      </c>
      <c r="C574" t="s">
        <v>1537</v>
      </c>
      <c r="D574" t="s">
        <v>37</v>
      </c>
      <c r="E574" t="s">
        <v>15</v>
      </c>
      <c r="F574">
        <v>10500000</v>
      </c>
      <c r="G574">
        <v>19</v>
      </c>
      <c r="H574" s="1">
        <v>44767</v>
      </c>
      <c r="I574" t="s">
        <v>2104</v>
      </c>
    </row>
    <row r="575" spans="1:9" x14ac:dyDescent="0.25">
      <c r="A575" t="s">
        <v>1538</v>
      </c>
      <c r="B575" t="s">
        <v>229</v>
      </c>
      <c r="C575" t="s">
        <v>1539</v>
      </c>
      <c r="D575" t="s">
        <v>18</v>
      </c>
      <c r="E575" t="s">
        <v>24</v>
      </c>
      <c r="F575">
        <v>5500000</v>
      </c>
      <c r="G575">
        <v>29</v>
      </c>
      <c r="H575" s="1">
        <v>44013</v>
      </c>
      <c r="I575" t="s">
        <v>2104</v>
      </c>
    </row>
    <row r="576" spans="1:9" x14ac:dyDescent="0.25">
      <c r="A576" t="s">
        <v>1540</v>
      </c>
      <c r="B576" t="s">
        <v>21</v>
      </c>
      <c r="C576" t="s">
        <v>1541</v>
      </c>
      <c r="D576" t="s">
        <v>33</v>
      </c>
      <c r="E576" t="s">
        <v>24</v>
      </c>
      <c r="F576">
        <v>8000000</v>
      </c>
      <c r="G576">
        <v>27</v>
      </c>
      <c r="H576" s="1">
        <v>44443</v>
      </c>
      <c r="I576" t="s">
        <v>2104</v>
      </c>
    </row>
    <row r="577" spans="1:9" x14ac:dyDescent="0.25">
      <c r="A577" t="s">
        <v>1542</v>
      </c>
      <c r="B577" t="s">
        <v>63</v>
      </c>
      <c r="C577" t="s">
        <v>1543</v>
      </c>
      <c r="D577" t="s">
        <v>33</v>
      </c>
      <c r="E577" t="s">
        <v>19</v>
      </c>
      <c r="F577">
        <v>13000000</v>
      </c>
      <c r="G577">
        <v>13</v>
      </c>
      <c r="H577" s="1">
        <v>45409</v>
      </c>
      <c r="I577" t="s">
        <v>2104</v>
      </c>
    </row>
    <row r="578" spans="1:9" x14ac:dyDescent="0.25">
      <c r="A578" t="s">
        <v>1544</v>
      </c>
      <c r="B578" t="s">
        <v>134</v>
      </c>
      <c r="C578" t="s">
        <v>1545</v>
      </c>
      <c r="D578" t="s">
        <v>42</v>
      </c>
      <c r="E578" t="s">
        <v>38</v>
      </c>
      <c r="F578">
        <v>13000000</v>
      </c>
      <c r="G578">
        <v>28</v>
      </c>
      <c r="H578" s="1">
        <v>44999</v>
      </c>
      <c r="I578" t="s">
        <v>2104</v>
      </c>
    </row>
    <row r="579" spans="1:9" x14ac:dyDescent="0.25">
      <c r="A579" t="s">
        <v>1546</v>
      </c>
      <c r="B579" t="s">
        <v>174</v>
      </c>
      <c r="C579" t="s">
        <v>1547</v>
      </c>
      <c r="D579" t="s">
        <v>33</v>
      </c>
      <c r="E579" t="s">
        <v>15</v>
      </c>
      <c r="F579">
        <v>13000000</v>
      </c>
      <c r="G579">
        <v>6</v>
      </c>
      <c r="H579" s="1">
        <v>44534</v>
      </c>
      <c r="I579" t="s">
        <v>2104</v>
      </c>
    </row>
    <row r="580" spans="1:9" x14ac:dyDescent="0.25">
      <c r="A580" t="s">
        <v>1548</v>
      </c>
      <c r="B580" t="s">
        <v>115</v>
      </c>
      <c r="C580" t="s">
        <v>1549</v>
      </c>
      <c r="D580" t="s">
        <v>42</v>
      </c>
      <c r="E580" t="s">
        <v>34</v>
      </c>
      <c r="F580">
        <v>13000000</v>
      </c>
      <c r="G580">
        <v>32</v>
      </c>
      <c r="H580" s="1">
        <v>44231</v>
      </c>
      <c r="I580" t="s">
        <v>2104</v>
      </c>
    </row>
    <row r="581" spans="1:9" x14ac:dyDescent="0.25">
      <c r="A581" t="s">
        <v>1550</v>
      </c>
      <c r="B581" t="s">
        <v>348</v>
      </c>
      <c r="C581" t="s">
        <v>1551</v>
      </c>
      <c r="D581" t="s">
        <v>42</v>
      </c>
      <c r="E581" t="s">
        <v>34</v>
      </c>
      <c r="F581">
        <v>10500000</v>
      </c>
      <c r="G581">
        <v>33</v>
      </c>
      <c r="H581" s="1">
        <v>44971</v>
      </c>
      <c r="I581" t="s">
        <v>2104</v>
      </c>
    </row>
    <row r="582" spans="1:9" x14ac:dyDescent="0.25">
      <c r="A582" t="s">
        <v>1552</v>
      </c>
      <c r="B582" t="s">
        <v>281</v>
      </c>
      <c r="C582" t="s">
        <v>1553</v>
      </c>
      <c r="D582" t="s">
        <v>42</v>
      </c>
      <c r="E582" t="s">
        <v>38</v>
      </c>
      <c r="F582">
        <v>6500000</v>
      </c>
      <c r="G582">
        <v>17</v>
      </c>
      <c r="H582" s="1">
        <v>43871</v>
      </c>
      <c r="I582" t="s">
        <v>2104</v>
      </c>
    </row>
    <row r="583" spans="1:9" x14ac:dyDescent="0.25">
      <c r="A583" t="s">
        <v>1554</v>
      </c>
      <c r="B583" t="s">
        <v>35</v>
      </c>
      <c r="C583" t="s">
        <v>1555</v>
      </c>
      <c r="D583" t="s">
        <v>23</v>
      </c>
      <c r="E583" t="s">
        <v>38</v>
      </c>
      <c r="F583">
        <v>13000000</v>
      </c>
      <c r="G583">
        <v>3</v>
      </c>
      <c r="H583" s="1">
        <v>43922</v>
      </c>
      <c r="I583" t="s">
        <v>2104</v>
      </c>
    </row>
    <row r="584" spans="1:9" x14ac:dyDescent="0.25">
      <c r="A584" t="s">
        <v>1556</v>
      </c>
      <c r="B584" t="s">
        <v>21</v>
      </c>
      <c r="C584" t="s">
        <v>1557</v>
      </c>
      <c r="D584" t="s">
        <v>18</v>
      </c>
      <c r="E584" t="s">
        <v>38</v>
      </c>
      <c r="F584">
        <v>10500000</v>
      </c>
      <c r="G584">
        <v>13</v>
      </c>
      <c r="H584" s="1">
        <v>45060</v>
      </c>
      <c r="I584" t="s">
        <v>2104</v>
      </c>
    </row>
    <row r="585" spans="1:9" x14ac:dyDescent="0.25">
      <c r="A585" t="s">
        <v>1560</v>
      </c>
      <c r="B585" t="s">
        <v>299</v>
      </c>
      <c r="C585" t="s">
        <v>1561</v>
      </c>
      <c r="D585" t="s">
        <v>18</v>
      </c>
      <c r="E585" t="s">
        <v>15</v>
      </c>
      <c r="F585">
        <v>8000000</v>
      </c>
      <c r="G585">
        <v>2</v>
      </c>
      <c r="H585" s="1">
        <v>44764</v>
      </c>
      <c r="I585" t="s">
        <v>2104</v>
      </c>
    </row>
    <row r="586" spans="1:9" x14ac:dyDescent="0.25">
      <c r="A586" t="s">
        <v>1562</v>
      </c>
      <c r="B586" t="s">
        <v>180</v>
      </c>
      <c r="C586" t="s">
        <v>1563</v>
      </c>
      <c r="D586" t="s">
        <v>37</v>
      </c>
      <c r="E586" t="s">
        <v>15</v>
      </c>
      <c r="F586">
        <v>5500000</v>
      </c>
      <c r="G586">
        <v>3</v>
      </c>
      <c r="H586" s="1">
        <v>45118</v>
      </c>
      <c r="I586" t="s">
        <v>2104</v>
      </c>
    </row>
    <row r="587" spans="1:9" x14ac:dyDescent="0.25">
      <c r="A587" t="s">
        <v>1564</v>
      </c>
      <c r="B587" t="s">
        <v>719</v>
      </c>
      <c r="C587" t="s">
        <v>1565</v>
      </c>
      <c r="D587" t="s">
        <v>33</v>
      </c>
      <c r="E587" t="s">
        <v>19</v>
      </c>
      <c r="F587">
        <v>6500000</v>
      </c>
      <c r="G587">
        <v>34</v>
      </c>
      <c r="H587" s="1">
        <v>45165</v>
      </c>
      <c r="I587" t="s">
        <v>2104</v>
      </c>
    </row>
    <row r="588" spans="1:9" x14ac:dyDescent="0.25">
      <c r="A588" t="s">
        <v>1566</v>
      </c>
      <c r="B588" t="s">
        <v>66</v>
      </c>
      <c r="C588" t="s">
        <v>1567</v>
      </c>
      <c r="D588" t="s">
        <v>37</v>
      </c>
      <c r="E588" t="s">
        <v>38</v>
      </c>
      <c r="F588">
        <v>5500000</v>
      </c>
      <c r="G588">
        <v>17</v>
      </c>
      <c r="H588" s="1">
        <v>45651</v>
      </c>
      <c r="I588" t="s">
        <v>2104</v>
      </c>
    </row>
    <row r="589" spans="1:9" x14ac:dyDescent="0.25">
      <c r="A589" t="s">
        <v>1568</v>
      </c>
      <c r="B589" t="s">
        <v>223</v>
      </c>
      <c r="C589" t="s">
        <v>1569</v>
      </c>
      <c r="D589" t="s">
        <v>23</v>
      </c>
      <c r="E589" t="s">
        <v>15</v>
      </c>
      <c r="F589">
        <v>10500000</v>
      </c>
      <c r="G589">
        <v>39</v>
      </c>
      <c r="H589" s="1">
        <v>45282</v>
      </c>
      <c r="I589" t="s">
        <v>2104</v>
      </c>
    </row>
    <row r="590" spans="1:9" x14ac:dyDescent="0.25">
      <c r="A590" t="s">
        <v>1570</v>
      </c>
      <c r="B590" t="s">
        <v>1309</v>
      </c>
      <c r="C590" t="s">
        <v>1571</v>
      </c>
      <c r="D590" t="s">
        <v>42</v>
      </c>
      <c r="E590" t="s">
        <v>38</v>
      </c>
      <c r="F590">
        <v>8000000</v>
      </c>
      <c r="G590">
        <v>35</v>
      </c>
      <c r="H590" s="1">
        <v>45520</v>
      </c>
      <c r="I590" t="s">
        <v>2104</v>
      </c>
    </row>
    <row r="591" spans="1:9" x14ac:dyDescent="0.25">
      <c r="A591" t="s">
        <v>1572</v>
      </c>
      <c r="B591" t="s">
        <v>212</v>
      </c>
      <c r="C591" t="s">
        <v>1573</v>
      </c>
      <c r="D591" t="s">
        <v>14</v>
      </c>
      <c r="E591" t="s">
        <v>38</v>
      </c>
      <c r="F591">
        <v>6500000</v>
      </c>
      <c r="G591">
        <v>22</v>
      </c>
      <c r="H591" s="1">
        <v>44984</v>
      </c>
      <c r="I591" t="s">
        <v>2104</v>
      </c>
    </row>
    <row r="592" spans="1:9" x14ac:dyDescent="0.25">
      <c r="A592" t="s">
        <v>1574</v>
      </c>
      <c r="B592" t="s">
        <v>522</v>
      </c>
      <c r="C592" t="s">
        <v>1575</v>
      </c>
      <c r="D592" t="s">
        <v>23</v>
      </c>
      <c r="E592" t="s">
        <v>15</v>
      </c>
      <c r="F592">
        <v>13000000</v>
      </c>
      <c r="G592">
        <v>7</v>
      </c>
      <c r="H592" s="1">
        <v>44278</v>
      </c>
      <c r="I592" t="s">
        <v>2104</v>
      </c>
    </row>
    <row r="593" spans="1:9" x14ac:dyDescent="0.25">
      <c r="A593" t="s">
        <v>1576</v>
      </c>
      <c r="B593" t="s">
        <v>940</v>
      </c>
      <c r="C593" t="s">
        <v>1577</v>
      </c>
      <c r="D593" t="s">
        <v>33</v>
      </c>
      <c r="E593" t="s">
        <v>38</v>
      </c>
      <c r="F593">
        <v>8000000</v>
      </c>
      <c r="G593">
        <v>21</v>
      </c>
      <c r="H593" s="1">
        <v>45631</v>
      </c>
      <c r="I593" t="s">
        <v>2104</v>
      </c>
    </row>
    <row r="594" spans="1:9" x14ac:dyDescent="0.25">
      <c r="A594" t="s">
        <v>1578</v>
      </c>
      <c r="B594" t="s">
        <v>1288</v>
      </c>
      <c r="C594" t="s">
        <v>1579</v>
      </c>
      <c r="D594" t="s">
        <v>14</v>
      </c>
      <c r="E594" t="s">
        <v>24</v>
      </c>
      <c r="F594">
        <v>8000000</v>
      </c>
      <c r="G594">
        <v>8</v>
      </c>
      <c r="H594" s="1">
        <v>45966</v>
      </c>
      <c r="I594" t="s">
        <v>2104</v>
      </c>
    </row>
    <row r="595" spans="1:9" x14ac:dyDescent="0.25">
      <c r="A595" t="s">
        <v>1582</v>
      </c>
      <c r="B595" t="s">
        <v>253</v>
      </c>
      <c r="C595" t="s">
        <v>1583</v>
      </c>
      <c r="D595" t="s">
        <v>33</v>
      </c>
      <c r="E595" t="s">
        <v>15</v>
      </c>
      <c r="F595">
        <v>5500000</v>
      </c>
      <c r="G595">
        <v>22</v>
      </c>
      <c r="H595" s="1">
        <v>45372</v>
      </c>
      <c r="I595" t="s">
        <v>2104</v>
      </c>
    </row>
    <row r="596" spans="1:9" x14ac:dyDescent="0.25">
      <c r="A596" t="s">
        <v>1584</v>
      </c>
      <c r="B596" t="s">
        <v>492</v>
      </c>
      <c r="C596" t="s">
        <v>1585</v>
      </c>
      <c r="D596" t="s">
        <v>18</v>
      </c>
      <c r="E596" t="s">
        <v>15</v>
      </c>
      <c r="F596">
        <v>6500000</v>
      </c>
      <c r="G596">
        <v>21</v>
      </c>
      <c r="H596" s="1">
        <v>45489</v>
      </c>
      <c r="I596" t="s">
        <v>2104</v>
      </c>
    </row>
    <row r="597" spans="1:9" x14ac:dyDescent="0.25">
      <c r="A597" t="s">
        <v>1586</v>
      </c>
      <c r="B597" t="s">
        <v>836</v>
      </c>
      <c r="C597" t="s">
        <v>1587</v>
      </c>
      <c r="D597" t="s">
        <v>18</v>
      </c>
      <c r="E597" t="s">
        <v>19</v>
      </c>
      <c r="F597">
        <v>6500000</v>
      </c>
      <c r="G597">
        <v>30</v>
      </c>
      <c r="H597" s="1">
        <v>43884</v>
      </c>
      <c r="I597" t="s">
        <v>2104</v>
      </c>
    </row>
    <row r="598" spans="1:9" x14ac:dyDescent="0.25">
      <c r="A598" t="s">
        <v>1588</v>
      </c>
      <c r="B598" t="s">
        <v>447</v>
      </c>
      <c r="C598" t="s">
        <v>1589</v>
      </c>
      <c r="D598" t="s">
        <v>33</v>
      </c>
      <c r="E598" t="s">
        <v>24</v>
      </c>
      <c r="F598">
        <v>6500000</v>
      </c>
      <c r="G598">
        <v>10</v>
      </c>
      <c r="H598" s="1">
        <v>44353</v>
      </c>
      <c r="I598" t="s">
        <v>2104</v>
      </c>
    </row>
    <row r="599" spans="1:9" x14ac:dyDescent="0.25">
      <c r="A599" t="s">
        <v>1590</v>
      </c>
      <c r="B599" t="s">
        <v>439</v>
      </c>
      <c r="C599" t="s">
        <v>1591</v>
      </c>
      <c r="D599" t="s">
        <v>18</v>
      </c>
      <c r="E599" t="s">
        <v>24</v>
      </c>
      <c r="F599">
        <v>13000000</v>
      </c>
      <c r="G599">
        <v>19</v>
      </c>
      <c r="H599" s="1">
        <v>45946</v>
      </c>
      <c r="I599" t="s">
        <v>2104</v>
      </c>
    </row>
    <row r="600" spans="1:9" x14ac:dyDescent="0.25">
      <c r="A600" t="s">
        <v>1592</v>
      </c>
      <c r="B600" t="s">
        <v>99</v>
      </c>
      <c r="C600" t="s">
        <v>1593</v>
      </c>
      <c r="D600" t="s">
        <v>37</v>
      </c>
      <c r="E600" t="s">
        <v>38</v>
      </c>
      <c r="F600">
        <v>10500000</v>
      </c>
      <c r="G600">
        <v>3</v>
      </c>
      <c r="H600" s="1">
        <v>44419</v>
      </c>
      <c r="I600" t="s">
        <v>2104</v>
      </c>
    </row>
    <row r="601" spans="1:9" x14ac:dyDescent="0.25">
      <c r="A601" t="s">
        <v>1594</v>
      </c>
      <c r="B601" t="s">
        <v>208</v>
      </c>
      <c r="C601" t="s">
        <v>1595</v>
      </c>
      <c r="D601" t="s">
        <v>14</v>
      </c>
      <c r="E601" t="s">
        <v>19</v>
      </c>
      <c r="F601">
        <v>8000000</v>
      </c>
      <c r="G601">
        <v>21</v>
      </c>
      <c r="H601" s="1">
        <v>44549</v>
      </c>
      <c r="I601" t="s">
        <v>2104</v>
      </c>
    </row>
    <row r="602" spans="1:9" x14ac:dyDescent="0.25">
      <c r="A602" t="s">
        <v>1596</v>
      </c>
      <c r="B602" t="s">
        <v>187</v>
      </c>
      <c r="C602" t="s">
        <v>1597</v>
      </c>
      <c r="D602" t="s">
        <v>42</v>
      </c>
      <c r="E602" t="s">
        <v>34</v>
      </c>
      <c r="F602">
        <v>10500000</v>
      </c>
      <c r="G602">
        <v>15</v>
      </c>
      <c r="H602" s="1">
        <v>44344</v>
      </c>
      <c r="I602" t="s">
        <v>2104</v>
      </c>
    </row>
    <row r="603" spans="1:9" x14ac:dyDescent="0.25">
      <c r="A603" t="s">
        <v>1598</v>
      </c>
      <c r="B603" t="s">
        <v>208</v>
      </c>
      <c r="C603" t="s">
        <v>1599</v>
      </c>
      <c r="D603" t="s">
        <v>42</v>
      </c>
      <c r="E603" t="s">
        <v>19</v>
      </c>
      <c r="F603">
        <v>6500000</v>
      </c>
      <c r="G603">
        <v>39</v>
      </c>
      <c r="H603" s="1">
        <v>44877</v>
      </c>
      <c r="I603" t="s">
        <v>2104</v>
      </c>
    </row>
    <row r="604" spans="1:9" x14ac:dyDescent="0.25">
      <c r="A604" t="s">
        <v>1600</v>
      </c>
      <c r="B604" t="s">
        <v>221</v>
      </c>
      <c r="C604" t="s">
        <v>1601</v>
      </c>
      <c r="D604" t="s">
        <v>23</v>
      </c>
      <c r="E604" t="s">
        <v>38</v>
      </c>
      <c r="F604">
        <v>10500000</v>
      </c>
      <c r="G604">
        <v>18</v>
      </c>
      <c r="H604" s="1">
        <v>44850</v>
      </c>
      <c r="I604" t="s">
        <v>2104</v>
      </c>
    </row>
    <row r="605" spans="1:9" x14ac:dyDescent="0.25">
      <c r="A605" t="s">
        <v>1604</v>
      </c>
      <c r="B605" t="s">
        <v>430</v>
      </c>
      <c r="C605" t="s">
        <v>1605</v>
      </c>
      <c r="D605" t="s">
        <v>14</v>
      </c>
      <c r="E605" t="s">
        <v>19</v>
      </c>
      <c r="F605">
        <v>10500000</v>
      </c>
      <c r="G605">
        <v>38</v>
      </c>
      <c r="H605" s="1">
        <v>45256</v>
      </c>
      <c r="I605" t="s">
        <v>2104</v>
      </c>
    </row>
    <row r="606" spans="1:9" x14ac:dyDescent="0.25">
      <c r="A606" t="s">
        <v>1606</v>
      </c>
      <c r="B606" t="s">
        <v>28</v>
      </c>
      <c r="C606" t="s">
        <v>1607</v>
      </c>
      <c r="D606" t="s">
        <v>18</v>
      </c>
      <c r="E606" t="s">
        <v>19</v>
      </c>
      <c r="F606">
        <v>5500000</v>
      </c>
      <c r="G606">
        <v>40</v>
      </c>
      <c r="H606" s="1">
        <v>44608</v>
      </c>
      <c r="I606" t="s">
        <v>2104</v>
      </c>
    </row>
    <row r="607" spans="1:9" x14ac:dyDescent="0.25">
      <c r="A607" t="s">
        <v>1608</v>
      </c>
      <c r="B607" t="s">
        <v>86</v>
      </c>
      <c r="C607" t="s">
        <v>1609</v>
      </c>
      <c r="D607" t="s">
        <v>18</v>
      </c>
      <c r="E607" t="s">
        <v>15</v>
      </c>
      <c r="F607">
        <v>8000000</v>
      </c>
      <c r="G607">
        <v>22</v>
      </c>
      <c r="H607" s="1">
        <v>45044</v>
      </c>
      <c r="I607" t="s">
        <v>2104</v>
      </c>
    </row>
    <row r="608" spans="1:9" x14ac:dyDescent="0.25">
      <c r="A608" t="s">
        <v>1610</v>
      </c>
      <c r="B608" t="s">
        <v>113</v>
      </c>
      <c r="C608" t="s">
        <v>1611</v>
      </c>
      <c r="D608" t="s">
        <v>18</v>
      </c>
      <c r="E608" t="s">
        <v>24</v>
      </c>
      <c r="F608">
        <v>13000000</v>
      </c>
      <c r="G608">
        <v>3</v>
      </c>
      <c r="H608" s="1">
        <v>45339</v>
      </c>
      <c r="I608" t="s">
        <v>2104</v>
      </c>
    </row>
    <row r="609" spans="1:9" x14ac:dyDescent="0.25">
      <c r="A609" t="s">
        <v>1612</v>
      </c>
      <c r="B609" t="s">
        <v>92</v>
      </c>
      <c r="C609" t="s">
        <v>1613</v>
      </c>
      <c r="D609" t="s">
        <v>33</v>
      </c>
      <c r="E609" t="s">
        <v>19</v>
      </c>
      <c r="F609">
        <v>13000000</v>
      </c>
      <c r="G609">
        <v>3</v>
      </c>
      <c r="H609" s="1">
        <v>44125</v>
      </c>
      <c r="I609" t="s">
        <v>2104</v>
      </c>
    </row>
    <row r="610" spans="1:9" x14ac:dyDescent="0.25">
      <c r="A610" t="s">
        <v>1614</v>
      </c>
      <c r="B610" t="s">
        <v>51</v>
      </c>
      <c r="C610" t="s">
        <v>1615</v>
      </c>
      <c r="D610" t="s">
        <v>37</v>
      </c>
      <c r="E610" t="s">
        <v>24</v>
      </c>
      <c r="F610">
        <v>6500000</v>
      </c>
      <c r="G610">
        <v>35</v>
      </c>
      <c r="H610" s="1">
        <v>45733</v>
      </c>
      <c r="I610" t="s">
        <v>2104</v>
      </c>
    </row>
    <row r="611" spans="1:9" x14ac:dyDescent="0.25">
      <c r="A611" t="s">
        <v>1616</v>
      </c>
      <c r="B611" t="s">
        <v>229</v>
      </c>
      <c r="C611" t="s">
        <v>1617</v>
      </c>
      <c r="D611" t="s">
        <v>23</v>
      </c>
      <c r="E611" t="s">
        <v>15</v>
      </c>
      <c r="F611">
        <v>13000000</v>
      </c>
      <c r="G611">
        <v>3</v>
      </c>
      <c r="H611" s="1">
        <v>44900</v>
      </c>
      <c r="I611" t="s">
        <v>2104</v>
      </c>
    </row>
    <row r="612" spans="1:9" x14ac:dyDescent="0.25">
      <c r="A612" t="s">
        <v>1618</v>
      </c>
      <c r="B612" t="s">
        <v>113</v>
      </c>
      <c r="C612" t="s">
        <v>1619</v>
      </c>
      <c r="D612" t="s">
        <v>18</v>
      </c>
      <c r="E612" t="s">
        <v>24</v>
      </c>
      <c r="F612">
        <v>6500000</v>
      </c>
      <c r="G612">
        <v>0</v>
      </c>
      <c r="H612" s="1">
        <v>43866</v>
      </c>
      <c r="I612" t="s">
        <v>2104</v>
      </c>
    </row>
    <row r="613" spans="1:9" x14ac:dyDescent="0.25">
      <c r="A613" t="s">
        <v>1620</v>
      </c>
      <c r="B613" t="s">
        <v>234</v>
      </c>
      <c r="C613" t="s">
        <v>1621</v>
      </c>
      <c r="D613" t="s">
        <v>33</v>
      </c>
      <c r="E613" t="s">
        <v>24</v>
      </c>
      <c r="F613">
        <v>13000000</v>
      </c>
      <c r="G613">
        <v>36</v>
      </c>
      <c r="H613" s="1">
        <v>44024</v>
      </c>
      <c r="I613" t="s">
        <v>2104</v>
      </c>
    </row>
    <row r="614" spans="1:9" x14ac:dyDescent="0.25">
      <c r="A614" t="s">
        <v>1624</v>
      </c>
      <c r="B614" t="s">
        <v>118</v>
      </c>
      <c r="C614" t="s">
        <v>1625</v>
      </c>
      <c r="D614" t="s">
        <v>23</v>
      </c>
      <c r="E614" t="s">
        <v>19</v>
      </c>
      <c r="F614">
        <v>10500000</v>
      </c>
      <c r="G614">
        <v>29</v>
      </c>
      <c r="H614" s="1">
        <v>44140</v>
      </c>
      <c r="I614" t="s">
        <v>2104</v>
      </c>
    </row>
    <row r="615" spans="1:9" x14ac:dyDescent="0.25">
      <c r="A615" t="s">
        <v>1626</v>
      </c>
      <c r="B615" t="s">
        <v>161</v>
      </c>
      <c r="C615" t="s">
        <v>1627</v>
      </c>
      <c r="D615" t="s">
        <v>18</v>
      </c>
      <c r="E615" t="s">
        <v>15</v>
      </c>
      <c r="F615">
        <v>10500000</v>
      </c>
      <c r="G615">
        <v>38</v>
      </c>
      <c r="H615" s="1">
        <v>44640</v>
      </c>
      <c r="I615" t="s">
        <v>2104</v>
      </c>
    </row>
    <row r="616" spans="1:9" x14ac:dyDescent="0.25">
      <c r="A616" t="s">
        <v>1628</v>
      </c>
      <c r="B616" t="s">
        <v>507</v>
      </c>
      <c r="C616" t="s">
        <v>1629</v>
      </c>
      <c r="D616" t="s">
        <v>18</v>
      </c>
      <c r="E616" t="s">
        <v>38</v>
      </c>
      <c r="F616">
        <v>5500000</v>
      </c>
      <c r="G616">
        <v>17</v>
      </c>
      <c r="H616" s="1">
        <v>44724</v>
      </c>
      <c r="I616" t="s">
        <v>2104</v>
      </c>
    </row>
    <row r="617" spans="1:9" x14ac:dyDescent="0.25">
      <c r="A617" t="s">
        <v>1630</v>
      </c>
      <c r="B617" t="s">
        <v>89</v>
      </c>
      <c r="C617" t="s">
        <v>1631</v>
      </c>
      <c r="D617" t="s">
        <v>37</v>
      </c>
      <c r="E617" t="s">
        <v>19</v>
      </c>
      <c r="F617">
        <v>6500000</v>
      </c>
      <c r="G617">
        <v>38</v>
      </c>
      <c r="H617" s="1">
        <v>45702</v>
      </c>
      <c r="I617" t="s">
        <v>2104</v>
      </c>
    </row>
    <row r="618" spans="1:9" x14ac:dyDescent="0.25">
      <c r="A618" t="s">
        <v>1632</v>
      </c>
      <c r="B618" t="s">
        <v>177</v>
      </c>
      <c r="C618" t="s">
        <v>1633</v>
      </c>
      <c r="D618" t="s">
        <v>18</v>
      </c>
      <c r="E618" t="s">
        <v>24</v>
      </c>
      <c r="F618">
        <v>10500000</v>
      </c>
      <c r="G618">
        <v>34</v>
      </c>
      <c r="H618" s="1">
        <v>44209</v>
      </c>
      <c r="I618" t="s">
        <v>2104</v>
      </c>
    </row>
    <row r="619" spans="1:9" x14ac:dyDescent="0.25">
      <c r="A619" t="s">
        <v>1634</v>
      </c>
      <c r="B619" t="s">
        <v>105</v>
      </c>
      <c r="C619" t="s">
        <v>1635</v>
      </c>
      <c r="D619" t="s">
        <v>42</v>
      </c>
      <c r="E619" t="s">
        <v>38</v>
      </c>
      <c r="F619">
        <v>6500000</v>
      </c>
      <c r="G619">
        <v>37</v>
      </c>
      <c r="H619" s="1">
        <v>45895</v>
      </c>
      <c r="I619" t="s">
        <v>2104</v>
      </c>
    </row>
    <row r="620" spans="1:9" x14ac:dyDescent="0.25">
      <c r="A620" t="s">
        <v>1636</v>
      </c>
      <c r="B620" t="s">
        <v>264</v>
      </c>
      <c r="C620" t="s">
        <v>1637</v>
      </c>
      <c r="D620" t="s">
        <v>42</v>
      </c>
      <c r="E620" t="s">
        <v>24</v>
      </c>
      <c r="F620">
        <v>10500000</v>
      </c>
      <c r="G620">
        <v>12</v>
      </c>
      <c r="H620" s="1">
        <v>45542</v>
      </c>
      <c r="I620" t="s">
        <v>2104</v>
      </c>
    </row>
    <row r="621" spans="1:9" x14ac:dyDescent="0.25">
      <c r="A621" t="s">
        <v>1638</v>
      </c>
      <c r="B621" t="s">
        <v>351</v>
      </c>
      <c r="C621" t="s">
        <v>1639</v>
      </c>
      <c r="D621" t="s">
        <v>14</v>
      </c>
      <c r="E621" t="s">
        <v>24</v>
      </c>
      <c r="F621">
        <v>10500000</v>
      </c>
      <c r="G621">
        <v>30</v>
      </c>
      <c r="H621" s="1">
        <v>45440</v>
      </c>
      <c r="I621" t="s">
        <v>2104</v>
      </c>
    </row>
    <row r="622" spans="1:9" x14ac:dyDescent="0.25">
      <c r="A622" t="s">
        <v>1640</v>
      </c>
      <c r="B622" t="s">
        <v>102</v>
      </c>
      <c r="C622" t="s">
        <v>1641</v>
      </c>
      <c r="D622" t="s">
        <v>42</v>
      </c>
      <c r="E622" t="s">
        <v>34</v>
      </c>
      <c r="F622">
        <v>5500000</v>
      </c>
      <c r="G622">
        <v>33</v>
      </c>
      <c r="H622" s="1">
        <v>43995</v>
      </c>
      <c r="I622" t="s">
        <v>2104</v>
      </c>
    </row>
    <row r="623" spans="1:9" x14ac:dyDescent="0.25">
      <c r="A623" t="s">
        <v>1642</v>
      </c>
      <c r="B623" t="s">
        <v>208</v>
      </c>
      <c r="C623" t="s">
        <v>1643</v>
      </c>
      <c r="D623" t="s">
        <v>23</v>
      </c>
      <c r="E623" t="s">
        <v>19</v>
      </c>
      <c r="F623">
        <v>10500000</v>
      </c>
      <c r="G623">
        <v>30</v>
      </c>
      <c r="H623" s="1">
        <v>44605</v>
      </c>
      <c r="I623" t="s">
        <v>2104</v>
      </c>
    </row>
    <row r="624" spans="1:9" x14ac:dyDescent="0.25">
      <c r="A624" t="s">
        <v>1644</v>
      </c>
      <c r="B624" t="s">
        <v>84</v>
      </c>
      <c r="C624" t="s">
        <v>1645</v>
      </c>
      <c r="D624" t="s">
        <v>42</v>
      </c>
      <c r="E624" t="s">
        <v>34</v>
      </c>
      <c r="F624">
        <v>13000000</v>
      </c>
      <c r="G624">
        <v>1</v>
      </c>
      <c r="H624" s="1">
        <v>45968</v>
      </c>
      <c r="I624" t="s">
        <v>2104</v>
      </c>
    </row>
    <row r="625" spans="1:9" x14ac:dyDescent="0.25">
      <c r="A625" t="s">
        <v>1648</v>
      </c>
      <c r="B625" t="s">
        <v>483</v>
      </c>
      <c r="C625" t="s">
        <v>1649</v>
      </c>
      <c r="D625" t="s">
        <v>37</v>
      </c>
      <c r="E625" t="s">
        <v>19</v>
      </c>
      <c r="F625">
        <v>6500000</v>
      </c>
      <c r="G625">
        <v>27</v>
      </c>
      <c r="H625" s="1">
        <v>45752</v>
      </c>
      <c r="I625" t="s">
        <v>2104</v>
      </c>
    </row>
    <row r="626" spans="1:9" x14ac:dyDescent="0.25">
      <c r="A626" t="s">
        <v>1652</v>
      </c>
      <c r="B626" t="s">
        <v>539</v>
      </c>
      <c r="C626" t="s">
        <v>1653</v>
      </c>
      <c r="D626" t="s">
        <v>14</v>
      </c>
      <c r="E626" t="s">
        <v>19</v>
      </c>
      <c r="F626">
        <v>10500000</v>
      </c>
      <c r="G626">
        <v>22</v>
      </c>
      <c r="H626" s="1">
        <v>45458</v>
      </c>
      <c r="I626" t="s">
        <v>2104</v>
      </c>
    </row>
    <row r="627" spans="1:9" x14ac:dyDescent="0.25">
      <c r="A627" t="s">
        <v>1654</v>
      </c>
      <c r="B627" t="s">
        <v>522</v>
      </c>
      <c r="C627" t="s">
        <v>1655</v>
      </c>
      <c r="D627" t="s">
        <v>42</v>
      </c>
      <c r="E627" t="s">
        <v>34</v>
      </c>
      <c r="F627">
        <v>10500000</v>
      </c>
      <c r="G627">
        <v>36</v>
      </c>
      <c r="H627" s="1">
        <v>45225</v>
      </c>
      <c r="I627" t="s">
        <v>2104</v>
      </c>
    </row>
    <row r="628" spans="1:9" x14ac:dyDescent="0.25">
      <c r="A628" t="s">
        <v>1656</v>
      </c>
      <c r="B628" t="s">
        <v>267</v>
      </c>
      <c r="C628" t="s">
        <v>1657</v>
      </c>
      <c r="D628" t="s">
        <v>18</v>
      </c>
      <c r="E628" t="s">
        <v>15</v>
      </c>
      <c r="F628">
        <v>8000000</v>
      </c>
      <c r="G628">
        <v>18</v>
      </c>
      <c r="H628" s="1">
        <v>44613</v>
      </c>
      <c r="I628" t="s">
        <v>2104</v>
      </c>
    </row>
    <row r="629" spans="1:9" x14ac:dyDescent="0.25">
      <c r="A629" t="s">
        <v>1658</v>
      </c>
      <c r="B629" t="s">
        <v>193</v>
      </c>
      <c r="C629" t="s">
        <v>1659</v>
      </c>
      <c r="D629" t="s">
        <v>14</v>
      </c>
      <c r="E629" t="s">
        <v>19</v>
      </c>
      <c r="F629">
        <v>10500000</v>
      </c>
      <c r="G629">
        <v>2</v>
      </c>
      <c r="H629" s="1">
        <v>44959</v>
      </c>
      <c r="I629" t="s">
        <v>2104</v>
      </c>
    </row>
    <row r="630" spans="1:9" x14ac:dyDescent="0.25">
      <c r="A630" t="s">
        <v>1660</v>
      </c>
      <c r="B630" t="s">
        <v>229</v>
      </c>
      <c r="C630" t="s">
        <v>1661</v>
      </c>
      <c r="D630" t="s">
        <v>23</v>
      </c>
      <c r="E630" t="s">
        <v>19</v>
      </c>
      <c r="F630">
        <v>6500000</v>
      </c>
      <c r="G630">
        <v>15</v>
      </c>
      <c r="H630" s="1">
        <v>44899</v>
      </c>
      <c r="I630" t="s">
        <v>2104</v>
      </c>
    </row>
    <row r="631" spans="1:9" x14ac:dyDescent="0.25">
      <c r="A631" t="s">
        <v>1666</v>
      </c>
      <c r="B631" t="s">
        <v>66</v>
      </c>
      <c r="C631" t="s">
        <v>1667</v>
      </c>
      <c r="D631" t="s">
        <v>14</v>
      </c>
      <c r="E631" t="s">
        <v>38</v>
      </c>
      <c r="F631">
        <v>8000000</v>
      </c>
      <c r="G631">
        <v>22</v>
      </c>
      <c r="H631" s="1">
        <v>46000</v>
      </c>
      <c r="I631" t="s">
        <v>2104</v>
      </c>
    </row>
    <row r="632" spans="1:9" x14ac:dyDescent="0.25">
      <c r="A632" t="s">
        <v>1670</v>
      </c>
      <c r="B632" t="s">
        <v>208</v>
      </c>
      <c r="C632" t="s">
        <v>1671</v>
      </c>
      <c r="D632" t="s">
        <v>33</v>
      </c>
      <c r="E632" t="s">
        <v>19</v>
      </c>
      <c r="F632">
        <v>8000000</v>
      </c>
      <c r="G632">
        <v>3</v>
      </c>
      <c r="H632" s="1">
        <v>45743</v>
      </c>
      <c r="I632" t="s">
        <v>2104</v>
      </c>
    </row>
    <row r="633" spans="1:9" x14ac:dyDescent="0.25">
      <c r="A633" t="s">
        <v>1672</v>
      </c>
      <c r="B633" t="s">
        <v>447</v>
      </c>
      <c r="C633" t="s">
        <v>1673</v>
      </c>
      <c r="D633" t="s">
        <v>33</v>
      </c>
      <c r="E633" t="s">
        <v>19</v>
      </c>
      <c r="F633">
        <v>13000000</v>
      </c>
      <c r="G633">
        <v>7</v>
      </c>
      <c r="H633" s="1">
        <v>44031</v>
      </c>
      <c r="I633" t="s">
        <v>2104</v>
      </c>
    </row>
    <row r="634" spans="1:9" x14ac:dyDescent="0.25">
      <c r="A634" t="s">
        <v>1674</v>
      </c>
      <c r="B634" t="s">
        <v>522</v>
      </c>
      <c r="C634" t="s">
        <v>1675</v>
      </c>
      <c r="D634" t="s">
        <v>33</v>
      </c>
      <c r="E634" t="s">
        <v>19</v>
      </c>
      <c r="F634">
        <v>6500000</v>
      </c>
      <c r="G634">
        <v>17</v>
      </c>
      <c r="H634" s="1">
        <v>44582</v>
      </c>
      <c r="I634" t="s">
        <v>2104</v>
      </c>
    </row>
    <row r="635" spans="1:9" x14ac:dyDescent="0.25">
      <c r="A635" t="s">
        <v>1676</v>
      </c>
      <c r="B635" t="s">
        <v>92</v>
      </c>
      <c r="C635" t="s">
        <v>1677</v>
      </c>
      <c r="D635" t="s">
        <v>23</v>
      </c>
      <c r="E635" t="s">
        <v>24</v>
      </c>
      <c r="F635">
        <v>13000000</v>
      </c>
      <c r="G635">
        <v>10</v>
      </c>
      <c r="H635" s="1">
        <v>44051</v>
      </c>
      <c r="I635" t="s">
        <v>2104</v>
      </c>
    </row>
    <row r="636" spans="1:9" x14ac:dyDescent="0.25">
      <c r="A636" t="s">
        <v>1678</v>
      </c>
      <c r="B636" t="s">
        <v>261</v>
      </c>
      <c r="C636" t="s">
        <v>1679</v>
      </c>
      <c r="D636" t="s">
        <v>42</v>
      </c>
      <c r="E636" t="s">
        <v>19</v>
      </c>
      <c r="F636">
        <v>5500000</v>
      </c>
      <c r="G636">
        <v>26</v>
      </c>
      <c r="H636" s="1">
        <v>45395</v>
      </c>
      <c r="I636" t="s">
        <v>2104</v>
      </c>
    </row>
    <row r="637" spans="1:9" x14ac:dyDescent="0.25">
      <c r="A637" t="s">
        <v>1680</v>
      </c>
      <c r="B637" t="s">
        <v>206</v>
      </c>
      <c r="C637" t="s">
        <v>1681</v>
      </c>
      <c r="D637" t="s">
        <v>23</v>
      </c>
      <c r="E637" t="s">
        <v>24</v>
      </c>
      <c r="F637">
        <v>5500000</v>
      </c>
      <c r="G637">
        <v>30</v>
      </c>
      <c r="H637" s="1">
        <v>45731</v>
      </c>
      <c r="I637" t="s">
        <v>2104</v>
      </c>
    </row>
    <row r="638" spans="1:9" x14ac:dyDescent="0.25">
      <c r="A638" t="s">
        <v>1682</v>
      </c>
      <c r="B638" t="s">
        <v>142</v>
      </c>
      <c r="C638" t="s">
        <v>1683</v>
      </c>
      <c r="D638" t="s">
        <v>37</v>
      </c>
      <c r="E638" t="s">
        <v>34</v>
      </c>
      <c r="F638">
        <v>10500000</v>
      </c>
      <c r="G638">
        <v>13</v>
      </c>
      <c r="H638" s="1">
        <v>45346</v>
      </c>
      <c r="I638" t="s">
        <v>2104</v>
      </c>
    </row>
    <row r="639" spans="1:9" x14ac:dyDescent="0.25">
      <c r="A639" t="s">
        <v>1684</v>
      </c>
      <c r="B639" t="s">
        <v>105</v>
      </c>
      <c r="C639" t="s">
        <v>1685</v>
      </c>
      <c r="D639" t="s">
        <v>14</v>
      </c>
      <c r="E639" t="s">
        <v>38</v>
      </c>
      <c r="F639">
        <v>13000000</v>
      </c>
      <c r="G639">
        <v>29</v>
      </c>
      <c r="H639" s="1">
        <v>44256</v>
      </c>
      <c r="I639" t="s">
        <v>2104</v>
      </c>
    </row>
    <row r="640" spans="1:9" x14ac:dyDescent="0.25">
      <c r="A640" t="s">
        <v>1686</v>
      </c>
      <c r="B640" t="s">
        <v>134</v>
      </c>
      <c r="C640" t="s">
        <v>1687</v>
      </c>
      <c r="D640" t="s">
        <v>14</v>
      </c>
      <c r="E640" t="s">
        <v>15</v>
      </c>
      <c r="F640">
        <v>10500000</v>
      </c>
      <c r="G640">
        <v>8</v>
      </c>
      <c r="H640" s="1">
        <v>45304</v>
      </c>
      <c r="I640" t="s">
        <v>2104</v>
      </c>
    </row>
    <row r="641" spans="1:9" x14ac:dyDescent="0.25">
      <c r="A641" t="s">
        <v>1688</v>
      </c>
      <c r="B641" t="s">
        <v>123</v>
      </c>
      <c r="C641" t="s">
        <v>1689</v>
      </c>
      <c r="D641" t="s">
        <v>33</v>
      </c>
      <c r="E641" t="s">
        <v>19</v>
      </c>
      <c r="F641">
        <v>5500000</v>
      </c>
      <c r="G641">
        <v>10</v>
      </c>
      <c r="H641" s="1">
        <v>44551</v>
      </c>
      <c r="I641" t="s">
        <v>2104</v>
      </c>
    </row>
    <row r="642" spans="1:9" x14ac:dyDescent="0.25">
      <c r="A642" t="s">
        <v>1690</v>
      </c>
      <c r="B642" t="s">
        <v>439</v>
      </c>
      <c r="C642" t="s">
        <v>1691</v>
      </c>
      <c r="D642" t="s">
        <v>23</v>
      </c>
      <c r="E642" t="s">
        <v>34</v>
      </c>
      <c r="F642">
        <v>13000000</v>
      </c>
      <c r="G642">
        <v>5</v>
      </c>
      <c r="H642" s="1">
        <v>43962</v>
      </c>
      <c r="I642" t="s">
        <v>2104</v>
      </c>
    </row>
    <row r="643" spans="1:9" x14ac:dyDescent="0.25">
      <c r="A643" t="s">
        <v>1692</v>
      </c>
      <c r="B643" t="s">
        <v>57</v>
      </c>
      <c r="C643" t="s">
        <v>1693</v>
      </c>
      <c r="D643" t="s">
        <v>42</v>
      </c>
      <c r="E643" t="s">
        <v>24</v>
      </c>
      <c r="F643">
        <v>13000000</v>
      </c>
      <c r="G643">
        <v>31</v>
      </c>
      <c r="H643" s="1">
        <v>44936</v>
      </c>
      <c r="I643" t="s">
        <v>2104</v>
      </c>
    </row>
    <row r="644" spans="1:9" x14ac:dyDescent="0.25">
      <c r="A644" t="s">
        <v>1694</v>
      </c>
      <c r="B644" t="s">
        <v>221</v>
      </c>
      <c r="C644" t="s">
        <v>1695</v>
      </c>
      <c r="D644" t="s">
        <v>42</v>
      </c>
      <c r="E644" t="s">
        <v>38</v>
      </c>
      <c r="F644">
        <v>10500000</v>
      </c>
      <c r="G644">
        <v>17</v>
      </c>
      <c r="H644" s="1">
        <v>44137</v>
      </c>
      <c r="I644" t="s">
        <v>2104</v>
      </c>
    </row>
    <row r="645" spans="1:9" x14ac:dyDescent="0.25">
      <c r="A645" t="s">
        <v>1696</v>
      </c>
      <c r="B645" t="s">
        <v>464</v>
      </c>
      <c r="C645" t="s">
        <v>1697</v>
      </c>
      <c r="D645" t="s">
        <v>18</v>
      </c>
      <c r="E645" t="s">
        <v>24</v>
      </c>
      <c r="F645">
        <v>6500000</v>
      </c>
      <c r="G645">
        <v>12</v>
      </c>
      <c r="H645" s="1">
        <v>44566</v>
      </c>
      <c r="I645" t="s">
        <v>2104</v>
      </c>
    </row>
    <row r="646" spans="1:9" x14ac:dyDescent="0.25">
      <c r="A646" t="s">
        <v>1698</v>
      </c>
      <c r="B646" t="s">
        <v>123</v>
      </c>
      <c r="C646" t="s">
        <v>1699</v>
      </c>
      <c r="D646" t="s">
        <v>33</v>
      </c>
      <c r="E646" t="s">
        <v>15</v>
      </c>
      <c r="F646">
        <v>6500000</v>
      </c>
      <c r="G646">
        <v>4</v>
      </c>
      <c r="H646" s="1">
        <v>45493</v>
      </c>
      <c r="I646" t="s">
        <v>2104</v>
      </c>
    </row>
    <row r="647" spans="1:9" x14ac:dyDescent="0.25">
      <c r="A647" t="s">
        <v>1700</v>
      </c>
      <c r="B647" t="s">
        <v>158</v>
      </c>
      <c r="C647" t="s">
        <v>1701</v>
      </c>
      <c r="D647" t="s">
        <v>37</v>
      </c>
      <c r="E647" t="s">
        <v>15</v>
      </c>
      <c r="F647">
        <v>10500000</v>
      </c>
      <c r="G647">
        <v>30</v>
      </c>
      <c r="H647" s="1">
        <v>45357</v>
      </c>
      <c r="I647" t="s">
        <v>2104</v>
      </c>
    </row>
    <row r="648" spans="1:9" x14ac:dyDescent="0.25">
      <c r="A648" t="s">
        <v>1702</v>
      </c>
      <c r="B648" t="s">
        <v>217</v>
      </c>
      <c r="C648" t="s">
        <v>1703</v>
      </c>
      <c r="D648" t="s">
        <v>37</v>
      </c>
      <c r="E648" t="s">
        <v>34</v>
      </c>
      <c r="F648">
        <v>6500000</v>
      </c>
      <c r="G648">
        <v>11</v>
      </c>
      <c r="H648" s="1">
        <v>43851</v>
      </c>
      <c r="I648" t="s">
        <v>2104</v>
      </c>
    </row>
    <row r="649" spans="1:9" x14ac:dyDescent="0.25">
      <c r="A649" t="s">
        <v>1704</v>
      </c>
      <c r="B649" t="s">
        <v>113</v>
      </c>
      <c r="C649" t="s">
        <v>1705</v>
      </c>
      <c r="D649" t="s">
        <v>18</v>
      </c>
      <c r="E649" t="s">
        <v>15</v>
      </c>
      <c r="F649">
        <v>10500000</v>
      </c>
      <c r="G649">
        <v>29</v>
      </c>
      <c r="H649" s="1">
        <v>45888</v>
      </c>
      <c r="I649" t="s">
        <v>2104</v>
      </c>
    </row>
    <row r="650" spans="1:9" x14ac:dyDescent="0.25">
      <c r="A650" t="s">
        <v>1706</v>
      </c>
      <c r="B650" t="s">
        <v>193</v>
      </c>
      <c r="C650" t="s">
        <v>1707</v>
      </c>
      <c r="D650" t="s">
        <v>14</v>
      </c>
      <c r="E650" t="s">
        <v>34</v>
      </c>
      <c r="F650">
        <v>13000000</v>
      </c>
      <c r="G650">
        <v>13</v>
      </c>
      <c r="H650" s="1">
        <v>43932</v>
      </c>
      <c r="I650" t="s">
        <v>2104</v>
      </c>
    </row>
    <row r="651" spans="1:9" x14ac:dyDescent="0.25">
      <c r="A651" t="s">
        <v>1708</v>
      </c>
      <c r="B651" t="s">
        <v>696</v>
      </c>
      <c r="C651" t="s">
        <v>1709</v>
      </c>
      <c r="D651" t="s">
        <v>18</v>
      </c>
      <c r="E651" t="s">
        <v>34</v>
      </c>
      <c r="F651">
        <v>8000000</v>
      </c>
      <c r="G651">
        <v>8</v>
      </c>
      <c r="H651" s="1">
        <v>44643</v>
      </c>
      <c r="I651" t="s">
        <v>2104</v>
      </c>
    </row>
    <row r="652" spans="1:9" x14ac:dyDescent="0.25">
      <c r="A652" t="s">
        <v>1710</v>
      </c>
      <c r="B652" t="s">
        <v>340</v>
      </c>
      <c r="C652" t="s">
        <v>1711</v>
      </c>
      <c r="D652" t="s">
        <v>42</v>
      </c>
      <c r="E652" t="s">
        <v>38</v>
      </c>
      <c r="F652">
        <v>8000000</v>
      </c>
      <c r="G652">
        <v>6</v>
      </c>
      <c r="H652" s="1">
        <v>45691</v>
      </c>
      <c r="I652" t="s">
        <v>2104</v>
      </c>
    </row>
    <row r="653" spans="1:9" x14ac:dyDescent="0.25">
      <c r="A653" t="s">
        <v>1712</v>
      </c>
      <c r="B653" t="s">
        <v>89</v>
      </c>
      <c r="C653" t="s">
        <v>1713</v>
      </c>
      <c r="D653" t="s">
        <v>42</v>
      </c>
      <c r="E653" t="s">
        <v>34</v>
      </c>
      <c r="F653">
        <v>8000000</v>
      </c>
      <c r="G653">
        <v>37</v>
      </c>
      <c r="H653" s="1">
        <v>44175</v>
      </c>
      <c r="I653" t="s">
        <v>2104</v>
      </c>
    </row>
    <row r="654" spans="1:9" x14ac:dyDescent="0.25">
      <c r="A654" t="s">
        <v>1716</v>
      </c>
      <c r="B654" t="s">
        <v>108</v>
      </c>
      <c r="C654" t="s">
        <v>1717</v>
      </c>
      <c r="D654" t="s">
        <v>37</v>
      </c>
      <c r="E654" t="s">
        <v>15</v>
      </c>
      <c r="F654">
        <v>13000000</v>
      </c>
      <c r="G654">
        <v>2</v>
      </c>
      <c r="H654" s="1">
        <v>45418</v>
      </c>
      <c r="I654" t="s">
        <v>2104</v>
      </c>
    </row>
    <row r="655" spans="1:9" x14ac:dyDescent="0.25">
      <c r="A655" t="s">
        <v>1720</v>
      </c>
      <c r="B655" t="s">
        <v>1113</v>
      </c>
      <c r="C655" t="s">
        <v>1721</v>
      </c>
      <c r="D655" t="s">
        <v>42</v>
      </c>
      <c r="E655" t="s">
        <v>15</v>
      </c>
      <c r="F655">
        <v>6500000</v>
      </c>
      <c r="G655">
        <v>19</v>
      </c>
      <c r="H655" s="1">
        <v>44584</v>
      </c>
      <c r="I655" t="s">
        <v>2104</v>
      </c>
    </row>
    <row r="656" spans="1:9" x14ac:dyDescent="0.25">
      <c r="A656" t="s">
        <v>1722</v>
      </c>
      <c r="B656" t="s">
        <v>12</v>
      </c>
      <c r="C656" t="s">
        <v>1723</v>
      </c>
      <c r="D656" t="s">
        <v>18</v>
      </c>
      <c r="E656" t="s">
        <v>38</v>
      </c>
      <c r="F656">
        <v>10500000</v>
      </c>
      <c r="G656">
        <v>10</v>
      </c>
      <c r="H656" s="1">
        <v>44543</v>
      </c>
      <c r="I656" t="s">
        <v>2104</v>
      </c>
    </row>
    <row r="657" spans="1:9" x14ac:dyDescent="0.25">
      <c r="A657" t="s">
        <v>1724</v>
      </c>
      <c r="B657" t="s">
        <v>123</v>
      </c>
      <c r="C657" t="s">
        <v>1725</v>
      </c>
      <c r="D657" t="s">
        <v>14</v>
      </c>
      <c r="E657" t="s">
        <v>24</v>
      </c>
      <c r="F657">
        <v>5500000</v>
      </c>
      <c r="G657">
        <v>39</v>
      </c>
      <c r="H657" s="1">
        <v>44519</v>
      </c>
      <c r="I657" t="s">
        <v>2104</v>
      </c>
    </row>
    <row r="658" spans="1:9" x14ac:dyDescent="0.25">
      <c r="A658" t="s">
        <v>1726</v>
      </c>
      <c r="B658" t="s">
        <v>129</v>
      </c>
      <c r="C658" t="s">
        <v>1727</v>
      </c>
      <c r="D658" t="s">
        <v>18</v>
      </c>
      <c r="E658" t="s">
        <v>15</v>
      </c>
      <c r="F658">
        <v>8000000</v>
      </c>
      <c r="G658">
        <v>2</v>
      </c>
      <c r="H658" s="1">
        <v>44975</v>
      </c>
      <c r="I658" t="s">
        <v>2104</v>
      </c>
    </row>
    <row r="659" spans="1:9" x14ac:dyDescent="0.25">
      <c r="A659" t="s">
        <v>1728</v>
      </c>
      <c r="B659" t="s">
        <v>153</v>
      </c>
      <c r="C659" t="s">
        <v>1729</v>
      </c>
      <c r="D659" t="s">
        <v>14</v>
      </c>
      <c r="E659" t="s">
        <v>15</v>
      </c>
      <c r="F659">
        <v>10500000</v>
      </c>
      <c r="G659">
        <v>35</v>
      </c>
      <c r="H659" s="1">
        <v>45437</v>
      </c>
      <c r="I659" t="s">
        <v>2104</v>
      </c>
    </row>
    <row r="660" spans="1:9" x14ac:dyDescent="0.25">
      <c r="A660" t="s">
        <v>1732</v>
      </c>
      <c r="B660" t="s">
        <v>253</v>
      </c>
      <c r="C660" t="s">
        <v>1733</v>
      </c>
      <c r="D660" t="s">
        <v>37</v>
      </c>
      <c r="E660" t="s">
        <v>15</v>
      </c>
      <c r="F660">
        <v>10500000</v>
      </c>
      <c r="G660">
        <v>3</v>
      </c>
      <c r="H660" s="1">
        <v>44277</v>
      </c>
      <c r="I660" t="s">
        <v>2104</v>
      </c>
    </row>
    <row r="661" spans="1:9" x14ac:dyDescent="0.25">
      <c r="A661" t="s">
        <v>1734</v>
      </c>
      <c r="B661" t="s">
        <v>244</v>
      </c>
      <c r="C661" t="s">
        <v>1735</v>
      </c>
      <c r="D661" t="s">
        <v>42</v>
      </c>
      <c r="E661" t="s">
        <v>38</v>
      </c>
      <c r="F661">
        <v>13000000</v>
      </c>
      <c r="G661">
        <v>4</v>
      </c>
      <c r="H661" s="1">
        <v>45297</v>
      </c>
      <c r="I661" t="s">
        <v>2104</v>
      </c>
    </row>
    <row r="662" spans="1:9" x14ac:dyDescent="0.25">
      <c r="A662" t="s">
        <v>1736</v>
      </c>
      <c r="B662" t="s">
        <v>94</v>
      </c>
      <c r="C662" t="s">
        <v>1737</v>
      </c>
      <c r="D662" t="s">
        <v>37</v>
      </c>
      <c r="E662" t="s">
        <v>19</v>
      </c>
      <c r="F662">
        <v>6500000</v>
      </c>
      <c r="G662">
        <v>14</v>
      </c>
      <c r="H662" s="1">
        <v>45954</v>
      </c>
      <c r="I662" t="s">
        <v>2104</v>
      </c>
    </row>
    <row r="663" spans="1:9" x14ac:dyDescent="0.25">
      <c r="A663" t="s">
        <v>1738</v>
      </c>
      <c r="B663" t="s">
        <v>208</v>
      </c>
      <c r="C663" t="s">
        <v>1739</v>
      </c>
      <c r="D663" t="s">
        <v>18</v>
      </c>
      <c r="E663" t="s">
        <v>34</v>
      </c>
      <c r="F663">
        <v>8000000</v>
      </c>
      <c r="G663">
        <v>30</v>
      </c>
      <c r="H663" s="1">
        <v>45934</v>
      </c>
      <c r="I663" t="s">
        <v>2104</v>
      </c>
    </row>
    <row r="664" spans="1:9" x14ac:dyDescent="0.25">
      <c r="A664" t="s">
        <v>1740</v>
      </c>
      <c r="B664" t="s">
        <v>190</v>
      </c>
      <c r="C664" t="s">
        <v>1741</v>
      </c>
      <c r="D664" t="s">
        <v>37</v>
      </c>
      <c r="E664" t="s">
        <v>34</v>
      </c>
      <c r="F664">
        <v>6500000</v>
      </c>
      <c r="G664">
        <v>34</v>
      </c>
      <c r="H664" s="1">
        <v>45429</v>
      </c>
      <c r="I664" t="s">
        <v>2104</v>
      </c>
    </row>
    <row r="665" spans="1:9" x14ac:dyDescent="0.25">
      <c r="A665" t="s">
        <v>1742</v>
      </c>
      <c r="B665" t="s">
        <v>68</v>
      </c>
      <c r="C665" t="s">
        <v>1743</v>
      </c>
      <c r="D665" t="s">
        <v>42</v>
      </c>
      <c r="E665" t="s">
        <v>38</v>
      </c>
      <c r="F665">
        <v>6500000</v>
      </c>
      <c r="G665">
        <v>32</v>
      </c>
      <c r="H665" s="1">
        <v>45060</v>
      </c>
      <c r="I665" t="s">
        <v>2104</v>
      </c>
    </row>
    <row r="666" spans="1:9" x14ac:dyDescent="0.25">
      <c r="A666" t="s">
        <v>1744</v>
      </c>
      <c r="B666" t="s">
        <v>35</v>
      </c>
      <c r="C666" t="s">
        <v>1745</v>
      </c>
      <c r="D666" t="s">
        <v>42</v>
      </c>
      <c r="E666" t="s">
        <v>34</v>
      </c>
      <c r="F666">
        <v>6500000</v>
      </c>
      <c r="G666">
        <v>23</v>
      </c>
      <c r="H666" s="1">
        <v>44531</v>
      </c>
      <c r="I666" t="s">
        <v>2104</v>
      </c>
    </row>
    <row r="667" spans="1:9" x14ac:dyDescent="0.25">
      <c r="A667" t="s">
        <v>1746</v>
      </c>
      <c r="B667" t="s">
        <v>267</v>
      </c>
      <c r="C667" t="s">
        <v>1747</v>
      </c>
      <c r="D667" t="s">
        <v>37</v>
      </c>
      <c r="E667" t="s">
        <v>19</v>
      </c>
      <c r="F667">
        <v>13000000</v>
      </c>
      <c r="G667">
        <v>0</v>
      </c>
      <c r="H667" s="1">
        <v>45176</v>
      </c>
      <c r="I667" t="s">
        <v>2104</v>
      </c>
    </row>
    <row r="668" spans="1:9" x14ac:dyDescent="0.25">
      <c r="A668" t="s">
        <v>1748</v>
      </c>
      <c r="B668" t="s">
        <v>311</v>
      </c>
      <c r="C668" t="s">
        <v>1749</v>
      </c>
      <c r="D668" t="s">
        <v>18</v>
      </c>
      <c r="E668" t="s">
        <v>19</v>
      </c>
      <c r="F668">
        <v>13000000</v>
      </c>
      <c r="G668">
        <v>37</v>
      </c>
      <c r="H668" s="1">
        <v>45996</v>
      </c>
      <c r="I668" t="s">
        <v>2104</v>
      </c>
    </row>
    <row r="669" spans="1:9" x14ac:dyDescent="0.25">
      <c r="A669" t="s">
        <v>1750</v>
      </c>
      <c r="B669" t="s">
        <v>267</v>
      </c>
      <c r="C669" t="s">
        <v>1751</v>
      </c>
      <c r="D669" t="s">
        <v>33</v>
      </c>
      <c r="E669" t="s">
        <v>34</v>
      </c>
      <c r="F669">
        <v>6500000</v>
      </c>
      <c r="G669">
        <v>5</v>
      </c>
      <c r="H669" s="1">
        <v>44432</v>
      </c>
      <c r="I669" t="s">
        <v>2104</v>
      </c>
    </row>
    <row r="670" spans="1:9" x14ac:dyDescent="0.25">
      <c r="A670" t="s">
        <v>1752</v>
      </c>
      <c r="B670" t="s">
        <v>174</v>
      </c>
      <c r="C670" t="s">
        <v>1753</v>
      </c>
      <c r="D670" t="s">
        <v>23</v>
      </c>
      <c r="E670" t="s">
        <v>24</v>
      </c>
      <c r="F670">
        <v>6500000</v>
      </c>
      <c r="G670">
        <v>7</v>
      </c>
      <c r="H670" s="1">
        <v>44746</v>
      </c>
      <c r="I670" t="s">
        <v>2104</v>
      </c>
    </row>
    <row r="671" spans="1:9" x14ac:dyDescent="0.25">
      <c r="A671" t="s">
        <v>1754</v>
      </c>
      <c r="B671" t="s">
        <v>643</v>
      </c>
      <c r="C671" t="s">
        <v>1755</v>
      </c>
      <c r="D671" t="s">
        <v>14</v>
      </c>
      <c r="E671" t="s">
        <v>24</v>
      </c>
      <c r="F671">
        <v>10500000</v>
      </c>
      <c r="G671">
        <v>10</v>
      </c>
      <c r="H671" s="1">
        <v>45359</v>
      </c>
      <c r="I671" t="s">
        <v>2104</v>
      </c>
    </row>
    <row r="672" spans="1:9" x14ac:dyDescent="0.25">
      <c r="A672" t="s">
        <v>1756</v>
      </c>
      <c r="B672" t="s">
        <v>129</v>
      </c>
      <c r="C672" t="s">
        <v>1757</v>
      </c>
      <c r="D672" t="s">
        <v>18</v>
      </c>
      <c r="E672" t="s">
        <v>24</v>
      </c>
      <c r="F672">
        <v>6500000</v>
      </c>
      <c r="G672">
        <v>23</v>
      </c>
      <c r="H672" s="1">
        <v>45385</v>
      </c>
      <c r="I672" t="s">
        <v>2104</v>
      </c>
    </row>
    <row r="673" spans="1:9" x14ac:dyDescent="0.25">
      <c r="A673" t="s">
        <v>1758</v>
      </c>
      <c r="B673" t="s">
        <v>54</v>
      </c>
      <c r="C673" t="s">
        <v>1759</v>
      </c>
      <c r="D673" t="s">
        <v>14</v>
      </c>
      <c r="E673" t="s">
        <v>34</v>
      </c>
      <c r="F673">
        <v>8000000</v>
      </c>
      <c r="G673">
        <v>30</v>
      </c>
      <c r="H673" s="1">
        <v>44793</v>
      </c>
      <c r="I673" t="s">
        <v>2104</v>
      </c>
    </row>
    <row r="674" spans="1:9" x14ac:dyDescent="0.25">
      <c r="A674" t="s">
        <v>1760</v>
      </c>
      <c r="B674" t="s">
        <v>400</v>
      </c>
      <c r="C674" t="s">
        <v>1761</v>
      </c>
      <c r="D674" t="s">
        <v>23</v>
      </c>
      <c r="E674" t="s">
        <v>24</v>
      </c>
      <c r="F674">
        <v>6500000</v>
      </c>
      <c r="G674">
        <v>13</v>
      </c>
      <c r="H674" s="1">
        <v>45969</v>
      </c>
      <c r="I674" t="s">
        <v>2104</v>
      </c>
    </row>
    <row r="675" spans="1:9" x14ac:dyDescent="0.25">
      <c r="A675" t="s">
        <v>1762</v>
      </c>
      <c r="B675" t="s">
        <v>84</v>
      </c>
      <c r="C675" t="s">
        <v>1763</v>
      </c>
      <c r="D675" t="s">
        <v>23</v>
      </c>
      <c r="E675" t="s">
        <v>38</v>
      </c>
      <c r="F675">
        <v>6500000</v>
      </c>
      <c r="G675">
        <v>36</v>
      </c>
      <c r="H675" s="1">
        <v>44506</v>
      </c>
      <c r="I675" t="s">
        <v>2104</v>
      </c>
    </row>
    <row r="676" spans="1:9" x14ac:dyDescent="0.25">
      <c r="A676" t="s">
        <v>1764</v>
      </c>
      <c r="B676" t="s">
        <v>26</v>
      </c>
      <c r="C676" t="s">
        <v>1765</v>
      </c>
      <c r="D676" t="s">
        <v>14</v>
      </c>
      <c r="E676" t="s">
        <v>38</v>
      </c>
      <c r="F676">
        <v>6500000</v>
      </c>
      <c r="G676">
        <v>10</v>
      </c>
      <c r="H676" s="1">
        <v>44390</v>
      </c>
      <c r="I676" t="s">
        <v>2104</v>
      </c>
    </row>
    <row r="677" spans="1:9" x14ac:dyDescent="0.25">
      <c r="A677" t="s">
        <v>1766</v>
      </c>
      <c r="B677" t="s">
        <v>492</v>
      </c>
      <c r="C677" t="s">
        <v>1767</v>
      </c>
      <c r="D677" t="s">
        <v>37</v>
      </c>
      <c r="E677" t="s">
        <v>15</v>
      </c>
      <c r="F677">
        <v>5500000</v>
      </c>
      <c r="G677">
        <v>15</v>
      </c>
      <c r="H677" s="1">
        <v>45902</v>
      </c>
      <c r="I677" t="s">
        <v>2104</v>
      </c>
    </row>
    <row r="678" spans="1:9" x14ac:dyDescent="0.25">
      <c r="A678" t="s">
        <v>1768</v>
      </c>
      <c r="B678" t="s">
        <v>360</v>
      </c>
      <c r="C678" t="s">
        <v>1769</v>
      </c>
      <c r="D678" t="s">
        <v>18</v>
      </c>
      <c r="E678" t="s">
        <v>19</v>
      </c>
      <c r="F678">
        <v>6500000</v>
      </c>
      <c r="G678">
        <v>14</v>
      </c>
      <c r="H678" s="1">
        <v>45419</v>
      </c>
      <c r="I678" t="s">
        <v>2104</v>
      </c>
    </row>
    <row r="679" spans="1:9" x14ac:dyDescent="0.25">
      <c r="A679" t="s">
        <v>1770</v>
      </c>
      <c r="B679" t="s">
        <v>1309</v>
      </c>
      <c r="C679" t="s">
        <v>1771</v>
      </c>
      <c r="D679" t="s">
        <v>37</v>
      </c>
      <c r="E679" t="s">
        <v>19</v>
      </c>
      <c r="F679">
        <v>6500000</v>
      </c>
      <c r="G679">
        <v>22</v>
      </c>
      <c r="H679" s="1">
        <v>45942</v>
      </c>
      <c r="I679" t="s">
        <v>2104</v>
      </c>
    </row>
    <row r="680" spans="1:9" x14ac:dyDescent="0.25">
      <c r="A680" t="s">
        <v>1772</v>
      </c>
      <c r="B680" t="s">
        <v>158</v>
      </c>
      <c r="C680" t="s">
        <v>1773</v>
      </c>
      <c r="D680" t="s">
        <v>14</v>
      </c>
      <c r="E680" t="s">
        <v>38</v>
      </c>
      <c r="F680">
        <v>10500000</v>
      </c>
      <c r="G680">
        <v>1</v>
      </c>
      <c r="H680" s="1">
        <v>45785</v>
      </c>
      <c r="I680" t="s">
        <v>2104</v>
      </c>
    </row>
    <row r="681" spans="1:9" x14ac:dyDescent="0.25">
      <c r="A681" t="s">
        <v>1774</v>
      </c>
      <c r="B681" t="s">
        <v>145</v>
      </c>
      <c r="C681" t="s">
        <v>1775</v>
      </c>
      <c r="D681" t="s">
        <v>18</v>
      </c>
      <c r="E681" t="s">
        <v>34</v>
      </c>
      <c r="F681">
        <v>8000000</v>
      </c>
      <c r="G681">
        <v>4</v>
      </c>
      <c r="H681" s="1">
        <v>45158</v>
      </c>
      <c r="I681" t="s">
        <v>2104</v>
      </c>
    </row>
    <row r="682" spans="1:9" x14ac:dyDescent="0.25">
      <c r="A682" t="s">
        <v>1780</v>
      </c>
      <c r="B682" t="s">
        <v>483</v>
      </c>
      <c r="C682" t="s">
        <v>1781</v>
      </c>
      <c r="D682" t="s">
        <v>23</v>
      </c>
      <c r="E682" t="s">
        <v>19</v>
      </c>
      <c r="F682">
        <v>8000000</v>
      </c>
      <c r="G682">
        <v>8</v>
      </c>
      <c r="H682" s="1">
        <v>44427</v>
      </c>
      <c r="I682" t="s">
        <v>2104</v>
      </c>
    </row>
    <row r="683" spans="1:9" x14ac:dyDescent="0.25">
      <c r="A683" t="s">
        <v>1782</v>
      </c>
      <c r="B683" t="s">
        <v>630</v>
      </c>
      <c r="C683" t="s">
        <v>1783</v>
      </c>
      <c r="D683" t="s">
        <v>33</v>
      </c>
      <c r="E683" t="s">
        <v>19</v>
      </c>
      <c r="F683">
        <v>8000000</v>
      </c>
      <c r="G683">
        <v>36</v>
      </c>
      <c r="H683" s="1">
        <v>45035</v>
      </c>
      <c r="I683" t="s">
        <v>2104</v>
      </c>
    </row>
    <row r="684" spans="1:9" x14ac:dyDescent="0.25">
      <c r="A684" t="s">
        <v>1786</v>
      </c>
      <c r="B684" t="s">
        <v>369</v>
      </c>
      <c r="C684" t="s">
        <v>1787</v>
      </c>
      <c r="D684" t="s">
        <v>37</v>
      </c>
      <c r="E684" t="s">
        <v>19</v>
      </c>
      <c r="F684">
        <v>6500000</v>
      </c>
      <c r="G684">
        <v>28</v>
      </c>
      <c r="H684" s="1">
        <v>43850</v>
      </c>
      <c r="I684" t="s">
        <v>2104</v>
      </c>
    </row>
    <row r="685" spans="1:9" x14ac:dyDescent="0.25">
      <c r="A685" t="s">
        <v>1788</v>
      </c>
      <c r="B685" t="s">
        <v>105</v>
      </c>
      <c r="C685" t="s">
        <v>1789</v>
      </c>
      <c r="D685" t="s">
        <v>33</v>
      </c>
      <c r="E685" t="s">
        <v>38</v>
      </c>
      <c r="F685">
        <v>13000000</v>
      </c>
      <c r="G685">
        <v>39</v>
      </c>
      <c r="H685" s="1">
        <v>44070</v>
      </c>
      <c r="I685" t="s">
        <v>2104</v>
      </c>
    </row>
    <row r="686" spans="1:9" x14ac:dyDescent="0.25">
      <c r="A686" t="s">
        <v>1790</v>
      </c>
      <c r="B686" t="s">
        <v>54</v>
      </c>
      <c r="C686" t="s">
        <v>1791</v>
      </c>
      <c r="D686" t="s">
        <v>14</v>
      </c>
      <c r="E686" t="s">
        <v>24</v>
      </c>
      <c r="F686">
        <v>13000000</v>
      </c>
      <c r="G686">
        <v>31</v>
      </c>
      <c r="H686" s="1">
        <v>45054</v>
      </c>
      <c r="I686" t="s">
        <v>2104</v>
      </c>
    </row>
    <row r="687" spans="1:9" x14ac:dyDescent="0.25">
      <c r="A687" t="s">
        <v>1792</v>
      </c>
      <c r="B687" t="s">
        <v>81</v>
      </c>
      <c r="C687" t="s">
        <v>1793</v>
      </c>
      <c r="D687" t="s">
        <v>33</v>
      </c>
      <c r="E687" t="s">
        <v>24</v>
      </c>
      <c r="F687">
        <v>10500000</v>
      </c>
      <c r="G687">
        <v>9</v>
      </c>
      <c r="H687" s="1">
        <v>46005</v>
      </c>
      <c r="I687" t="s">
        <v>2104</v>
      </c>
    </row>
    <row r="688" spans="1:9" x14ac:dyDescent="0.25">
      <c r="A688" t="s">
        <v>1794</v>
      </c>
      <c r="B688" t="s">
        <v>1113</v>
      </c>
      <c r="C688" t="s">
        <v>1795</v>
      </c>
      <c r="D688" t="s">
        <v>18</v>
      </c>
      <c r="E688" t="s">
        <v>34</v>
      </c>
      <c r="F688">
        <v>6500000</v>
      </c>
      <c r="G688">
        <v>19</v>
      </c>
      <c r="H688" s="1">
        <v>45602</v>
      </c>
      <c r="I688" t="s">
        <v>2104</v>
      </c>
    </row>
    <row r="689" spans="1:9" x14ac:dyDescent="0.25">
      <c r="A689" t="s">
        <v>1796</v>
      </c>
      <c r="B689" t="s">
        <v>281</v>
      </c>
      <c r="C689" t="s">
        <v>1797</v>
      </c>
      <c r="D689" t="s">
        <v>37</v>
      </c>
      <c r="E689" t="s">
        <v>24</v>
      </c>
      <c r="F689">
        <v>5500000</v>
      </c>
      <c r="G689">
        <v>6</v>
      </c>
      <c r="H689" s="1">
        <v>44784</v>
      </c>
      <c r="I689" t="s">
        <v>2104</v>
      </c>
    </row>
    <row r="690" spans="1:9" x14ac:dyDescent="0.25">
      <c r="A690" t="s">
        <v>1798</v>
      </c>
      <c r="B690" t="s">
        <v>40</v>
      </c>
      <c r="C690" t="s">
        <v>1799</v>
      </c>
      <c r="D690" t="s">
        <v>42</v>
      </c>
      <c r="E690" t="s">
        <v>34</v>
      </c>
      <c r="F690">
        <v>6500000</v>
      </c>
      <c r="G690">
        <v>24</v>
      </c>
      <c r="H690" s="1">
        <v>45154</v>
      </c>
      <c r="I690" t="s">
        <v>2104</v>
      </c>
    </row>
    <row r="691" spans="1:9" x14ac:dyDescent="0.25">
      <c r="A691" t="s">
        <v>1800</v>
      </c>
      <c r="B691" t="s">
        <v>66</v>
      </c>
      <c r="C691" t="s">
        <v>1801</v>
      </c>
      <c r="D691" t="s">
        <v>42</v>
      </c>
      <c r="E691" t="s">
        <v>19</v>
      </c>
      <c r="F691">
        <v>13000000</v>
      </c>
      <c r="G691">
        <v>30</v>
      </c>
      <c r="H691" s="1">
        <v>44253</v>
      </c>
      <c r="I691" t="s">
        <v>2104</v>
      </c>
    </row>
    <row r="692" spans="1:9" x14ac:dyDescent="0.25">
      <c r="A692" t="s">
        <v>1802</v>
      </c>
      <c r="B692" t="s">
        <v>786</v>
      </c>
      <c r="C692" t="s">
        <v>1803</v>
      </c>
      <c r="D692" t="s">
        <v>23</v>
      </c>
      <c r="E692" t="s">
        <v>38</v>
      </c>
      <c r="F692">
        <v>5500000</v>
      </c>
      <c r="G692">
        <v>25</v>
      </c>
      <c r="H692" s="1">
        <v>44953</v>
      </c>
      <c r="I692" t="s">
        <v>2104</v>
      </c>
    </row>
    <row r="693" spans="1:9" x14ac:dyDescent="0.25">
      <c r="A693" t="s">
        <v>1804</v>
      </c>
      <c r="B693" t="s">
        <v>12</v>
      </c>
      <c r="C693" t="s">
        <v>1805</v>
      </c>
      <c r="D693" t="s">
        <v>14</v>
      </c>
      <c r="E693" t="s">
        <v>38</v>
      </c>
      <c r="F693">
        <v>8000000</v>
      </c>
      <c r="G693">
        <v>37</v>
      </c>
      <c r="H693" s="1">
        <v>45372</v>
      </c>
      <c r="I693" t="s">
        <v>2104</v>
      </c>
    </row>
    <row r="694" spans="1:9" x14ac:dyDescent="0.25">
      <c r="A694" t="s">
        <v>1806</v>
      </c>
      <c r="B694" t="s">
        <v>270</v>
      </c>
      <c r="C694" t="s">
        <v>1807</v>
      </c>
      <c r="D694" t="s">
        <v>23</v>
      </c>
      <c r="E694" t="s">
        <v>24</v>
      </c>
      <c r="F694">
        <v>10500000</v>
      </c>
      <c r="G694">
        <v>14</v>
      </c>
      <c r="H694" s="1">
        <v>45764</v>
      </c>
      <c r="I694" t="s">
        <v>2104</v>
      </c>
    </row>
    <row r="695" spans="1:9" x14ac:dyDescent="0.25">
      <c r="A695" t="s">
        <v>1810</v>
      </c>
      <c r="B695" t="s">
        <v>108</v>
      </c>
      <c r="C695" t="s">
        <v>1811</v>
      </c>
      <c r="D695" t="s">
        <v>23</v>
      </c>
      <c r="E695" t="s">
        <v>19</v>
      </c>
      <c r="F695">
        <v>6500000</v>
      </c>
      <c r="G695">
        <v>25</v>
      </c>
      <c r="H695" s="1">
        <v>45358</v>
      </c>
      <c r="I695" t="s">
        <v>2104</v>
      </c>
    </row>
    <row r="696" spans="1:9" x14ac:dyDescent="0.25">
      <c r="A696" t="s">
        <v>1812</v>
      </c>
      <c r="B696" t="s">
        <v>148</v>
      </c>
      <c r="C696" t="s">
        <v>1813</v>
      </c>
      <c r="D696" t="s">
        <v>23</v>
      </c>
      <c r="E696" t="s">
        <v>15</v>
      </c>
      <c r="F696">
        <v>5500000</v>
      </c>
      <c r="G696">
        <v>14</v>
      </c>
      <c r="H696" s="1">
        <v>44959</v>
      </c>
      <c r="I696" t="s">
        <v>2104</v>
      </c>
    </row>
    <row r="697" spans="1:9" x14ac:dyDescent="0.25">
      <c r="A697" t="s">
        <v>1814</v>
      </c>
      <c r="B697" t="s">
        <v>267</v>
      </c>
      <c r="C697" t="s">
        <v>1815</v>
      </c>
      <c r="D697" t="s">
        <v>42</v>
      </c>
      <c r="E697" t="s">
        <v>19</v>
      </c>
      <c r="F697">
        <v>5500000</v>
      </c>
      <c r="G697">
        <v>37</v>
      </c>
      <c r="H697" s="1">
        <v>44702</v>
      </c>
      <c r="I697" t="s">
        <v>2104</v>
      </c>
    </row>
    <row r="698" spans="1:9" x14ac:dyDescent="0.25">
      <c r="A698" t="s">
        <v>1816</v>
      </c>
      <c r="B698" t="s">
        <v>212</v>
      </c>
      <c r="C698" t="s">
        <v>1817</v>
      </c>
      <c r="D698" t="s">
        <v>37</v>
      </c>
      <c r="E698" t="s">
        <v>19</v>
      </c>
      <c r="F698">
        <v>6500000</v>
      </c>
      <c r="G698">
        <v>22</v>
      </c>
      <c r="H698" s="1">
        <v>45132</v>
      </c>
      <c r="I698" t="s">
        <v>2104</v>
      </c>
    </row>
    <row r="699" spans="1:9" x14ac:dyDescent="0.25">
      <c r="A699" t="s">
        <v>1818</v>
      </c>
      <c r="B699" t="s">
        <v>771</v>
      </c>
      <c r="C699" t="s">
        <v>1819</v>
      </c>
      <c r="D699" t="s">
        <v>42</v>
      </c>
      <c r="E699" t="s">
        <v>15</v>
      </c>
      <c r="F699">
        <v>5500000</v>
      </c>
      <c r="G699">
        <v>21</v>
      </c>
      <c r="H699" s="1">
        <v>45890</v>
      </c>
      <c r="I699" t="s">
        <v>2104</v>
      </c>
    </row>
    <row r="700" spans="1:9" x14ac:dyDescent="0.25">
      <c r="A700" t="s">
        <v>1820</v>
      </c>
      <c r="B700" t="s">
        <v>483</v>
      </c>
      <c r="C700" t="s">
        <v>1821</v>
      </c>
      <c r="D700" t="s">
        <v>23</v>
      </c>
      <c r="E700" t="s">
        <v>34</v>
      </c>
      <c r="F700">
        <v>5500000</v>
      </c>
      <c r="G700">
        <v>17</v>
      </c>
      <c r="H700" s="1">
        <v>45401</v>
      </c>
      <c r="I700" t="s">
        <v>2104</v>
      </c>
    </row>
    <row r="701" spans="1:9" x14ac:dyDescent="0.25">
      <c r="A701" t="s">
        <v>1822</v>
      </c>
      <c r="B701" t="s">
        <v>43</v>
      </c>
      <c r="C701" t="s">
        <v>1823</v>
      </c>
      <c r="D701" t="s">
        <v>42</v>
      </c>
      <c r="E701" t="s">
        <v>24</v>
      </c>
      <c r="F701">
        <v>5500000</v>
      </c>
      <c r="G701">
        <v>4</v>
      </c>
      <c r="H701" s="1">
        <v>43851</v>
      </c>
      <c r="I701" t="s">
        <v>2104</v>
      </c>
    </row>
    <row r="702" spans="1:9" x14ac:dyDescent="0.25">
      <c r="A702" t="s">
        <v>1824</v>
      </c>
      <c r="B702" t="s">
        <v>719</v>
      </c>
      <c r="C702" t="s">
        <v>1825</v>
      </c>
      <c r="D702" t="s">
        <v>37</v>
      </c>
      <c r="E702" t="s">
        <v>19</v>
      </c>
      <c r="F702">
        <v>10500000</v>
      </c>
      <c r="G702">
        <v>37</v>
      </c>
      <c r="H702" s="1">
        <v>45245</v>
      </c>
      <c r="I702" t="s">
        <v>2104</v>
      </c>
    </row>
    <row r="703" spans="1:9" x14ac:dyDescent="0.25">
      <c r="A703" t="s">
        <v>1826</v>
      </c>
      <c r="B703" t="s">
        <v>28</v>
      </c>
      <c r="C703" t="s">
        <v>1827</v>
      </c>
      <c r="D703" t="s">
        <v>37</v>
      </c>
      <c r="E703" t="s">
        <v>34</v>
      </c>
      <c r="F703">
        <v>5500000</v>
      </c>
      <c r="G703">
        <v>3</v>
      </c>
      <c r="H703" s="1">
        <v>44780</v>
      </c>
      <c r="I703" t="s">
        <v>2104</v>
      </c>
    </row>
    <row r="704" spans="1:9" x14ac:dyDescent="0.25">
      <c r="A704" t="s">
        <v>1828</v>
      </c>
      <c r="B704" t="s">
        <v>223</v>
      </c>
      <c r="C704" t="s">
        <v>1829</v>
      </c>
      <c r="D704" t="s">
        <v>33</v>
      </c>
      <c r="E704" t="s">
        <v>38</v>
      </c>
      <c r="F704">
        <v>5500000</v>
      </c>
      <c r="G704">
        <v>31</v>
      </c>
      <c r="H704" s="1">
        <v>45217</v>
      </c>
      <c r="I704" t="s">
        <v>2104</v>
      </c>
    </row>
    <row r="705" spans="1:9" x14ac:dyDescent="0.25">
      <c r="A705" t="s">
        <v>1830</v>
      </c>
      <c r="B705" t="s">
        <v>696</v>
      </c>
      <c r="C705" t="s">
        <v>1831</v>
      </c>
      <c r="D705" t="s">
        <v>23</v>
      </c>
      <c r="E705" t="s">
        <v>15</v>
      </c>
      <c r="F705">
        <v>8000000</v>
      </c>
      <c r="G705">
        <v>33</v>
      </c>
      <c r="H705" s="1">
        <v>45190</v>
      </c>
      <c r="I705" t="s">
        <v>2104</v>
      </c>
    </row>
    <row r="706" spans="1:9" x14ac:dyDescent="0.25">
      <c r="A706" t="s">
        <v>1832</v>
      </c>
      <c r="B706" t="s">
        <v>444</v>
      </c>
      <c r="C706" t="s">
        <v>1833</v>
      </c>
      <c r="D706" t="s">
        <v>14</v>
      </c>
      <c r="E706" t="s">
        <v>34</v>
      </c>
      <c r="F706">
        <v>10500000</v>
      </c>
      <c r="G706">
        <v>31</v>
      </c>
      <c r="H706" s="1">
        <v>45590</v>
      </c>
      <c r="I706" t="s">
        <v>2104</v>
      </c>
    </row>
    <row r="707" spans="1:9" x14ac:dyDescent="0.25">
      <c r="A707" t="s">
        <v>1834</v>
      </c>
      <c r="B707" t="s">
        <v>161</v>
      </c>
      <c r="C707" t="s">
        <v>1835</v>
      </c>
      <c r="D707" t="s">
        <v>23</v>
      </c>
      <c r="E707" t="s">
        <v>19</v>
      </c>
      <c r="F707">
        <v>5500000</v>
      </c>
      <c r="G707">
        <v>2</v>
      </c>
      <c r="H707" s="1">
        <v>45811</v>
      </c>
      <c r="I707" t="s">
        <v>2104</v>
      </c>
    </row>
    <row r="708" spans="1:9" x14ac:dyDescent="0.25">
      <c r="A708" t="s">
        <v>1836</v>
      </c>
      <c r="B708" t="s">
        <v>447</v>
      </c>
      <c r="C708" t="s">
        <v>1837</v>
      </c>
      <c r="D708" t="s">
        <v>23</v>
      </c>
      <c r="E708" t="s">
        <v>38</v>
      </c>
      <c r="F708">
        <v>10500000</v>
      </c>
      <c r="G708">
        <v>40</v>
      </c>
      <c r="H708" s="1">
        <v>44170</v>
      </c>
      <c r="I708" t="s">
        <v>2104</v>
      </c>
    </row>
    <row r="709" spans="1:9" x14ac:dyDescent="0.25">
      <c r="A709" t="s">
        <v>1838</v>
      </c>
      <c r="B709" t="s">
        <v>208</v>
      </c>
      <c r="C709" t="s">
        <v>1839</v>
      </c>
      <c r="D709" t="s">
        <v>42</v>
      </c>
      <c r="E709" t="s">
        <v>24</v>
      </c>
      <c r="F709">
        <v>8000000</v>
      </c>
      <c r="G709">
        <v>28</v>
      </c>
      <c r="H709" s="1">
        <v>45258</v>
      </c>
      <c r="I709" t="s">
        <v>2104</v>
      </c>
    </row>
    <row r="710" spans="1:9" x14ac:dyDescent="0.25">
      <c r="A710" t="s">
        <v>1840</v>
      </c>
      <c r="B710" t="s">
        <v>148</v>
      </c>
      <c r="C710" t="s">
        <v>1841</v>
      </c>
      <c r="D710" t="s">
        <v>18</v>
      </c>
      <c r="E710" t="s">
        <v>15</v>
      </c>
      <c r="F710">
        <v>8000000</v>
      </c>
      <c r="G710">
        <v>39</v>
      </c>
      <c r="H710" s="1">
        <v>45526</v>
      </c>
      <c r="I710" t="s">
        <v>2104</v>
      </c>
    </row>
    <row r="711" spans="1:9" x14ac:dyDescent="0.25">
      <c r="A711" t="s">
        <v>1844</v>
      </c>
      <c r="B711" t="s">
        <v>736</v>
      </c>
      <c r="C711" t="s">
        <v>1845</v>
      </c>
      <c r="D711" t="s">
        <v>14</v>
      </c>
      <c r="E711" t="s">
        <v>15</v>
      </c>
      <c r="F711">
        <v>13000000</v>
      </c>
      <c r="G711">
        <v>37</v>
      </c>
      <c r="H711" s="1">
        <v>45071</v>
      </c>
      <c r="I711" t="s">
        <v>2104</v>
      </c>
    </row>
    <row r="712" spans="1:9" x14ac:dyDescent="0.25">
      <c r="A712" t="s">
        <v>1846</v>
      </c>
      <c r="B712" t="s">
        <v>311</v>
      </c>
      <c r="C712" t="s">
        <v>1847</v>
      </c>
      <c r="D712" t="s">
        <v>14</v>
      </c>
      <c r="E712" t="s">
        <v>24</v>
      </c>
      <c r="F712">
        <v>8000000</v>
      </c>
      <c r="G712">
        <v>3</v>
      </c>
      <c r="H712" s="1">
        <v>45480</v>
      </c>
      <c r="I712" t="s">
        <v>2104</v>
      </c>
    </row>
    <row r="713" spans="1:9" x14ac:dyDescent="0.25">
      <c r="A713" t="s">
        <v>1848</v>
      </c>
      <c r="B713" t="s">
        <v>444</v>
      </c>
      <c r="C713" t="s">
        <v>1849</v>
      </c>
      <c r="D713" t="s">
        <v>14</v>
      </c>
      <c r="E713" t="s">
        <v>15</v>
      </c>
      <c r="F713">
        <v>8000000</v>
      </c>
      <c r="G713">
        <v>17</v>
      </c>
      <c r="H713" s="1">
        <v>45880</v>
      </c>
      <c r="I713" t="s">
        <v>2104</v>
      </c>
    </row>
    <row r="714" spans="1:9" x14ac:dyDescent="0.25">
      <c r="A714" t="s">
        <v>1850</v>
      </c>
      <c r="B714" t="s">
        <v>145</v>
      </c>
      <c r="C714" t="s">
        <v>1851</v>
      </c>
      <c r="D714" t="s">
        <v>14</v>
      </c>
      <c r="E714" t="s">
        <v>24</v>
      </c>
      <c r="F714">
        <v>10500000</v>
      </c>
      <c r="G714">
        <v>30</v>
      </c>
      <c r="H714" s="1">
        <v>45650</v>
      </c>
      <c r="I714" t="s">
        <v>2104</v>
      </c>
    </row>
    <row r="715" spans="1:9" x14ac:dyDescent="0.25">
      <c r="A715" t="s">
        <v>1852</v>
      </c>
      <c r="B715" t="s">
        <v>270</v>
      </c>
      <c r="C715" t="s">
        <v>1853</v>
      </c>
      <c r="D715" t="s">
        <v>33</v>
      </c>
      <c r="E715" t="s">
        <v>24</v>
      </c>
      <c r="F715">
        <v>13000000</v>
      </c>
      <c r="G715">
        <v>27</v>
      </c>
      <c r="H715" s="1">
        <v>45767</v>
      </c>
      <c r="I715" t="s">
        <v>2104</v>
      </c>
    </row>
    <row r="716" spans="1:9" x14ac:dyDescent="0.25">
      <c r="A716" t="s">
        <v>1854</v>
      </c>
      <c r="B716" t="s">
        <v>464</v>
      </c>
      <c r="C716" t="s">
        <v>1855</v>
      </c>
      <c r="D716" t="s">
        <v>14</v>
      </c>
      <c r="E716" t="s">
        <v>19</v>
      </c>
      <c r="F716">
        <v>10500000</v>
      </c>
      <c r="G716">
        <v>12</v>
      </c>
      <c r="H716" s="1">
        <v>44916</v>
      </c>
      <c r="I716" t="s">
        <v>2104</v>
      </c>
    </row>
    <row r="717" spans="1:9" x14ac:dyDescent="0.25">
      <c r="A717" t="s">
        <v>1856</v>
      </c>
      <c r="B717" t="s">
        <v>348</v>
      </c>
      <c r="C717" t="s">
        <v>1857</v>
      </c>
      <c r="D717" t="s">
        <v>37</v>
      </c>
      <c r="E717" t="s">
        <v>38</v>
      </c>
      <c r="F717">
        <v>6500000</v>
      </c>
      <c r="G717">
        <v>12</v>
      </c>
      <c r="H717" s="1">
        <v>44171</v>
      </c>
      <c r="I717" t="s">
        <v>2104</v>
      </c>
    </row>
    <row r="718" spans="1:9" x14ac:dyDescent="0.25">
      <c r="A718" t="s">
        <v>1858</v>
      </c>
      <c r="B718" t="s">
        <v>464</v>
      </c>
      <c r="C718" t="s">
        <v>1859</v>
      </c>
      <c r="D718" t="s">
        <v>37</v>
      </c>
      <c r="E718" t="s">
        <v>15</v>
      </c>
      <c r="F718">
        <v>10500000</v>
      </c>
      <c r="G718">
        <v>1</v>
      </c>
      <c r="H718" s="1">
        <v>45980</v>
      </c>
      <c r="I718" t="s">
        <v>2104</v>
      </c>
    </row>
    <row r="719" spans="1:9" x14ac:dyDescent="0.25">
      <c r="A719" t="s">
        <v>1860</v>
      </c>
      <c r="B719" t="s">
        <v>31</v>
      </c>
      <c r="C719" t="s">
        <v>1861</v>
      </c>
      <c r="D719" t="s">
        <v>14</v>
      </c>
      <c r="E719" t="s">
        <v>15</v>
      </c>
      <c r="F719">
        <v>13000000</v>
      </c>
      <c r="G719">
        <v>0</v>
      </c>
      <c r="H719" s="1">
        <v>45812</v>
      </c>
      <c r="I719" t="s">
        <v>2104</v>
      </c>
    </row>
    <row r="720" spans="1:9" x14ac:dyDescent="0.25">
      <c r="A720" t="s">
        <v>1862</v>
      </c>
      <c r="B720" t="s">
        <v>84</v>
      </c>
      <c r="C720" t="s">
        <v>1863</v>
      </c>
      <c r="D720" t="s">
        <v>37</v>
      </c>
      <c r="E720" t="s">
        <v>15</v>
      </c>
      <c r="F720">
        <v>5500000</v>
      </c>
      <c r="G720">
        <v>14</v>
      </c>
      <c r="H720" s="1">
        <v>44373</v>
      </c>
      <c r="I720" t="s">
        <v>2104</v>
      </c>
    </row>
    <row r="721" spans="1:9" x14ac:dyDescent="0.25">
      <c r="A721" t="s">
        <v>1864</v>
      </c>
      <c r="B721" t="s">
        <v>148</v>
      </c>
      <c r="C721" t="s">
        <v>1865</v>
      </c>
      <c r="D721" t="s">
        <v>37</v>
      </c>
      <c r="E721" t="s">
        <v>34</v>
      </c>
      <c r="F721">
        <v>5500000</v>
      </c>
      <c r="G721">
        <v>30</v>
      </c>
      <c r="H721" s="1">
        <v>44750</v>
      </c>
      <c r="I721" t="s">
        <v>2104</v>
      </c>
    </row>
    <row r="722" spans="1:9" x14ac:dyDescent="0.25">
      <c r="A722" t="s">
        <v>1866</v>
      </c>
      <c r="B722" t="s">
        <v>229</v>
      </c>
      <c r="C722" t="s">
        <v>1867</v>
      </c>
      <c r="D722" t="s">
        <v>37</v>
      </c>
      <c r="E722" t="s">
        <v>19</v>
      </c>
      <c r="F722">
        <v>5500000</v>
      </c>
      <c r="G722">
        <v>17</v>
      </c>
      <c r="H722" s="1">
        <v>44720</v>
      </c>
      <c r="I722" t="s">
        <v>2104</v>
      </c>
    </row>
    <row r="723" spans="1:9" x14ac:dyDescent="0.25">
      <c r="A723" t="s">
        <v>1870</v>
      </c>
      <c r="B723" t="s">
        <v>327</v>
      </c>
      <c r="C723" t="s">
        <v>1871</v>
      </c>
      <c r="D723" t="s">
        <v>42</v>
      </c>
      <c r="E723" t="s">
        <v>24</v>
      </c>
      <c r="F723">
        <v>8000000</v>
      </c>
      <c r="G723">
        <v>28</v>
      </c>
      <c r="H723" s="1">
        <v>43960</v>
      </c>
      <c r="I723" t="s">
        <v>2104</v>
      </c>
    </row>
    <row r="724" spans="1:9" x14ac:dyDescent="0.25">
      <c r="A724" t="s">
        <v>1872</v>
      </c>
      <c r="B724" t="s">
        <v>221</v>
      </c>
      <c r="C724" t="s">
        <v>1873</v>
      </c>
      <c r="D724" t="s">
        <v>14</v>
      </c>
      <c r="E724" t="s">
        <v>24</v>
      </c>
      <c r="F724">
        <v>13000000</v>
      </c>
      <c r="G724">
        <v>29</v>
      </c>
      <c r="H724" s="1">
        <v>44234</v>
      </c>
      <c r="I724" t="s">
        <v>2104</v>
      </c>
    </row>
    <row r="725" spans="1:9" x14ac:dyDescent="0.25">
      <c r="A725" t="s">
        <v>1874</v>
      </c>
      <c r="B725" t="s">
        <v>450</v>
      </c>
      <c r="C725" t="s">
        <v>1875</v>
      </c>
      <c r="D725" t="s">
        <v>18</v>
      </c>
      <c r="E725" t="s">
        <v>38</v>
      </c>
      <c r="F725">
        <v>10500000</v>
      </c>
      <c r="G725">
        <v>14</v>
      </c>
      <c r="H725" s="1">
        <v>44147</v>
      </c>
      <c r="I725" t="s">
        <v>2104</v>
      </c>
    </row>
    <row r="726" spans="1:9" x14ac:dyDescent="0.25">
      <c r="A726" t="s">
        <v>1876</v>
      </c>
      <c r="B726" t="s">
        <v>54</v>
      </c>
      <c r="C726" t="s">
        <v>1877</v>
      </c>
      <c r="D726" t="s">
        <v>37</v>
      </c>
      <c r="E726" t="s">
        <v>34</v>
      </c>
      <c r="F726">
        <v>6500000</v>
      </c>
      <c r="G726">
        <v>5</v>
      </c>
      <c r="H726" s="1">
        <v>45062</v>
      </c>
      <c r="I726" t="s">
        <v>2104</v>
      </c>
    </row>
    <row r="727" spans="1:9" x14ac:dyDescent="0.25">
      <c r="A727" t="s">
        <v>1878</v>
      </c>
      <c r="B727" t="s">
        <v>166</v>
      </c>
      <c r="C727" t="s">
        <v>1879</v>
      </c>
      <c r="D727" t="s">
        <v>18</v>
      </c>
      <c r="E727" t="s">
        <v>19</v>
      </c>
      <c r="F727">
        <v>13000000</v>
      </c>
      <c r="G727">
        <v>27</v>
      </c>
      <c r="H727" s="1">
        <v>45207</v>
      </c>
      <c r="I727" t="s">
        <v>2104</v>
      </c>
    </row>
    <row r="728" spans="1:9" x14ac:dyDescent="0.25">
      <c r="A728" t="s">
        <v>1882</v>
      </c>
      <c r="B728" t="s">
        <v>110</v>
      </c>
      <c r="C728" t="s">
        <v>1883</v>
      </c>
      <c r="D728" t="s">
        <v>23</v>
      </c>
      <c r="E728" t="s">
        <v>38</v>
      </c>
      <c r="F728">
        <v>10500000</v>
      </c>
      <c r="G728">
        <v>29</v>
      </c>
      <c r="H728" s="1">
        <v>44424</v>
      </c>
      <c r="I728" t="s">
        <v>2104</v>
      </c>
    </row>
    <row r="729" spans="1:9" x14ac:dyDescent="0.25">
      <c r="A729" t="s">
        <v>1886</v>
      </c>
      <c r="B729" t="s">
        <v>110</v>
      </c>
      <c r="C729" t="s">
        <v>1887</v>
      </c>
      <c r="D729" t="s">
        <v>18</v>
      </c>
      <c r="E729" t="s">
        <v>15</v>
      </c>
      <c r="F729">
        <v>13000000</v>
      </c>
      <c r="G729">
        <v>15</v>
      </c>
      <c r="H729" s="1">
        <v>43946</v>
      </c>
      <c r="I729" t="s">
        <v>2104</v>
      </c>
    </row>
    <row r="730" spans="1:9" x14ac:dyDescent="0.25">
      <c r="A730" t="s">
        <v>1890</v>
      </c>
      <c r="B730" t="s">
        <v>108</v>
      </c>
      <c r="C730" t="s">
        <v>1891</v>
      </c>
      <c r="D730" t="s">
        <v>33</v>
      </c>
      <c r="E730" t="s">
        <v>19</v>
      </c>
      <c r="F730">
        <v>6500000</v>
      </c>
      <c r="G730">
        <v>39</v>
      </c>
      <c r="H730" s="1">
        <v>44637</v>
      </c>
      <c r="I730" t="s">
        <v>2104</v>
      </c>
    </row>
    <row r="731" spans="1:9" x14ac:dyDescent="0.25">
      <c r="A731" t="s">
        <v>1892</v>
      </c>
      <c r="B731" t="s">
        <v>1288</v>
      </c>
      <c r="C731" t="s">
        <v>1893</v>
      </c>
      <c r="D731" t="s">
        <v>23</v>
      </c>
      <c r="E731" t="s">
        <v>15</v>
      </c>
      <c r="F731">
        <v>13000000</v>
      </c>
      <c r="G731">
        <v>32</v>
      </c>
      <c r="H731" s="1">
        <v>45592</v>
      </c>
      <c r="I731" t="s">
        <v>2104</v>
      </c>
    </row>
    <row r="732" spans="1:9" x14ac:dyDescent="0.25">
      <c r="A732" t="s">
        <v>1898</v>
      </c>
      <c r="B732" t="s">
        <v>839</v>
      </c>
      <c r="C732" t="s">
        <v>1899</v>
      </c>
      <c r="D732" t="s">
        <v>18</v>
      </c>
      <c r="E732" t="s">
        <v>19</v>
      </c>
      <c r="F732">
        <v>5500000</v>
      </c>
      <c r="G732">
        <v>11</v>
      </c>
      <c r="H732" s="1">
        <v>44351</v>
      </c>
      <c r="I732" t="s">
        <v>2104</v>
      </c>
    </row>
    <row r="733" spans="1:9" x14ac:dyDescent="0.25">
      <c r="A733" t="s">
        <v>1900</v>
      </c>
      <c r="B733" t="s">
        <v>108</v>
      </c>
      <c r="C733" t="s">
        <v>1901</v>
      </c>
      <c r="D733" t="s">
        <v>18</v>
      </c>
      <c r="E733" t="s">
        <v>19</v>
      </c>
      <c r="F733">
        <v>10500000</v>
      </c>
      <c r="G733">
        <v>2</v>
      </c>
      <c r="H733" s="1">
        <v>45277</v>
      </c>
      <c r="I733" t="s">
        <v>2104</v>
      </c>
    </row>
    <row r="734" spans="1:9" x14ac:dyDescent="0.25">
      <c r="A734" t="s">
        <v>1906</v>
      </c>
      <c r="B734" t="s">
        <v>118</v>
      </c>
      <c r="C734" t="s">
        <v>1907</v>
      </c>
      <c r="D734" t="s">
        <v>18</v>
      </c>
      <c r="E734" t="s">
        <v>15</v>
      </c>
      <c r="F734">
        <v>10500000</v>
      </c>
      <c r="G734">
        <v>13</v>
      </c>
      <c r="H734" s="1">
        <v>44145</v>
      </c>
      <c r="I734" t="s">
        <v>2104</v>
      </c>
    </row>
    <row r="735" spans="1:9" x14ac:dyDescent="0.25">
      <c r="A735" t="s">
        <v>1908</v>
      </c>
      <c r="B735" t="s">
        <v>102</v>
      </c>
      <c r="C735" t="s">
        <v>1909</v>
      </c>
      <c r="D735" t="s">
        <v>42</v>
      </c>
      <c r="E735" t="s">
        <v>24</v>
      </c>
      <c r="F735">
        <v>13000000</v>
      </c>
      <c r="G735">
        <v>23</v>
      </c>
      <c r="H735" s="1">
        <v>44599</v>
      </c>
      <c r="I735" t="s">
        <v>2104</v>
      </c>
    </row>
    <row r="736" spans="1:9" x14ac:dyDescent="0.25">
      <c r="A736" t="s">
        <v>1910</v>
      </c>
      <c r="B736" t="s">
        <v>49</v>
      </c>
      <c r="C736" t="s">
        <v>1911</v>
      </c>
      <c r="D736" t="s">
        <v>14</v>
      </c>
      <c r="E736" t="s">
        <v>38</v>
      </c>
      <c r="F736">
        <v>10500000</v>
      </c>
      <c r="G736">
        <v>6</v>
      </c>
      <c r="H736" s="1">
        <v>45675</v>
      </c>
      <c r="I736" t="s">
        <v>2104</v>
      </c>
    </row>
    <row r="737" spans="1:9" x14ac:dyDescent="0.25">
      <c r="A737" t="s">
        <v>1912</v>
      </c>
      <c r="B737" t="s">
        <v>267</v>
      </c>
      <c r="C737" t="s">
        <v>1913</v>
      </c>
      <c r="D737" t="s">
        <v>14</v>
      </c>
      <c r="E737" t="s">
        <v>24</v>
      </c>
      <c r="F737">
        <v>6500000</v>
      </c>
      <c r="G737">
        <v>35</v>
      </c>
      <c r="H737" s="1">
        <v>45080</v>
      </c>
      <c r="I737" t="s">
        <v>2104</v>
      </c>
    </row>
    <row r="738" spans="1:9" x14ac:dyDescent="0.25">
      <c r="A738" t="s">
        <v>1914</v>
      </c>
      <c r="B738" t="s">
        <v>340</v>
      </c>
      <c r="C738" t="s">
        <v>1915</v>
      </c>
      <c r="D738" t="s">
        <v>33</v>
      </c>
      <c r="E738" t="s">
        <v>38</v>
      </c>
      <c r="F738">
        <v>6500000</v>
      </c>
      <c r="G738">
        <v>13</v>
      </c>
      <c r="H738" s="1">
        <v>44977</v>
      </c>
      <c r="I738" t="s">
        <v>2104</v>
      </c>
    </row>
    <row r="739" spans="1:9" x14ac:dyDescent="0.25">
      <c r="A739" t="s">
        <v>1916</v>
      </c>
      <c r="B739" t="s">
        <v>46</v>
      </c>
      <c r="C739" t="s">
        <v>1917</v>
      </c>
      <c r="D739" t="s">
        <v>33</v>
      </c>
      <c r="E739" t="s">
        <v>19</v>
      </c>
      <c r="F739">
        <v>5500000</v>
      </c>
      <c r="G739">
        <v>25</v>
      </c>
      <c r="H739" s="1">
        <v>44277</v>
      </c>
      <c r="I739" t="s">
        <v>2104</v>
      </c>
    </row>
    <row r="740" spans="1:9" x14ac:dyDescent="0.25">
      <c r="A740" t="s">
        <v>1918</v>
      </c>
      <c r="B740" t="s">
        <v>696</v>
      </c>
      <c r="C740" t="s">
        <v>1919</v>
      </c>
      <c r="D740" t="s">
        <v>37</v>
      </c>
      <c r="E740" t="s">
        <v>15</v>
      </c>
      <c r="F740">
        <v>13000000</v>
      </c>
      <c r="G740">
        <v>37</v>
      </c>
      <c r="H740" s="1">
        <v>45684</v>
      </c>
      <c r="I740" t="s">
        <v>2104</v>
      </c>
    </row>
    <row r="741" spans="1:9" x14ac:dyDescent="0.25">
      <c r="A741" t="s">
        <v>1920</v>
      </c>
      <c r="B741" t="s">
        <v>940</v>
      </c>
      <c r="C741" t="s">
        <v>1921</v>
      </c>
      <c r="D741" t="s">
        <v>18</v>
      </c>
      <c r="E741" t="s">
        <v>24</v>
      </c>
      <c r="F741">
        <v>5500000</v>
      </c>
      <c r="G741">
        <v>14</v>
      </c>
      <c r="H741" s="1">
        <v>44987</v>
      </c>
      <c r="I741" t="s">
        <v>2104</v>
      </c>
    </row>
    <row r="742" spans="1:9" x14ac:dyDescent="0.25">
      <c r="A742" t="s">
        <v>1922</v>
      </c>
      <c r="B742" t="s">
        <v>212</v>
      </c>
      <c r="C742" t="s">
        <v>1923</v>
      </c>
      <c r="D742" t="s">
        <v>14</v>
      </c>
      <c r="E742" t="s">
        <v>38</v>
      </c>
      <c r="F742">
        <v>5500000</v>
      </c>
      <c r="G742">
        <v>22</v>
      </c>
      <c r="H742" s="1">
        <v>44031</v>
      </c>
      <c r="I742" t="s">
        <v>2104</v>
      </c>
    </row>
    <row r="743" spans="1:9" x14ac:dyDescent="0.25">
      <c r="A743" t="s">
        <v>1924</v>
      </c>
      <c r="B743" t="s">
        <v>439</v>
      </c>
      <c r="C743" t="s">
        <v>1925</v>
      </c>
      <c r="D743" t="s">
        <v>18</v>
      </c>
      <c r="E743" t="s">
        <v>34</v>
      </c>
      <c r="F743">
        <v>5500000</v>
      </c>
      <c r="G743">
        <v>2</v>
      </c>
      <c r="H743" s="1">
        <v>44814</v>
      </c>
      <c r="I743" t="s">
        <v>2104</v>
      </c>
    </row>
    <row r="744" spans="1:9" x14ac:dyDescent="0.25">
      <c r="A744" t="s">
        <v>1926</v>
      </c>
      <c r="B744" t="s">
        <v>16</v>
      </c>
      <c r="C744" t="s">
        <v>1927</v>
      </c>
      <c r="D744" t="s">
        <v>37</v>
      </c>
      <c r="E744" t="s">
        <v>38</v>
      </c>
      <c r="F744">
        <v>5500000</v>
      </c>
      <c r="G744">
        <v>26</v>
      </c>
      <c r="H744" s="1">
        <v>44202</v>
      </c>
      <c r="I744" t="s">
        <v>2104</v>
      </c>
    </row>
    <row r="745" spans="1:9" x14ac:dyDescent="0.25">
      <c r="A745" t="s">
        <v>1928</v>
      </c>
      <c r="B745" t="s">
        <v>203</v>
      </c>
      <c r="C745" t="s">
        <v>1929</v>
      </c>
      <c r="D745" t="s">
        <v>33</v>
      </c>
      <c r="E745" t="s">
        <v>15</v>
      </c>
      <c r="F745">
        <v>6500000</v>
      </c>
      <c r="G745">
        <v>26</v>
      </c>
      <c r="H745" s="1">
        <v>43897</v>
      </c>
      <c r="I745" t="s">
        <v>2104</v>
      </c>
    </row>
    <row r="746" spans="1:9" x14ac:dyDescent="0.25">
      <c r="A746" t="s">
        <v>1930</v>
      </c>
      <c r="B746" t="s">
        <v>127</v>
      </c>
      <c r="C746" t="s">
        <v>1931</v>
      </c>
      <c r="D746" t="s">
        <v>18</v>
      </c>
      <c r="E746" t="s">
        <v>15</v>
      </c>
      <c r="F746">
        <v>5500000</v>
      </c>
      <c r="G746">
        <v>8</v>
      </c>
      <c r="H746" s="1">
        <v>44939</v>
      </c>
      <c r="I746" t="s">
        <v>2104</v>
      </c>
    </row>
    <row r="747" spans="1:9" x14ac:dyDescent="0.25">
      <c r="A747" t="s">
        <v>1934</v>
      </c>
      <c r="B747" t="s">
        <v>43</v>
      </c>
      <c r="C747" t="s">
        <v>1935</v>
      </c>
      <c r="D747" t="s">
        <v>14</v>
      </c>
      <c r="E747" t="s">
        <v>38</v>
      </c>
      <c r="F747">
        <v>6500000</v>
      </c>
      <c r="G747">
        <v>35</v>
      </c>
      <c r="H747" s="1">
        <v>44969</v>
      </c>
      <c r="I747" t="s">
        <v>2104</v>
      </c>
    </row>
    <row r="748" spans="1:9" x14ac:dyDescent="0.25">
      <c r="A748" t="s">
        <v>1936</v>
      </c>
      <c r="B748" t="s">
        <v>142</v>
      </c>
      <c r="C748" t="s">
        <v>1937</v>
      </c>
      <c r="D748" t="s">
        <v>37</v>
      </c>
      <c r="E748" t="s">
        <v>15</v>
      </c>
      <c r="F748">
        <v>10500000</v>
      </c>
      <c r="G748">
        <v>12</v>
      </c>
      <c r="H748" s="1">
        <v>44873</v>
      </c>
      <c r="I748" t="s">
        <v>2104</v>
      </c>
    </row>
    <row r="749" spans="1:9" x14ac:dyDescent="0.25">
      <c r="A749" t="s">
        <v>1938</v>
      </c>
      <c r="B749" t="s">
        <v>311</v>
      </c>
      <c r="C749" t="s">
        <v>1939</v>
      </c>
      <c r="D749" t="s">
        <v>23</v>
      </c>
      <c r="E749" t="s">
        <v>38</v>
      </c>
      <c r="F749">
        <v>5500000</v>
      </c>
      <c r="G749">
        <v>30</v>
      </c>
      <c r="H749" s="1">
        <v>45722</v>
      </c>
      <c r="I749" t="s">
        <v>2104</v>
      </c>
    </row>
    <row r="750" spans="1:9" x14ac:dyDescent="0.25">
      <c r="A750" t="s">
        <v>1940</v>
      </c>
      <c r="B750" t="s">
        <v>161</v>
      </c>
      <c r="C750" t="s">
        <v>1941</v>
      </c>
      <c r="D750" t="s">
        <v>37</v>
      </c>
      <c r="E750" t="s">
        <v>34</v>
      </c>
      <c r="F750">
        <v>6500000</v>
      </c>
      <c r="G750">
        <v>30</v>
      </c>
      <c r="H750" s="1">
        <v>45997</v>
      </c>
      <c r="I750" t="s">
        <v>2104</v>
      </c>
    </row>
    <row r="751" spans="1:9" x14ac:dyDescent="0.25">
      <c r="A751" t="s">
        <v>1942</v>
      </c>
      <c r="B751" t="s">
        <v>483</v>
      </c>
      <c r="C751" t="s">
        <v>1943</v>
      </c>
      <c r="D751" t="s">
        <v>18</v>
      </c>
      <c r="E751" t="s">
        <v>34</v>
      </c>
      <c r="F751">
        <v>6500000</v>
      </c>
      <c r="G751">
        <v>3</v>
      </c>
      <c r="H751" s="1">
        <v>44358</v>
      </c>
      <c r="I751" t="s">
        <v>2104</v>
      </c>
    </row>
    <row r="752" spans="1:9" x14ac:dyDescent="0.25">
      <c r="A752" t="s">
        <v>1944</v>
      </c>
      <c r="B752" t="s">
        <v>105</v>
      </c>
      <c r="C752" t="s">
        <v>1945</v>
      </c>
      <c r="D752" t="s">
        <v>14</v>
      </c>
      <c r="E752" t="s">
        <v>24</v>
      </c>
      <c r="F752">
        <v>8000000</v>
      </c>
      <c r="G752">
        <v>3</v>
      </c>
      <c r="H752" s="1">
        <v>44300</v>
      </c>
      <c r="I752" t="s">
        <v>2104</v>
      </c>
    </row>
    <row r="753" spans="1:9" x14ac:dyDescent="0.25">
      <c r="A753" t="s">
        <v>1946</v>
      </c>
      <c r="B753" t="s">
        <v>66</v>
      </c>
      <c r="C753" t="s">
        <v>1947</v>
      </c>
      <c r="D753" t="s">
        <v>42</v>
      </c>
      <c r="E753" t="s">
        <v>15</v>
      </c>
      <c r="F753">
        <v>13000000</v>
      </c>
      <c r="G753">
        <v>40</v>
      </c>
      <c r="H753" s="1">
        <v>45328</v>
      </c>
      <c r="I753" t="s">
        <v>2104</v>
      </c>
    </row>
    <row r="754" spans="1:9" x14ac:dyDescent="0.25">
      <c r="A754" t="s">
        <v>1948</v>
      </c>
      <c r="B754" t="s">
        <v>507</v>
      </c>
      <c r="C754" t="s">
        <v>1949</v>
      </c>
      <c r="D754" t="s">
        <v>18</v>
      </c>
      <c r="E754" t="s">
        <v>38</v>
      </c>
      <c r="F754">
        <v>13000000</v>
      </c>
      <c r="G754">
        <v>30</v>
      </c>
      <c r="H754" s="1">
        <v>45405</v>
      </c>
      <c r="I754" t="s">
        <v>2104</v>
      </c>
    </row>
    <row r="755" spans="1:9" x14ac:dyDescent="0.25">
      <c r="A755" t="s">
        <v>1950</v>
      </c>
      <c r="B755" t="s">
        <v>208</v>
      </c>
      <c r="C755" t="s">
        <v>1951</v>
      </c>
      <c r="D755" t="s">
        <v>37</v>
      </c>
      <c r="E755" t="s">
        <v>19</v>
      </c>
      <c r="F755">
        <v>13000000</v>
      </c>
      <c r="G755">
        <v>10</v>
      </c>
      <c r="H755" s="1">
        <v>44928</v>
      </c>
      <c r="I755" t="s">
        <v>2104</v>
      </c>
    </row>
    <row r="756" spans="1:9" x14ac:dyDescent="0.25">
      <c r="A756" t="s">
        <v>1952</v>
      </c>
      <c r="B756" t="s">
        <v>123</v>
      </c>
      <c r="C756" t="s">
        <v>1953</v>
      </c>
      <c r="D756" t="s">
        <v>14</v>
      </c>
      <c r="E756" t="s">
        <v>34</v>
      </c>
      <c r="F756">
        <v>6500000</v>
      </c>
      <c r="G756">
        <v>14</v>
      </c>
      <c r="H756" s="1">
        <v>44518</v>
      </c>
      <c r="I756" t="s">
        <v>2104</v>
      </c>
    </row>
    <row r="757" spans="1:9" x14ac:dyDescent="0.25">
      <c r="A757" t="s">
        <v>1954</v>
      </c>
      <c r="B757" t="s">
        <v>92</v>
      </c>
      <c r="C757" t="s">
        <v>1955</v>
      </c>
      <c r="D757" t="s">
        <v>18</v>
      </c>
      <c r="E757" t="s">
        <v>15</v>
      </c>
      <c r="F757">
        <v>8000000</v>
      </c>
      <c r="G757">
        <v>2</v>
      </c>
      <c r="H757" s="1">
        <v>44534</v>
      </c>
      <c r="I757" t="s">
        <v>2104</v>
      </c>
    </row>
    <row r="758" spans="1:9" x14ac:dyDescent="0.25">
      <c r="A758" t="s">
        <v>1956</v>
      </c>
      <c r="B758" t="s">
        <v>299</v>
      </c>
      <c r="C758" t="s">
        <v>1957</v>
      </c>
      <c r="D758" t="s">
        <v>42</v>
      </c>
      <c r="E758" t="s">
        <v>38</v>
      </c>
      <c r="F758">
        <v>8000000</v>
      </c>
      <c r="G758">
        <v>36</v>
      </c>
      <c r="H758" s="1">
        <v>45153</v>
      </c>
      <c r="I758" t="s">
        <v>2104</v>
      </c>
    </row>
    <row r="759" spans="1:9" x14ac:dyDescent="0.25">
      <c r="A759" t="s">
        <v>1958</v>
      </c>
      <c r="B759" t="s">
        <v>57</v>
      </c>
      <c r="C759" t="s">
        <v>1959</v>
      </c>
      <c r="D759" t="s">
        <v>33</v>
      </c>
      <c r="E759" t="s">
        <v>38</v>
      </c>
      <c r="F759">
        <v>10500000</v>
      </c>
      <c r="G759">
        <v>26</v>
      </c>
      <c r="H759" s="1">
        <v>45836</v>
      </c>
      <c r="I759" t="s">
        <v>2104</v>
      </c>
    </row>
    <row r="760" spans="1:9" x14ac:dyDescent="0.25">
      <c r="A760" t="s">
        <v>1960</v>
      </c>
      <c r="B760" t="s">
        <v>174</v>
      </c>
      <c r="C760" t="s">
        <v>1961</v>
      </c>
      <c r="D760" t="s">
        <v>18</v>
      </c>
      <c r="E760" t="s">
        <v>34</v>
      </c>
      <c r="F760">
        <v>5500000</v>
      </c>
      <c r="G760">
        <v>22</v>
      </c>
      <c r="H760" s="1">
        <v>45102</v>
      </c>
      <c r="I760" t="s">
        <v>2104</v>
      </c>
    </row>
    <row r="761" spans="1:9" x14ac:dyDescent="0.25">
      <c r="A761" t="s">
        <v>1962</v>
      </c>
      <c r="B761" t="s">
        <v>16</v>
      </c>
      <c r="C761" t="s">
        <v>1963</v>
      </c>
      <c r="D761" t="s">
        <v>14</v>
      </c>
      <c r="E761" t="s">
        <v>19</v>
      </c>
      <c r="F761">
        <v>8000000</v>
      </c>
      <c r="G761">
        <v>28</v>
      </c>
      <c r="H761" s="1">
        <v>44958</v>
      </c>
      <c r="I761" t="s">
        <v>2104</v>
      </c>
    </row>
    <row r="762" spans="1:9" x14ac:dyDescent="0.25">
      <c r="A762" t="s">
        <v>1964</v>
      </c>
      <c r="B762" t="s">
        <v>180</v>
      </c>
      <c r="C762" t="s">
        <v>1965</v>
      </c>
      <c r="D762" t="s">
        <v>33</v>
      </c>
      <c r="E762" t="s">
        <v>24</v>
      </c>
      <c r="F762">
        <v>13000000</v>
      </c>
      <c r="G762">
        <v>5</v>
      </c>
      <c r="H762" s="1">
        <v>44427</v>
      </c>
      <c r="I762" t="s">
        <v>2104</v>
      </c>
    </row>
    <row r="763" spans="1:9" x14ac:dyDescent="0.25">
      <c r="A763" t="s">
        <v>1966</v>
      </c>
      <c r="B763" t="s">
        <v>153</v>
      </c>
      <c r="C763" t="s">
        <v>1967</v>
      </c>
      <c r="D763" t="s">
        <v>33</v>
      </c>
      <c r="E763" t="s">
        <v>38</v>
      </c>
      <c r="F763">
        <v>13000000</v>
      </c>
      <c r="G763">
        <v>14</v>
      </c>
      <c r="H763" s="1">
        <v>44597</v>
      </c>
      <c r="I763" t="s">
        <v>2104</v>
      </c>
    </row>
    <row r="764" spans="1:9" x14ac:dyDescent="0.25">
      <c r="A764" t="s">
        <v>1968</v>
      </c>
      <c r="B764" t="s">
        <v>253</v>
      </c>
      <c r="C764" t="s">
        <v>1969</v>
      </c>
      <c r="D764" t="s">
        <v>37</v>
      </c>
      <c r="E764" t="s">
        <v>38</v>
      </c>
      <c r="F764">
        <v>10500000</v>
      </c>
      <c r="G764">
        <v>23</v>
      </c>
      <c r="H764" s="1">
        <v>45073</v>
      </c>
      <c r="I764" t="s">
        <v>2104</v>
      </c>
    </row>
    <row r="765" spans="1:9" x14ac:dyDescent="0.25">
      <c r="A765" t="s">
        <v>1970</v>
      </c>
      <c r="B765" t="s">
        <v>369</v>
      </c>
      <c r="C765" t="s">
        <v>1971</v>
      </c>
      <c r="D765" t="s">
        <v>33</v>
      </c>
      <c r="E765" t="s">
        <v>19</v>
      </c>
      <c r="F765">
        <v>8000000</v>
      </c>
      <c r="G765">
        <v>5</v>
      </c>
      <c r="H765" s="1">
        <v>45787</v>
      </c>
      <c r="I765" t="s">
        <v>2104</v>
      </c>
    </row>
    <row r="766" spans="1:9" x14ac:dyDescent="0.25">
      <c r="A766" t="s">
        <v>1972</v>
      </c>
      <c r="B766" t="s">
        <v>1288</v>
      </c>
      <c r="C766" t="s">
        <v>1973</v>
      </c>
      <c r="D766" t="s">
        <v>37</v>
      </c>
      <c r="E766" t="s">
        <v>19</v>
      </c>
      <c r="F766">
        <v>10500000</v>
      </c>
      <c r="G766">
        <v>18</v>
      </c>
      <c r="H766" s="1">
        <v>45906</v>
      </c>
      <c r="I766" t="s">
        <v>2104</v>
      </c>
    </row>
    <row r="767" spans="1:9" x14ac:dyDescent="0.25">
      <c r="A767" t="s">
        <v>1974</v>
      </c>
      <c r="B767" t="s">
        <v>121</v>
      </c>
      <c r="C767" t="s">
        <v>1975</v>
      </c>
      <c r="D767" t="s">
        <v>14</v>
      </c>
      <c r="E767" t="s">
        <v>24</v>
      </c>
      <c r="F767">
        <v>13000000</v>
      </c>
      <c r="G767">
        <v>32</v>
      </c>
      <c r="H767" s="1">
        <v>45431</v>
      </c>
      <c r="I767" t="s">
        <v>2104</v>
      </c>
    </row>
    <row r="768" spans="1:9" x14ac:dyDescent="0.25">
      <c r="A768" t="s">
        <v>1976</v>
      </c>
      <c r="B768" t="s">
        <v>166</v>
      </c>
      <c r="C768" t="s">
        <v>1977</v>
      </c>
      <c r="D768" t="s">
        <v>33</v>
      </c>
      <c r="E768" t="s">
        <v>24</v>
      </c>
      <c r="F768">
        <v>13000000</v>
      </c>
      <c r="G768">
        <v>27</v>
      </c>
      <c r="H768" s="1">
        <v>44570</v>
      </c>
      <c r="I768" t="s">
        <v>2104</v>
      </c>
    </row>
    <row r="769" spans="1:9" x14ac:dyDescent="0.25">
      <c r="A769" t="s">
        <v>1980</v>
      </c>
      <c r="B769" t="s">
        <v>630</v>
      </c>
      <c r="C769" t="s">
        <v>1981</v>
      </c>
      <c r="D769" t="s">
        <v>37</v>
      </c>
      <c r="E769" t="s">
        <v>19</v>
      </c>
      <c r="F769">
        <v>10500000</v>
      </c>
      <c r="G769">
        <v>25</v>
      </c>
      <c r="H769" s="1">
        <v>45861</v>
      </c>
      <c r="I769" t="s">
        <v>2104</v>
      </c>
    </row>
    <row r="770" spans="1:9" x14ac:dyDescent="0.25">
      <c r="A770" t="s">
        <v>1982</v>
      </c>
      <c r="B770" t="s">
        <v>457</v>
      </c>
      <c r="C770" t="s">
        <v>1983</v>
      </c>
      <c r="D770" t="s">
        <v>23</v>
      </c>
      <c r="E770" t="s">
        <v>19</v>
      </c>
      <c r="F770">
        <v>8000000</v>
      </c>
      <c r="G770">
        <v>27</v>
      </c>
      <c r="H770" s="1">
        <v>45113</v>
      </c>
      <c r="I770" t="s">
        <v>2104</v>
      </c>
    </row>
    <row r="771" spans="1:9" x14ac:dyDescent="0.25">
      <c r="A771" t="s">
        <v>1984</v>
      </c>
      <c r="B771" t="s">
        <v>786</v>
      </c>
      <c r="C771" t="s">
        <v>1985</v>
      </c>
      <c r="D771" t="s">
        <v>42</v>
      </c>
      <c r="E771" t="s">
        <v>38</v>
      </c>
      <c r="F771">
        <v>13000000</v>
      </c>
      <c r="G771">
        <v>24</v>
      </c>
      <c r="H771" s="1">
        <v>44661</v>
      </c>
      <c r="I771" t="s">
        <v>2104</v>
      </c>
    </row>
    <row r="772" spans="1:9" x14ac:dyDescent="0.25">
      <c r="A772" t="s">
        <v>1986</v>
      </c>
      <c r="B772" t="s">
        <v>223</v>
      </c>
      <c r="C772" t="s">
        <v>1987</v>
      </c>
      <c r="D772" t="s">
        <v>23</v>
      </c>
      <c r="E772" t="s">
        <v>38</v>
      </c>
      <c r="F772">
        <v>5500000</v>
      </c>
      <c r="G772">
        <v>33</v>
      </c>
      <c r="H772" s="1">
        <v>44296</v>
      </c>
      <c r="I772" t="s">
        <v>2104</v>
      </c>
    </row>
    <row r="773" spans="1:9" x14ac:dyDescent="0.25">
      <c r="A773" t="s">
        <v>1988</v>
      </c>
      <c r="B773" t="s">
        <v>264</v>
      </c>
      <c r="C773" t="s">
        <v>1989</v>
      </c>
      <c r="D773" t="s">
        <v>23</v>
      </c>
      <c r="E773" t="s">
        <v>34</v>
      </c>
      <c r="F773">
        <v>5500000</v>
      </c>
      <c r="G773">
        <v>17</v>
      </c>
      <c r="H773" s="1">
        <v>44512</v>
      </c>
      <c r="I773" t="s">
        <v>2104</v>
      </c>
    </row>
    <row r="774" spans="1:9" x14ac:dyDescent="0.25">
      <c r="A774" t="s">
        <v>1990</v>
      </c>
      <c r="B774" t="s">
        <v>118</v>
      </c>
      <c r="C774" t="s">
        <v>1991</v>
      </c>
      <c r="D774" t="s">
        <v>14</v>
      </c>
      <c r="E774" t="s">
        <v>19</v>
      </c>
      <c r="F774">
        <v>10500000</v>
      </c>
      <c r="G774">
        <v>22</v>
      </c>
      <c r="H774" s="1">
        <v>44169</v>
      </c>
      <c r="I774" t="s">
        <v>2104</v>
      </c>
    </row>
    <row r="775" spans="1:9" x14ac:dyDescent="0.25">
      <c r="A775" t="s">
        <v>1992</v>
      </c>
      <c r="B775" t="s">
        <v>68</v>
      </c>
      <c r="C775" t="s">
        <v>1993</v>
      </c>
      <c r="D775" t="s">
        <v>23</v>
      </c>
      <c r="E775" t="s">
        <v>15</v>
      </c>
      <c r="F775">
        <v>13000000</v>
      </c>
      <c r="G775">
        <v>36</v>
      </c>
      <c r="H775" s="1">
        <v>44845</v>
      </c>
      <c r="I775" t="s">
        <v>2104</v>
      </c>
    </row>
    <row r="776" spans="1:9" x14ac:dyDescent="0.25">
      <c r="A776" t="s">
        <v>1994</v>
      </c>
      <c r="B776" t="s">
        <v>492</v>
      </c>
      <c r="C776" t="s">
        <v>1995</v>
      </c>
      <c r="D776" t="s">
        <v>23</v>
      </c>
      <c r="E776" t="s">
        <v>19</v>
      </c>
      <c r="F776">
        <v>6500000</v>
      </c>
      <c r="G776">
        <v>39</v>
      </c>
      <c r="H776" s="1">
        <v>44663</v>
      </c>
      <c r="I776" t="s">
        <v>2104</v>
      </c>
    </row>
    <row r="777" spans="1:9" x14ac:dyDescent="0.25">
      <c r="A777" t="s">
        <v>1996</v>
      </c>
      <c r="B777" t="s">
        <v>264</v>
      </c>
      <c r="C777" t="s">
        <v>1997</v>
      </c>
      <c r="D777" t="s">
        <v>23</v>
      </c>
      <c r="E777" t="s">
        <v>15</v>
      </c>
      <c r="F777">
        <v>8000000</v>
      </c>
      <c r="G777">
        <v>25</v>
      </c>
      <c r="H777" s="1">
        <v>44968</v>
      </c>
      <c r="I777" t="s">
        <v>2104</v>
      </c>
    </row>
    <row r="778" spans="1:9" x14ac:dyDescent="0.25">
      <c r="A778" t="s">
        <v>1998</v>
      </c>
      <c r="B778" t="s">
        <v>26</v>
      </c>
      <c r="C778" t="s">
        <v>1999</v>
      </c>
      <c r="D778" t="s">
        <v>14</v>
      </c>
      <c r="E778" t="s">
        <v>24</v>
      </c>
      <c r="F778">
        <v>6500000</v>
      </c>
      <c r="G778">
        <v>16</v>
      </c>
      <c r="H778" s="1">
        <v>44570</v>
      </c>
      <c r="I778" t="s">
        <v>2104</v>
      </c>
    </row>
    <row r="779" spans="1:9" x14ac:dyDescent="0.25">
      <c r="A779" t="s">
        <v>2000</v>
      </c>
      <c r="B779" t="s">
        <v>21</v>
      </c>
      <c r="C779" t="s">
        <v>2001</v>
      </c>
      <c r="D779" t="s">
        <v>33</v>
      </c>
      <c r="E779" t="s">
        <v>19</v>
      </c>
      <c r="F779">
        <v>5500000</v>
      </c>
      <c r="G779">
        <v>19</v>
      </c>
      <c r="H779" s="1">
        <v>44384</v>
      </c>
      <c r="I779" t="s">
        <v>2104</v>
      </c>
    </row>
    <row r="780" spans="1:9" x14ac:dyDescent="0.25">
      <c r="A780" t="s">
        <v>2002</v>
      </c>
      <c r="B780" t="s">
        <v>171</v>
      </c>
      <c r="C780" t="s">
        <v>2003</v>
      </c>
      <c r="D780" t="s">
        <v>14</v>
      </c>
      <c r="E780" t="s">
        <v>34</v>
      </c>
      <c r="F780">
        <v>8000000</v>
      </c>
      <c r="G780">
        <v>13</v>
      </c>
      <c r="H780" s="1">
        <v>45768</v>
      </c>
      <c r="I780" t="s">
        <v>2104</v>
      </c>
    </row>
    <row r="781" spans="1:9" x14ac:dyDescent="0.25">
      <c r="A781" t="s">
        <v>2006</v>
      </c>
      <c r="B781" t="s">
        <v>108</v>
      </c>
      <c r="C781" t="s">
        <v>2007</v>
      </c>
      <c r="D781" t="s">
        <v>18</v>
      </c>
      <c r="E781" t="s">
        <v>24</v>
      </c>
      <c r="F781">
        <v>5500000</v>
      </c>
      <c r="G781">
        <v>11</v>
      </c>
      <c r="H781" s="1">
        <v>45191</v>
      </c>
      <c r="I781" t="s">
        <v>2104</v>
      </c>
    </row>
    <row r="782" spans="1:9" x14ac:dyDescent="0.25">
      <c r="A782" t="s">
        <v>2008</v>
      </c>
      <c r="B782" t="s">
        <v>158</v>
      </c>
      <c r="C782" t="s">
        <v>2009</v>
      </c>
      <c r="D782" t="s">
        <v>23</v>
      </c>
      <c r="E782" t="s">
        <v>19</v>
      </c>
      <c r="F782">
        <v>6500000</v>
      </c>
      <c r="G782">
        <v>25</v>
      </c>
      <c r="H782" s="1">
        <v>45078</v>
      </c>
      <c r="I782" t="s">
        <v>2104</v>
      </c>
    </row>
    <row r="783" spans="1:9" x14ac:dyDescent="0.25">
      <c r="A783" t="s">
        <v>2010</v>
      </c>
      <c r="B783" t="s">
        <v>839</v>
      </c>
      <c r="C783" t="s">
        <v>2011</v>
      </c>
      <c r="D783" t="s">
        <v>37</v>
      </c>
      <c r="E783" t="s">
        <v>24</v>
      </c>
      <c r="F783">
        <v>8000000</v>
      </c>
      <c r="G783">
        <v>34</v>
      </c>
      <c r="H783" s="1">
        <v>44884</v>
      </c>
      <c r="I783" t="s">
        <v>2104</v>
      </c>
    </row>
    <row r="784" spans="1:9" x14ac:dyDescent="0.25">
      <c r="A784" t="s">
        <v>2012</v>
      </c>
      <c r="B784" t="s">
        <v>311</v>
      </c>
      <c r="C784" t="s">
        <v>2013</v>
      </c>
      <c r="D784" t="s">
        <v>42</v>
      </c>
      <c r="E784" t="s">
        <v>34</v>
      </c>
      <c r="F784">
        <v>13000000</v>
      </c>
      <c r="G784">
        <v>21</v>
      </c>
      <c r="H784" s="1">
        <v>45566</v>
      </c>
      <c r="I784" t="s">
        <v>2104</v>
      </c>
    </row>
    <row r="785" spans="1:9" x14ac:dyDescent="0.25">
      <c r="A785" t="s">
        <v>2014</v>
      </c>
      <c r="B785" t="s">
        <v>115</v>
      </c>
      <c r="C785" t="s">
        <v>2015</v>
      </c>
      <c r="D785" t="s">
        <v>14</v>
      </c>
      <c r="E785" t="s">
        <v>38</v>
      </c>
      <c r="F785">
        <v>13000000</v>
      </c>
      <c r="G785">
        <v>39</v>
      </c>
      <c r="H785" s="1">
        <v>45951</v>
      </c>
      <c r="I785" t="s">
        <v>2104</v>
      </c>
    </row>
    <row r="786" spans="1:9" x14ac:dyDescent="0.25">
      <c r="A786" t="s">
        <v>2016</v>
      </c>
      <c r="B786" t="s">
        <v>60</v>
      </c>
      <c r="C786" t="s">
        <v>2017</v>
      </c>
      <c r="D786" t="s">
        <v>37</v>
      </c>
      <c r="E786" t="s">
        <v>24</v>
      </c>
      <c r="F786">
        <v>5500000</v>
      </c>
      <c r="G786">
        <v>26</v>
      </c>
      <c r="H786" s="1">
        <v>44289</v>
      </c>
      <c r="I786" t="s">
        <v>2104</v>
      </c>
    </row>
    <row r="787" spans="1:9" x14ac:dyDescent="0.25">
      <c r="A787" t="s">
        <v>2020</v>
      </c>
      <c r="B787" t="s">
        <v>270</v>
      </c>
      <c r="C787" t="s">
        <v>2021</v>
      </c>
      <c r="D787" t="s">
        <v>37</v>
      </c>
      <c r="E787" t="s">
        <v>19</v>
      </c>
      <c r="F787">
        <v>13000000</v>
      </c>
      <c r="G787">
        <v>0</v>
      </c>
      <c r="H787" s="1">
        <v>44932</v>
      </c>
      <c r="I787" t="s">
        <v>2104</v>
      </c>
    </row>
    <row r="788" spans="1:9" x14ac:dyDescent="0.25">
      <c r="A788" t="s">
        <v>2022</v>
      </c>
      <c r="B788" t="s">
        <v>54</v>
      </c>
      <c r="C788" t="s">
        <v>2023</v>
      </c>
      <c r="D788" t="s">
        <v>14</v>
      </c>
      <c r="E788" t="s">
        <v>38</v>
      </c>
      <c r="F788">
        <v>5500000</v>
      </c>
      <c r="G788">
        <v>29</v>
      </c>
      <c r="H788" s="1">
        <v>45494</v>
      </c>
      <c r="I788" t="s">
        <v>2104</v>
      </c>
    </row>
    <row r="789" spans="1:9" x14ac:dyDescent="0.25">
      <c r="A789" t="s">
        <v>2024</v>
      </c>
      <c r="B789" t="s">
        <v>786</v>
      </c>
      <c r="C789" t="s">
        <v>2025</v>
      </c>
      <c r="D789" t="s">
        <v>33</v>
      </c>
      <c r="E789" t="s">
        <v>19</v>
      </c>
      <c r="F789">
        <v>13000000</v>
      </c>
      <c r="G789">
        <v>4</v>
      </c>
      <c r="H789" s="1">
        <v>45814</v>
      </c>
      <c r="I789" t="s">
        <v>2104</v>
      </c>
    </row>
    <row r="790" spans="1:9" x14ac:dyDescent="0.25">
      <c r="A790" t="s">
        <v>2026</v>
      </c>
      <c r="B790" t="s">
        <v>267</v>
      </c>
      <c r="C790" t="s">
        <v>2027</v>
      </c>
      <c r="D790" t="s">
        <v>18</v>
      </c>
      <c r="E790" t="s">
        <v>19</v>
      </c>
      <c r="F790">
        <v>8000000</v>
      </c>
      <c r="G790">
        <v>32</v>
      </c>
      <c r="H790" s="1">
        <v>45897</v>
      </c>
      <c r="I790" t="s">
        <v>2104</v>
      </c>
    </row>
    <row r="791" spans="1:9" x14ac:dyDescent="0.25">
      <c r="A791" t="s">
        <v>2028</v>
      </c>
      <c r="B791" t="s">
        <v>166</v>
      </c>
      <c r="C791" t="s">
        <v>2029</v>
      </c>
      <c r="D791" t="s">
        <v>23</v>
      </c>
      <c r="E791" t="s">
        <v>24</v>
      </c>
      <c r="F791">
        <v>10500000</v>
      </c>
      <c r="G791">
        <v>30</v>
      </c>
      <c r="H791" s="1">
        <v>45978</v>
      </c>
      <c r="I791" t="s">
        <v>2104</v>
      </c>
    </row>
    <row r="792" spans="1:9" x14ac:dyDescent="0.25">
      <c r="A792" t="s">
        <v>2030</v>
      </c>
      <c r="B792" t="s">
        <v>31</v>
      </c>
      <c r="C792" t="s">
        <v>2031</v>
      </c>
      <c r="D792" t="s">
        <v>14</v>
      </c>
      <c r="E792" t="s">
        <v>24</v>
      </c>
      <c r="F792">
        <v>5500000</v>
      </c>
      <c r="G792">
        <v>21</v>
      </c>
      <c r="H792" s="1">
        <v>45172</v>
      </c>
      <c r="I792" t="s">
        <v>2104</v>
      </c>
    </row>
    <row r="793" spans="1:9" x14ac:dyDescent="0.25">
      <c r="A793" t="s">
        <v>2032</v>
      </c>
      <c r="B793" t="s">
        <v>68</v>
      </c>
      <c r="C793" t="s">
        <v>2033</v>
      </c>
      <c r="D793" t="s">
        <v>23</v>
      </c>
      <c r="E793" t="s">
        <v>15</v>
      </c>
      <c r="F793">
        <v>10500000</v>
      </c>
      <c r="G793">
        <v>38</v>
      </c>
      <c r="H793" s="1">
        <v>44066</v>
      </c>
      <c r="I793" t="s">
        <v>2104</v>
      </c>
    </row>
    <row r="794" spans="1:9" x14ac:dyDescent="0.25">
      <c r="A794" t="s">
        <v>2034</v>
      </c>
      <c r="B794" t="s">
        <v>174</v>
      </c>
      <c r="C794" t="s">
        <v>2035</v>
      </c>
      <c r="D794" t="s">
        <v>42</v>
      </c>
      <c r="E794" t="s">
        <v>34</v>
      </c>
      <c r="F794">
        <v>5500000</v>
      </c>
      <c r="G794">
        <v>2</v>
      </c>
      <c r="H794" s="1">
        <v>46019</v>
      </c>
      <c r="I794" t="s">
        <v>2104</v>
      </c>
    </row>
    <row r="795" spans="1:9" x14ac:dyDescent="0.25">
      <c r="A795" t="s">
        <v>2036</v>
      </c>
      <c r="B795" t="s">
        <v>464</v>
      </c>
      <c r="C795" t="s">
        <v>2037</v>
      </c>
      <c r="D795" t="s">
        <v>33</v>
      </c>
      <c r="E795" t="s">
        <v>34</v>
      </c>
      <c r="F795">
        <v>5500000</v>
      </c>
      <c r="G795">
        <v>13</v>
      </c>
      <c r="H795" s="1">
        <v>44565</v>
      </c>
      <c r="I795" t="s">
        <v>2104</v>
      </c>
    </row>
    <row r="796" spans="1:9" x14ac:dyDescent="0.25">
      <c r="A796" t="s">
        <v>2038</v>
      </c>
      <c r="B796" t="s">
        <v>26</v>
      </c>
      <c r="C796" t="s">
        <v>2039</v>
      </c>
      <c r="D796" t="s">
        <v>33</v>
      </c>
      <c r="E796" t="s">
        <v>15</v>
      </c>
      <c r="F796">
        <v>6500000</v>
      </c>
      <c r="G796">
        <v>9</v>
      </c>
      <c r="H796" s="1">
        <v>44765</v>
      </c>
      <c r="I796" t="s">
        <v>2104</v>
      </c>
    </row>
    <row r="797" spans="1:9" x14ac:dyDescent="0.25">
      <c r="A797" t="s">
        <v>2040</v>
      </c>
      <c r="B797" t="s">
        <v>316</v>
      </c>
      <c r="C797" t="s">
        <v>2041</v>
      </c>
      <c r="D797" t="s">
        <v>33</v>
      </c>
      <c r="E797" t="s">
        <v>38</v>
      </c>
      <c r="F797">
        <v>8000000</v>
      </c>
      <c r="G797">
        <v>38</v>
      </c>
      <c r="H797" s="1">
        <v>43868</v>
      </c>
      <c r="I797" t="s">
        <v>2104</v>
      </c>
    </row>
    <row r="798" spans="1:9" x14ac:dyDescent="0.25">
      <c r="A798" t="s">
        <v>2042</v>
      </c>
      <c r="B798" t="s">
        <v>105</v>
      </c>
      <c r="C798" t="s">
        <v>2043</v>
      </c>
      <c r="D798" t="s">
        <v>33</v>
      </c>
      <c r="E798" t="s">
        <v>24</v>
      </c>
      <c r="F798">
        <v>5500000</v>
      </c>
      <c r="G798">
        <v>35</v>
      </c>
      <c r="H798" s="1">
        <v>44645</v>
      </c>
      <c r="I798" t="s">
        <v>2104</v>
      </c>
    </row>
    <row r="799" spans="1:9" x14ac:dyDescent="0.25">
      <c r="A799" t="s">
        <v>2044</v>
      </c>
      <c r="B799" t="s">
        <v>75</v>
      </c>
      <c r="C799" t="s">
        <v>2045</v>
      </c>
      <c r="D799" t="s">
        <v>33</v>
      </c>
      <c r="E799" t="s">
        <v>38</v>
      </c>
      <c r="F799">
        <v>8000000</v>
      </c>
      <c r="G799">
        <v>6</v>
      </c>
      <c r="H799" s="1">
        <v>45697</v>
      </c>
      <c r="I799" t="s">
        <v>2104</v>
      </c>
    </row>
    <row r="800" spans="1:9" x14ac:dyDescent="0.25">
      <c r="A800" t="s">
        <v>2046</v>
      </c>
      <c r="B800" t="s">
        <v>771</v>
      </c>
      <c r="C800" t="s">
        <v>2047</v>
      </c>
      <c r="D800" t="s">
        <v>18</v>
      </c>
      <c r="E800" t="s">
        <v>19</v>
      </c>
      <c r="F800">
        <v>6500000</v>
      </c>
      <c r="G800">
        <v>13</v>
      </c>
      <c r="H800" s="1">
        <v>43894</v>
      </c>
      <c r="I800" t="s">
        <v>2104</v>
      </c>
    </row>
    <row r="801" spans="1:9" x14ac:dyDescent="0.25">
      <c r="A801" t="s">
        <v>2048</v>
      </c>
      <c r="B801" t="s">
        <v>84</v>
      </c>
      <c r="C801" t="s">
        <v>2049</v>
      </c>
      <c r="D801" t="s">
        <v>14</v>
      </c>
      <c r="E801" t="s">
        <v>24</v>
      </c>
      <c r="F801">
        <v>6500000</v>
      </c>
      <c r="G801">
        <v>7</v>
      </c>
      <c r="H801" s="1">
        <v>45718</v>
      </c>
      <c r="I801" t="s">
        <v>2104</v>
      </c>
    </row>
    <row r="802" spans="1:9" x14ac:dyDescent="0.25">
      <c r="A802" t="s">
        <v>2050</v>
      </c>
      <c r="B802" t="s">
        <v>40</v>
      </c>
      <c r="C802" t="s">
        <v>2051</v>
      </c>
      <c r="D802" t="s">
        <v>42</v>
      </c>
      <c r="E802" t="s">
        <v>38</v>
      </c>
      <c r="F802">
        <v>6500000</v>
      </c>
      <c r="G802">
        <v>1</v>
      </c>
      <c r="H802" s="1">
        <v>45210</v>
      </c>
      <c r="I802" t="s">
        <v>2104</v>
      </c>
    </row>
    <row r="803" spans="1:9" x14ac:dyDescent="0.25">
      <c r="A803" t="s">
        <v>2052</v>
      </c>
      <c r="B803" t="s">
        <v>158</v>
      </c>
      <c r="C803" t="s">
        <v>2053</v>
      </c>
      <c r="D803" t="s">
        <v>14</v>
      </c>
      <c r="E803" t="s">
        <v>34</v>
      </c>
      <c r="F803">
        <v>13000000</v>
      </c>
      <c r="G803">
        <v>38</v>
      </c>
      <c r="H803" s="1">
        <v>45556</v>
      </c>
      <c r="I803" t="s">
        <v>2104</v>
      </c>
    </row>
    <row r="804" spans="1:9" x14ac:dyDescent="0.25">
      <c r="A804" t="s">
        <v>2054</v>
      </c>
      <c r="B804" t="s">
        <v>153</v>
      </c>
      <c r="C804" t="s">
        <v>2055</v>
      </c>
      <c r="D804" t="s">
        <v>37</v>
      </c>
      <c r="E804" t="s">
        <v>38</v>
      </c>
      <c r="F804">
        <v>8000000</v>
      </c>
      <c r="G804">
        <v>30</v>
      </c>
      <c r="H804" s="1">
        <v>44629</v>
      </c>
      <c r="I804" t="s">
        <v>2104</v>
      </c>
    </row>
    <row r="805" spans="1:9" x14ac:dyDescent="0.25">
      <c r="A805" t="s">
        <v>2056</v>
      </c>
      <c r="B805" t="s">
        <v>261</v>
      </c>
      <c r="C805" t="s">
        <v>2057</v>
      </c>
      <c r="D805" t="s">
        <v>37</v>
      </c>
      <c r="E805" t="s">
        <v>15</v>
      </c>
      <c r="F805">
        <v>6500000</v>
      </c>
      <c r="G805">
        <v>36</v>
      </c>
      <c r="H805" s="1">
        <v>45466</v>
      </c>
      <c r="I805" t="s">
        <v>2104</v>
      </c>
    </row>
    <row r="806" spans="1:9" x14ac:dyDescent="0.25">
      <c r="A806" t="s">
        <v>2058</v>
      </c>
      <c r="B806" t="s">
        <v>86</v>
      </c>
      <c r="C806" t="s">
        <v>2059</v>
      </c>
      <c r="D806" t="s">
        <v>23</v>
      </c>
      <c r="E806" t="s">
        <v>38</v>
      </c>
      <c r="F806">
        <v>5500000</v>
      </c>
      <c r="G806">
        <v>24</v>
      </c>
      <c r="H806" s="1">
        <v>44444</v>
      </c>
      <c r="I806" t="s">
        <v>2104</v>
      </c>
    </row>
    <row r="807" spans="1:9" x14ac:dyDescent="0.25">
      <c r="A807" t="s">
        <v>2060</v>
      </c>
      <c r="B807" t="s">
        <v>351</v>
      </c>
      <c r="C807" t="s">
        <v>2061</v>
      </c>
      <c r="D807" t="s">
        <v>18</v>
      </c>
      <c r="E807" t="s">
        <v>24</v>
      </c>
      <c r="F807">
        <v>6500000</v>
      </c>
      <c r="G807">
        <v>17</v>
      </c>
      <c r="H807" s="1">
        <v>45235</v>
      </c>
      <c r="I807" t="s">
        <v>2104</v>
      </c>
    </row>
    <row r="808" spans="1:9" x14ac:dyDescent="0.25">
      <c r="A808" t="s">
        <v>2062</v>
      </c>
      <c r="B808" t="s">
        <v>28</v>
      </c>
      <c r="C808" t="s">
        <v>2063</v>
      </c>
      <c r="D808" t="s">
        <v>42</v>
      </c>
      <c r="E808" t="s">
        <v>24</v>
      </c>
      <c r="F808">
        <v>10500000</v>
      </c>
      <c r="G808">
        <v>16</v>
      </c>
      <c r="H808" s="1">
        <v>45586</v>
      </c>
      <c r="I808" t="s">
        <v>2104</v>
      </c>
    </row>
    <row r="809" spans="1:9" x14ac:dyDescent="0.25">
      <c r="A809" t="s">
        <v>2064</v>
      </c>
      <c r="B809" t="s">
        <v>253</v>
      </c>
      <c r="C809" t="s">
        <v>2065</v>
      </c>
      <c r="D809" t="s">
        <v>42</v>
      </c>
      <c r="E809" t="s">
        <v>19</v>
      </c>
      <c r="F809">
        <v>8000000</v>
      </c>
      <c r="G809">
        <v>20</v>
      </c>
      <c r="H809" s="1">
        <v>44096</v>
      </c>
      <c r="I809" t="s">
        <v>2104</v>
      </c>
    </row>
    <row r="810" spans="1:9" x14ac:dyDescent="0.25">
      <c r="A810" t="s">
        <v>2066</v>
      </c>
      <c r="B810" t="s">
        <v>447</v>
      </c>
      <c r="C810" t="s">
        <v>2067</v>
      </c>
      <c r="D810" t="s">
        <v>23</v>
      </c>
      <c r="E810" t="s">
        <v>24</v>
      </c>
      <c r="F810">
        <v>8000000</v>
      </c>
      <c r="G810">
        <v>16</v>
      </c>
      <c r="H810" s="1">
        <v>44348</v>
      </c>
      <c r="I810" t="s">
        <v>2104</v>
      </c>
    </row>
    <row r="811" spans="1:9" x14ac:dyDescent="0.25">
      <c r="A811" t="s">
        <v>2068</v>
      </c>
      <c r="B811" t="s">
        <v>264</v>
      </c>
      <c r="C811" t="s">
        <v>2069</v>
      </c>
      <c r="D811" t="s">
        <v>23</v>
      </c>
      <c r="E811" t="s">
        <v>34</v>
      </c>
      <c r="F811">
        <v>5500000</v>
      </c>
      <c r="G811">
        <v>0</v>
      </c>
      <c r="H811" s="1">
        <v>45462</v>
      </c>
      <c r="I811" t="s">
        <v>2104</v>
      </c>
    </row>
    <row r="812" spans="1:9" x14ac:dyDescent="0.25">
      <c r="A812" t="s">
        <v>2070</v>
      </c>
      <c r="B812" t="s">
        <v>308</v>
      </c>
      <c r="C812" t="s">
        <v>2071</v>
      </c>
      <c r="D812" t="s">
        <v>23</v>
      </c>
      <c r="E812" t="s">
        <v>34</v>
      </c>
      <c r="F812">
        <v>13000000</v>
      </c>
      <c r="G812">
        <v>14</v>
      </c>
      <c r="H812" s="1">
        <v>44789</v>
      </c>
      <c r="I812" t="s">
        <v>2104</v>
      </c>
    </row>
    <row r="813" spans="1:9" x14ac:dyDescent="0.25">
      <c r="A813" t="s">
        <v>2072</v>
      </c>
      <c r="B813" t="s">
        <v>66</v>
      </c>
      <c r="C813" t="s">
        <v>2073</v>
      </c>
      <c r="D813" t="s">
        <v>18</v>
      </c>
      <c r="E813" t="s">
        <v>19</v>
      </c>
      <c r="F813">
        <v>13000000</v>
      </c>
      <c r="G813">
        <v>35</v>
      </c>
      <c r="H813" s="1">
        <v>45724</v>
      </c>
      <c r="I813" t="s">
        <v>2104</v>
      </c>
    </row>
    <row r="814" spans="1:9" x14ac:dyDescent="0.25">
      <c r="A814" t="s">
        <v>2074</v>
      </c>
      <c r="B814" t="s">
        <v>171</v>
      </c>
      <c r="C814" t="s">
        <v>2075</v>
      </c>
      <c r="D814" t="s">
        <v>37</v>
      </c>
      <c r="E814" t="s">
        <v>38</v>
      </c>
      <c r="F814">
        <v>6500000</v>
      </c>
      <c r="G814">
        <v>24</v>
      </c>
      <c r="H814" s="1">
        <v>46001</v>
      </c>
      <c r="I814" t="s">
        <v>2104</v>
      </c>
    </row>
    <row r="815" spans="1:9" x14ac:dyDescent="0.25">
      <c r="A815" t="s">
        <v>2076</v>
      </c>
      <c r="B815" t="s">
        <v>127</v>
      </c>
      <c r="C815" t="s">
        <v>2077</v>
      </c>
      <c r="D815" t="s">
        <v>23</v>
      </c>
      <c r="E815" t="s">
        <v>19</v>
      </c>
      <c r="F815">
        <v>6500000</v>
      </c>
      <c r="G815">
        <v>6</v>
      </c>
      <c r="H815" s="1">
        <v>44694</v>
      </c>
      <c r="I815" t="s">
        <v>2104</v>
      </c>
    </row>
    <row r="816" spans="1:9" x14ac:dyDescent="0.25">
      <c r="A816" t="s">
        <v>2078</v>
      </c>
      <c r="B816" t="s">
        <v>75</v>
      </c>
      <c r="C816" t="s">
        <v>2079</v>
      </c>
      <c r="D816" t="s">
        <v>42</v>
      </c>
      <c r="E816" t="s">
        <v>24</v>
      </c>
      <c r="F816">
        <v>10500000</v>
      </c>
      <c r="G816">
        <v>29</v>
      </c>
      <c r="H816" s="1">
        <v>44792</v>
      </c>
      <c r="I816" t="s">
        <v>2104</v>
      </c>
    </row>
    <row r="817" spans="1:9" x14ac:dyDescent="0.25">
      <c r="A817" t="s">
        <v>2082</v>
      </c>
      <c r="B817" t="s">
        <v>196</v>
      </c>
      <c r="C817" t="s">
        <v>2083</v>
      </c>
      <c r="D817" t="s">
        <v>18</v>
      </c>
      <c r="E817" t="s">
        <v>15</v>
      </c>
      <c r="F817">
        <v>8000000</v>
      </c>
      <c r="G817">
        <v>14</v>
      </c>
      <c r="H817" s="1">
        <v>43936</v>
      </c>
      <c r="I817" t="s">
        <v>2104</v>
      </c>
    </row>
    <row r="818" spans="1:9" x14ac:dyDescent="0.25">
      <c r="A818" t="s">
        <v>2084</v>
      </c>
      <c r="B818" t="s">
        <v>219</v>
      </c>
      <c r="C818" t="s">
        <v>2085</v>
      </c>
      <c r="D818" t="s">
        <v>37</v>
      </c>
      <c r="E818" t="s">
        <v>34</v>
      </c>
      <c r="F818">
        <v>5500000</v>
      </c>
      <c r="G818">
        <v>26</v>
      </c>
      <c r="H818" s="1">
        <v>44442</v>
      </c>
      <c r="I818" t="s">
        <v>2104</v>
      </c>
    </row>
    <row r="819" spans="1:9" x14ac:dyDescent="0.25">
      <c r="A819" t="s">
        <v>2086</v>
      </c>
      <c r="B819" t="s">
        <v>940</v>
      </c>
      <c r="C819" t="s">
        <v>2087</v>
      </c>
      <c r="D819" t="s">
        <v>23</v>
      </c>
      <c r="E819" t="s">
        <v>24</v>
      </c>
      <c r="F819">
        <v>6500000</v>
      </c>
      <c r="G819">
        <v>30</v>
      </c>
      <c r="H819" s="1">
        <v>43858</v>
      </c>
      <c r="I819" t="s">
        <v>2104</v>
      </c>
    </row>
    <row r="820" spans="1:9" x14ac:dyDescent="0.25">
      <c r="A820" t="s">
        <v>2090</v>
      </c>
      <c r="B820" t="s">
        <v>212</v>
      </c>
      <c r="C820" t="s">
        <v>2091</v>
      </c>
      <c r="D820" t="s">
        <v>18</v>
      </c>
      <c r="E820" t="s">
        <v>24</v>
      </c>
      <c r="F820">
        <v>10500000</v>
      </c>
      <c r="G820">
        <v>19</v>
      </c>
      <c r="H820" s="1">
        <v>44937</v>
      </c>
      <c r="I820" t="s">
        <v>2104</v>
      </c>
    </row>
    <row r="821" spans="1:9" x14ac:dyDescent="0.25">
      <c r="A821" t="s">
        <v>2092</v>
      </c>
      <c r="B821" t="s">
        <v>46</v>
      </c>
      <c r="C821" t="s">
        <v>2093</v>
      </c>
      <c r="D821" t="s">
        <v>18</v>
      </c>
      <c r="E821" t="s">
        <v>34</v>
      </c>
      <c r="F821">
        <v>8000000</v>
      </c>
      <c r="G821">
        <v>32</v>
      </c>
      <c r="H821" s="1">
        <v>45794</v>
      </c>
      <c r="I821" t="s">
        <v>2104</v>
      </c>
    </row>
    <row r="822" spans="1:9" x14ac:dyDescent="0.25">
      <c r="A822" t="s">
        <v>2096</v>
      </c>
      <c r="B822" t="s">
        <v>129</v>
      </c>
      <c r="C822" t="s">
        <v>2097</v>
      </c>
      <c r="D822" t="s">
        <v>14</v>
      </c>
      <c r="E822" t="s">
        <v>15</v>
      </c>
      <c r="F822">
        <v>13000000</v>
      </c>
      <c r="G822">
        <v>30</v>
      </c>
      <c r="H822" s="1">
        <v>44395</v>
      </c>
      <c r="I822" t="s">
        <v>2104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DAA26-1F19-4418-BDCA-C35EE235252C}">
  <dimension ref="A1:N180"/>
  <sheetViews>
    <sheetView topLeftCell="A73" workbookViewId="0">
      <selection activeCell="N2" sqref="N2:N180"/>
    </sheetView>
  </sheetViews>
  <sheetFormatPr defaultRowHeight="15" x14ac:dyDescent="0.25"/>
  <cols>
    <col min="1" max="1" width="15" bestFit="1" customWidth="1"/>
    <col min="2" max="2" width="11.42578125" bestFit="1" customWidth="1"/>
    <col min="3" max="3" width="18.5703125" bestFit="1" customWidth="1"/>
    <col min="4" max="5" width="17.28515625" bestFit="1" customWidth="1"/>
    <col min="6" max="6" width="12.7109375" bestFit="1" customWidth="1"/>
    <col min="7" max="7" width="23.85546875" bestFit="1" customWidth="1"/>
    <col min="8" max="8" width="13.42578125" bestFit="1" customWidth="1"/>
    <col min="9" max="9" width="17.85546875" bestFit="1" customWidth="1"/>
    <col min="10" max="10" width="18" bestFit="1" customWidth="1"/>
    <col min="11" max="11" width="24.28515625" bestFit="1" customWidth="1"/>
    <col min="12" max="12" width="12" bestFit="1" customWidth="1"/>
    <col min="13" max="13" width="14.5703125" bestFit="1" customWidth="1"/>
    <col min="14" max="14" width="39.8554687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2098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2099</v>
      </c>
      <c r="N1" t="s">
        <v>2100</v>
      </c>
    </row>
    <row r="2" spans="1:14" x14ac:dyDescent="0.25">
      <c r="A2" s="13" t="s">
        <v>11</v>
      </c>
      <c r="B2">
        <v>2</v>
      </c>
      <c r="C2" s="13" t="s">
        <v>12</v>
      </c>
      <c r="D2" s="13" t="s">
        <v>13</v>
      </c>
      <c r="E2" s="13" t="s">
        <v>13</v>
      </c>
      <c r="F2">
        <v>1</v>
      </c>
      <c r="G2" s="13" t="s">
        <v>14</v>
      </c>
      <c r="H2" s="13" t="s">
        <v>15</v>
      </c>
      <c r="I2">
        <v>6500000</v>
      </c>
      <c r="J2" s="13">
        <v>25</v>
      </c>
      <c r="K2">
        <v>25</v>
      </c>
      <c r="L2" s="1">
        <v>44128</v>
      </c>
      <c r="M2" t="s">
        <v>2101</v>
      </c>
      <c r="N2" t="s">
        <v>2102</v>
      </c>
    </row>
    <row r="3" spans="1:14" x14ac:dyDescent="0.25">
      <c r="A3" s="13" t="s">
        <v>11</v>
      </c>
      <c r="B3">
        <v>2</v>
      </c>
      <c r="C3" s="13" t="s">
        <v>16</v>
      </c>
      <c r="D3" s="13" t="s">
        <v>17</v>
      </c>
      <c r="E3" s="13" t="s">
        <v>17</v>
      </c>
      <c r="F3">
        <v>1</v>
      </c>
      <c r="G3" s="13" t="s">
        <v>18</v>
      </c>
      <c r="H3" s="13" t="s">
        <v>19</v>
      </c>
      <c r="I3">
        <v>13000000</v>
      </c>
      <c r="J3" s="13">
        <v>40</v>
      </c>
      <c r="K3">
        <v>40</v>
      </c>
      <c r="L3" s="1">
        <v>45681</v>
      </c>
      <c r="M3" t="s">
        <v>2101</v>
      </c>
      <c r="N3" t="s">
        <v>2102</v>
      </c>
    </row>
    <row r="4" spans="1:14" x14ac:dyDescent="0.25">
      <c r="A4" s="13" t="s">
        <v>25</v>
      </c>
      <c r="B4">
        <v>2</v>
      </c>
      <c r="C4" s="13" t="s">
        <v>26</v>
      </c>
      <c r="D4" s="13" t="s">
        <v>27</v>
      </c>
      <c r="E4" s="13" t="s">
        <v>27</v>
      </c>
      <c r="F4">
        <v>1</v>
      </c>
      <c r="G4" s="13" t="s">
        <v>14</v>
      </c>
      <c r="H4" s="13" t="s">
        <v>24</v>
      </c>
      <c r="I4">
        <v>5500000</v>
      </c>
      <c r="J4" s="13">
        <v>30</v>
      </c>
      <c r="K4">
        <v>30</v>
      </c>
      <c r="L4" s="1">
        <v>44269</v>
      </c>
      <c r="M4" t="s">
        <v>2101</v>
      </c>
      <c r="N4" t="s">
        <v>2102</v>
      </c>
    </row>
    <row r="5" spans="1:14" x14ac:dyDescent="0.25">
      <c r="A5" s="13" t="s">
        <v>25</v>
      </c>
      <c r="B5">
        <v>2</v>
      </c>
      <c r="C5" s="13" t="s">
        <v>28</v>
      </c>
      <c r="D5" s="13" t="s">
        <v>29</v>
      </c>
      <c r="E5" s="13" t="s">
        <v>29</v>
      </c>
      <c r="F5">
        <v>1</v>
      </c>
      <c r="G5" s="13" t="s">
        <v>14</v>
      </c>
      <c r="H5" s="13" t="s">
        <v>19</v>
      </c>
      <c r="I5">
        <v>10500000</v>
      </c>
      <c r="J5" s="13">
        <v>30</v>
      </c>
      <c r="K5">
        <v>30</v>
      </c>
      <c r="L5" s="1">
        <v>44639</v>
      </c>
      <c r="M5" t="s">
        <v>2101</v>
      </c>
      <c r="N5" t="s">
        <v>2102</v>
      </c>
    </row>
    <row r="6" spans="1:14" x14ac:dyDescent="0.25">
      <c r="A6" s="13" t="s">
        <v>30</v>
      </c>
      <c r="B6">
        <v>2</v>
      </c>
      <c r="C6" s="13" t="s">
        <v>31</v>
      </c>
      <c r="D6" s="13" t="s">
        <v>32</v>
      </c>
      <c r="E6" s="13" t="s">
        <v>32</v>
      </c>
      <c r="F6">
        <v>1</v>
      </c>
      <c r="G6" s="13" t="s">
        <v>33</v>
      </c>
      <c r="H6" s="13" t="s">
        <v>34</v>
      </c>
      <c r="I6">
        <v>8000000</v>
      </c>
      <c r="J6" s="13">
        <v>32</v>
      </c>
      <c r="K6">
        <v>32</v>
      </c>
      <c r="L6" s="1">
        <v>44100</v>
      </c>
      <c r="M6" t="s">
        <v>2101</v>
      </c>
      <c r="N6" t="s">
        <v>2102</v>
      </c>
    </row>
    <row r="7" spans="1:14" x14ac:dyDescent="0.25">
      <c r="A7" s="13" t="s">
        <v>30</v>
      </c>
      <c r="B7">
        <v>2</v>
      </c>
      <c r="C7" s="13" t="s">
        <v>35</v>
      </c>
      <c r="D7" s="13" t="s">
        <v>36</v>
      </c>
      <c r="E7" s="13" t="s">
        <v>36</v>
      </c>
      <c r="F7">
        <v>1</v>
      </c>
      <c r="G7" s="13" t="s">
        <v>37</v>
      </c>
      <c r="H7" s="13" t="s">
        <v>38</v>
      </c>
      <c r="I7">
        <v>5500000</v>
      </c>
      <c r="J7" s="13">
        <v>15</v>
      </c>
      <c r="K7">
        <v>15</v>
      </c>
      <c r="L7" s="1">
        <v>43924</v>
      </c>
      <c r="M7" t="s">
        <v>2101</v>
      </c>
      <c r="N7" t="s">
        <v>2102</v>
      </c>
    </row>
    <row r="8" spans="1:14" x14ac:dyDescent="0.25">
      <c r="A8" s="13" t="s">
        <v>39</v>
      </c>
      <c r="B8">
        <v>2</v>
      </c>
      <c r="C8" s="13" t="s">
        <v>40</v>
      </c>
      <c r="D8" s="13" t="s">
        <v>41</v>
      </c>
      <c r="E8" s="13" t="s">
        <v>41</v>
      </c>
      <c r="F8">
        <v>1</v>
      </c>
      <c r="G8" s="13" t="s">
        <v>42</v>
      </c>
      <c r="H8" s="13" t="s">
        <v>38</v>
      </c>
      <c r="I8">
        <v>5500000</v>
      </c>
      <c r="J8" s="13">
        <v>26</v>
      </c>
      <c r="K8">
        <v>26</v>
      </c>
      <c r="L8" s="1">
        <v>45905</v>
      </c>
      <c r="M8" t="s">
        <v>2101</v>
      </c>
      <c r="N8" t="s">
        <v>2102</v>
      </c>
    </row>
    <row r="9" spans="1:14" x14ac:dyDescent="0.25">
      <c r="A9" s="13" t="s">
        <v>39</v>
      </c>
      <c r="B9">
        <v>2</v>
      </c>
      <c r="C9" s="13" t="s">
        <v>43</v>
      </c>
      <c r="D9" s="13" t="s">
        <v>44</v>
      </c>
      <c r="E9" s="13" t="s">
        <v>44</v>
      </c>
      <c r="F9">
        <v>1</v>
      </c>
      <c r="G9" s="13" t="s">
        <v>42</v>
      </c>
      <c r="H9" s="13" t="s">
        <v>24</v>
      </c>
      <c r="I9">
        <v>6500000</v>
      </c>
      <c r="J9" s="13">
        <v>30</v>
      </c>
      <c r="K9">
        <v>30</v>
      </c>
      <c r="L9" s="1">
        <v>44317</v>
      </c>
      <c r="M9" t="s">
        <v>2101</v>
      </c>
      <c r="N9" t="s">
        <v>2102</v>
      </c>
    </row>
    <row r="10" spans="1:14" x14ac:dyDescent="0.25">
      <c r="A10" s="13" t="s">
        <v>48</v>
      </c>
      <c r="B10">
        <v>2</v>
      </c>
      <c r="C10" s="13" t="s">
        <v>49</v>
      </c>
      <c r="D10" s="13" t="s">
        <v>50</v>
      </c>
      <c r="E10" s="13" t="s">
        <v>50</v>
      </c>
      <c r="F10">
        <v>1</v>
      </c>
      <c r="G10" s="13" t="s">
        <v>37</v>
      </c>
      <c r="H10" s="13" t="s">
        <v>38</v>
      </c>
      <c r="I10">
        <v>10500000</v>
      </c>
      <c r="J10" s="13">
        <v>29</v>
      </c>
      <c r="K10">
        <v>29</v>
      </c>
      <c r="L10" s="1">
        <v>45115</v>
      </c>
      <c r="M10" t="s">
        <v>2101</v>
      </c>
      <c r="N10" t="s">
        <v>2102</v>
      </c>
    </row>
    <row r="11" spans="1:14" x14ac:dyDescent="0.25">
      <c r="A11" s="13" t="s">
        <v>48</v>
      </c>
      <c r="B11">
        <v>2</v>
      </c>
      <c r="C11" s="13" t="s">
        <v>51</v>
      </c>
      <c r="D11" s="13" t="s">
        <v>52</v>
      </c>
      <c r="E11" s="13" t="s">
        <v>52</v>
      </c>
      <c r="F11">
        <v>1</v>
      </c>
      <c r="G11" s="13" t="s">
        <v>14</v>
      </c>
      <c r="H11" s="13" t="s">
        <v>38</v>
      </c>
      <c r="I11">
        <v>10500000</v>
      </c>
      <c r="J11" s="13">
        <v>30</v>
      </c>
      <c r="K11">
        <v>30</v>
      </c>
      <c r="L11" s="1">
        <v>44455</v>
      </c>
      <c r="M11" t="s">
        <v>2101</v>
      </c>
      <c r="N11" t="s">
        <v>2102</v>
      </c>
    </row>
    <row r="12" spans="1:14" x14ac:dyDescent="0.25">
      <c r="A12" s="13" t="s">
        <v>59</v>
      </c>
      <c r="B12">
        <v>1</v>
      </c>
      <c r="C12" s="13" t="s">
        <v>60</v>
      </c>
      <c r="D12" s="13" t="s">
        <v>61</v>
      </c>
      <c r="E12" s="13" t="s">
        <v>61</v>
      </c>
      <c r="F12">
        <v>1</v>
      </c>
      <c r="G12" s="13" t="s">
        <v>42</v>
      </c>
      <c r="H12" s="13" t="s">
        <v>34</v>
      </c>
      <c r="I12">
        <v>6500000</v>
      </c>
      <c r="J12" s="13">
        <v>-36</v>
      </c>
      <c r="K12">
        <v>36</v>
      </c>
      <c r="L12" s="1">
        <v>45203</v>
      </c>
      <c r="M12" t="s">
        <v>2101</v>
      </c>
      <c r="N12" t="s">
        <v>2112</v>
      </c>
    </row>
    <row r="13" spans="1:14" x14ac:dyDescent="0.25">
      <c r="A13" s="13" t="s">
        <v>65</v>
      </c>
      <c r="B13">
        <v>2</v>
      </c>
      <c r="C13" s="13" t="s">
        <v>66</v>
      </c>
      <c r="D13" s="13" t="s">
        <v>67</v>
      </c>
      <c r="E13" s="13" t="s">
        <v>67</v>
      </c>
      <c r="F13">
        <v>1</v>
      </c>
      <c r="G13" s="13" t="s">
        <v>23</v>
      </c>
      <c r="H13" s="13" t="s">
        <v>19</v>
      </c>
      <c r="I13">
        <v>8000000</v>
      </c>
      <c r="J13" s="13">
        <v>18</v>
      </c>
      <c r="K13">
        <v>18</v>
      </c>
      <c r="L13" s="1">
        <v>45095</v>
      </c>
      <c r="M13" t="s">
        <v>2101</v>
      </c>
      <c r="N13" t="s">
        <v>2102</v>
      </c>
    </row>
    <row r="14" spans="1:14" x14ac:dyDescent="0.25">
      <c r="A14" s="13" t="s">
        <v>65</v>
      </c>
      <c r="B14">
        <v>2</v>
      </c>
      <c r="C14" s="13" t="s">
        <v>68</v>
      </c>
      <c r="D14" s="13" t="s">
        <v>69</v>
      </c>
      <c r="E14" s="13" t="s">
        <v>69</v>
      </c>
      <c r="F14">
        <v>1</v>
      </c>
      <c r="G14" s="13" t="s">
        <v>23</v>
      </c>
      <c r="H14" s="13" t="s">
        <v>15</v>
      </c>
      <c r="I14">
        <v>13000000</v>
      </c>
      <c r="J14" s="13">
        <v>28</v>
      </c>
      <c r="K14">
        <v>28</v>
      </c>
      <c r="L14" s="1">
        <v>44999</v>
      </c>
      <c r="M14" t="s">
        <v>2101</v>
      </c>
      <c r="N14" t="s">
        <v>2102</v>
      </c>
    </row>
    <row r="15" spans="1:14" x14ac:dyDescent="0.25">
      <c r="A15" s="13" t="s">
        <v>73</v>
      </c>
      <c r="B15">
        <v>2</v>
      </c>
      <c r="C15" s="13" t="s">
        <v>60</v>
      </c>
      <c r="D15" s="13" t="s">
        <v>74</v>
      </c>
      <c r="E15" s="13" t="s">
        <v>74</v>
      </c>
      <c r="F15">
        <v>1</v>
      </c>
      <c r="G15" s="13" t="s">
        <v>37</v>
      </c>
      <c r="H15" s="13" t="s">
        <v>19</v>
      </c>
      <c r="I15">
        <v>6500000</v>
      </c>
      <c r="J15" s="13">
        <v>1</v>
      </c>
      <c r="K15">
        <v>1</v>
      </c>
      <c r="L15" s="1">
        <v>45850</v>
      </c>
      <c r="M15" t="s">
        <v>2101</v>
      </c>
      <c r="N15" t="s">
        <v>2102</v>
      </c>
    </row>
    <row r="16" spans="1:14" x14ac:dyDescent="0.25">
      <c r="A16" s="13" t="s">
        <v>73</v>
      </c>
      <c r="B16">
        <v>2</v>
      </c>
      <c r="C16" s="13" t="s">
        <v>75</v>
      </c>
      <c r="D16" s="13" t="s">
        <v>76</v>
      </c>
      <c r="E16" s="13" t="s">
        <v>76</v>
      </c>
      <c r="F16">
        <v>1</v>
      </c>
      <c r="G16" s="13" t="s">
        <v>18</v>
      </c>
      <c r="H16" s="13" t="s">
        <v>34</v>
      </c>
      <c r="I16">
        <v>5500000</v>
      </c>
      <c r="J16" s="13">
        <v>18</v>
      </c>
      <c r="K16">
        <v>18</v>
      </c>
      <c r="L16" s="1">
        <v>44908</v>
      </c>
      <c r="M16" t="s">
        <v>2101</v>
      </c>
      <c r="N16" t="s">
        <v>2102</v>
      </c>
    </row>
    <row r="17" spans="1:14" x14ac:dyDescent="0.25">
      <c r="A17" s="13" t="s">
        <v>83</v>
      </c>
      <c r="B17">
        <v>2</v>
      </c>
      <c r="C17" s="13" t="s">
        <v>84</v>
      </c>
      <c r="D17" s="13" t="s">
        <v>85</v>
      </c>
      <c r="E17" s="13" t="s">
        <v>85</v>
      </c>
      <c r="F17">
        <v>1</v>
      </c>
      <c r="G17" s="13" t="s">
        <v>14</v>
      </c>
      <c r="H17" s="13" t="s">
        <v>15</v>
      </c>
      <c r="I17">
        <v>13000000</v>
      </c>
      <c r="J17" s="13">
        <v>19</v>
      </c>
      <c r="K17">
        <v>19</v>
      </c>
      <c r="L17" s="1">
        <v>44141</v>
      </c>
      <c r="M17" t="s">
        <v>2101</v>
      </c>
      <c r="N17" t="s">
        <v>2102</v>
      </c>
    </row>
    <row r="18" spans="1:14" x14ac:dyDescent="0.25">
      <c r="A18" s="13" t="s">
        <v>83</v>
      </c>
      <c r="B18">
        <v>2</v>
      </c>
      <c r="C18" s="13" t="s">
        <v>86</v>
      </c>
      <c r="D18" s="13" t="s">
        <v>87</v>
      </c>
      <c r="E18" s="13" t="s">
        <v>87</v>
      </c>
      <c r="F18">
        <v>1</v>
      </c>
      <c r="G18" s="13" t="s">
        <v>37</v>
      </c>
      <c r="H18" s="13" t="s">
        <v>19</v>
      </c>
      <c r="I18">
        <v>6500000</v>
      </c>
      <c r="J18" s="13">
        <v>9</v>
      </c>
      <c r="K18">
        <v>9</v>
      </c>
      <c r="L18" s="1">
        <v>45284</v>
      </c>
      <c r="M18" t="s">
        <v>2101</v>
      </c>
      <c r="N18" t="s">
        <v>2102</v>
      </c>
    </row>
    <row r="19" spans="1:14" x14ac:dyDescent="0.25">
      <c r="A19" s="13" t="s">
        <v>91</v>
      </c>
      <c r="B19">
        <v>2</v>
      </c>
      <c r="C19" s="13" t="s">
        <v>92</v>
      </c>
      <c r="D19" s="13" t="s">
        <v>93</v>
      </c>
      <c r="E19" s="13" t="s">
        <v>93</v>
      </c>
      <c r="F19">
        <v>1</v>
      </c>
      <c r="G19" s="13" t="s">
        <v>14</v>
      </c>
      <c r="H19" s="13" t="s">
        <v>24</v>
      </c>
      <c r="I19">
        <v>6500000</v>
      </c>
      <c r="J19" s="13">
        <v>32</v>
      </c>
      <c r="K19">
        <v>32</v>
      </c>
      <c r="L19" s="1">
        <v>45954</v>
      </c>
      <c r="M19" t="s">
        <v>2101</v>
      </c>
      <c r="N19" t="s">
        <v>2102</v>
      </c>
    </row>
    <row r="20" spans="1:14" x14ac:dyDescent="0.25">
      <c r="A20" s="13" t="s">
        <v>91</v>
      </c>
      <c r="B20">
        <v>2</v>
      </c>
      <c r="C20" s="13" t="s">
        <v>94</v>
      </c>
      <c r="D20" s="13" t="s">
        <v>95</v>
      </c>
      <c r="E20" s="13" t="s">
        <v>95</v>
      </c>
      <c r="F20">
        <v>1</v>
      </c>
      <c r="G20" s="13" t="s">
        <v>42</v>
      </c>
      <c r="H20" s="13" t="s">
        <v>15</v>
      </c>
      <c r="I20">
        <v>10500000</v>
      </c>
      <c r="J20" s="13">
        <v>18</v>
      </c>
      <c r="K20">
        <v>18</v>
      </c>
      <c r="L20" s="1">
        <v>45922</v>
      </c>
      <c r="M20" t="s">
        <v>2101</v>
      </c>
      <c r="N20" t="s">
        <v>2102</v>
      </c>
    </row>
    <row r="21" spans="1:14" x14ac:dyDescent="0.25">
      <c r="A21" s="13" t="s">
        <v>101</v>
      </c>
      <c r="B21">
        <v>1</v>
      </c>
      <c r="C21" s="13" t="s">
        <v>102</v>
      </c>
      <c r="D21" s="13" t="s">
        <v>103</v>
      </c>
      <c r="E21" s="13" t="s">
        <v>103</v>
      </c>
      <c r="F21">
        <v>2</v>
      </c>
      <c r="G21" s="13" t="s">
        <v>14</v>
      </c>
      <c r="H21" s="13" t="s">
        <v>19</v>
      </c>
      <c r="I21">
        <v>6500000</v>
      </c>
      <c r="J21" s="13">
        <v>20</v>
      </c>
      <c r="K21">
        <v>20</v>
      </c>
      <c r="L21" s="1">
        <v>45027</v>
      </c>
      <c r="M21" t="s">
        <v>2101</v>
      </c>
      <c r="N21" t="s">
        <v>2103</v>
      </c>
    </row>
    <row r="22" spans="1:14" x14ac:dyDescent="0.25">
      <c r="A22" s="13" t="s">
        <v>104</v>
      </c>
      <c r="B22">
        <v>1</v>
      </c>
      <c r="C22" s="13" t="s">
        <v>105</v>
      </c>
      <c r="D22" s="13" t="s">
        <v>103</v>
      </c>
      <c r="E22" s="13" t="s">
        <v>103</v>
      </c>
      <c r="F22">
        <v>2</v>
      </c>
      <c r="G22" s="13" t="s">
        <v>42</v>
      </c>
      <c r="H22" s="13" t="s">
        <v>19</v>
      </c>
      <c r="I22">
        <v>5500000</v>
      </c>
      <c r="J22" s="13">
        <v>23</v>
      </c>
      <c r="K22">
        <v>23</v>
      </c>
      <c r="L22" s="1">
        <v>45190</v>
      </c>
      <c r="M22" t="s">
        <v>2101</v>
      </c>
      <c r="N22" t="s">
        <v>2103</v>
      </c>
    </row>
    <row r="23" spans="1:14" x14ac:dyDescent="0.25">
      <c r="A23" s="13" t="s">
        <v>106</v>
      </c>
      <c r="B23">
        <v>3</v>
      </c>
      <c r="C23" s="13" t="s">
        <v>99</v>
      </c>
      <c r="D23" s="13" t="s">
        <v>107</v>
      </c>
      <c r="E23" s="13" t="s">
        <v>107</v>
      </c>
      <c r="F23">
        <v>1</v>
      </c>
      <c r="G23" s="13" t="s">
        <v>42</v>
      </c>
      <c r="H23" s="13" t="s">
        <v>34</v>
      </c>
      <c r="I23">
        <v>10500000</v>
      </c>
      <c r="J23" s="13">
        <v>32</v>
      </c>
      <c r="K23">
        <v>32</v>
      </c>
      <c r="L23" s="1">
        <v>45725</v>
      </c>
      <c r="M23" t="s">
        <v>2101</v>
      </c>
      <c r="N23" t="s">
        <v>2102</v>
      </c>
    </row>
    <row r="24" spans="1:14" x14ac:dyDescent="0.25">
      <c r="A24" s="13" t="s">
        <v>106</v>
      </c>
      <c r="B24">
        <v>3</v>
      </c>
      <c r="C24" s="13" t="s">
        <v>108</v>
      </c>
      <c r="D24" s="13" t="s">
        <v>109</v>
      </c>
      <c r="E24" s="13" t="s">
        <v>109</v>
      </c>
      <c r="F24">
        <v>1</v>
      </c>
      <c r="G24" s="13" t="s">
        <v>23</v>
      </c>
      <c r="H24" s="13" t="s">
        <v>38</v>
      </c>
      <c r="I24">
        <v>5500000</v>
      </c>
      <c r="J24" s="13">
        <v>25</v>
      </c>
      <c r="K24">
        <v>25</v>
      </c>
      <c r="L24" s="1">
        <v>45986</v>
      </c>
      <c r="M24" t="s">
        <v>2101</v>
      </c>
      <c r="N24" t="s">
        <v>2102</v>
      </c>
    </row>
    <row r="25" spans="1:14" x14ac:dyDescent="0.25">
      <c r="A25" s="13" t="s">
        <v>106</v>
      </c>
      <c r="B25">
        <v>3</v>
      </c>
      <c r="C25" s="13" t="s">
        <v>110</v>
      </c>
      <c r="D25" s="13" t="s">
        <v>111</v>
      </c>
      <c r="E25" s="13" t="s">
        <v>111</v>
      </c>
      <c r="F25">
        <v>1</v>
      </c>
      <c r="G25" s="13" t="s">
        <v>37</v>
      </c>
      <c r="H25" s="13" t="s">
        <v>19</v>
      </c>
      <c r="I25">
        <v>6500000</v>
      </c>
      <c r="J25" s="13">
        <v>12</v>
      </c>
      <c r="K25">
        <v>12</v>
      </c>
      <c r="L25" s="1">
        <v>45978</v>
      </c>
      <c r="M25" t="s">
        <v>2101</v>
      </c>
      <c r="N25" t="s">
        <v>2102</v>
      </c>
    </row>
    <row r="26" spans="1:14" x14ac:dyDescent="0.25">
      <c r="A26" s="13" t="s">
        <v>112</v>
      </c>
      <c r="B26">
        <v>2</v>
      </c>
      <c r="C26" s="13" t="s">
        <v>113</v>
      </c>
      <c r="D26" s="13" t="s">
        <v>114</v>
      </c>
      <c r="E26" s="13" t="s">
        <v>114</v>
      </c>
      <c r="F26">
        <v>1</v>
      </c>
      <c r="G26" s="13" t="s">
        <v>18</v>
      </c>
      <c r="H26" s="13" t="s">
        <v>24</v>
      </c>
      <c r="I26">
        <v>13000000</v>
      </c>
      <c r="J26" s="13">
        <v>8</v>
      </c>
      <c r="K26">
        <v>8</v>
      </c>
      <c r="L26" s="1">
        <v>44185</v>
      </c>
      <c r="M26" t="s">
        <v>2101</v>
      </c>
      <c r="N26" t="s">
        <v>2102</v>
      </c>
    </row>
    <row r="27" spans="1:14" x14ac:dyDescent="0.25">
      <c r="A27" s="13" t="s">
        <v>112</v>
      </c>
      <c r="B27">
        <v>2</v>
      </c>
      <c r="C27" s="13" t="s">
        <v>115</v>
      </c>
      <c r="D27" s="13" t="s">
        <v>116</v>
      </c>
      <c r="E27" s="13" t="s">
        <v>116</v>
      </c>
      <c r="F27">
        <v>1</v>
      </c>
      <c r="G27" s="13" t="s">
        <v>42</v>
      </c>
      <c r="H27" s="13" t="s">
        <v>15</v>
      </c>
      <c r="I27">
        <v>10500000</v>
      </c>
      <c r="J27" s="13">
        <v>32</v>
      </c>
      <c r="K27">
        <v>32</v>
      </c>
      <c r="L27" s="1">
        <v>43972</v>
      </c>
      <c r="M27" t="s">
        <v>2101</v>
      </c>
      <c r="N27" t="s">
        <v>2102</v>
      </c>
    </row>
    <row r="28" spans="1:14" x14ac:dyDescent="0.25">
      <c r="A28" s="13" t="s">
        <v>120</v>
      </c>
      <c r="B28">
        <v>2</v>
      </c>
      <c r="C28" s="13" t="s">
        <v>121</v>
      </c>
      <c r="D28" s="13" t="s">
        <v>122</v>
      </c>
      <c r="E28" s="13" t="s">
        <v>122</v>
      </c>
      <c r="F28">
        <v>1</v>
      </c>
      <c r="G28" s="13" t="s">
        <v>23</v>
      </c>
      <c r="H28" s="13" t="s">
        <v>15</v>
      </c>
      <c r="I28">
        <v>10500000</v>
      </c>
      <c r="J28" s="13">
        <v>19</v>
      </c>
      <c r="K28">
        <v>19</v>
      </c>
      <c r="L28" s="1">
        <v>43990</v>
      </c>
      <c r="M28" t="s">
        <v>2101</v>
      </c>
      <c r="N28" t="s">
        <v>2102</v>
      </c>
    </row>
    <row r="29" spans="1:14" x14ac:dyDescent="0.25">
      <c r="A29" s="13" t="s">
        <v>120</v>
      </c>
      <c r="B29">
        <v>2</v>
      </c>
      <c r="C29" s="13" t="s">
        <v>123</v>
      </c>
      <c r="D29" s="13" t="s">
        <v>124</v>
      </c>
      <c r="E29" s="13" t="s">
        <v>124</v>
      </c>
      <c r="F29">
        <v>1</v>
      </c>
      <c r="G29" s="13" t="s">
        <v>37</v>
      </c>
      <c r="H29" s="13" t="s">
        <v>24</v>
      </c>
      <c r="I29">
        <v>10500000</v>
      </c>
      <c r="J29" s="13">
        <v>16</v>
      </c>
      <c r="K29">
        <v>16</v>
      </c>
      <c r="L29" s="1">
        <v>45000</v>
      </c>
      <c r="M29" t="s">
        <v>2101</v>
      </c>
      <c r="N29" t="s">
        <v>2102</v>
      </c>
    </row>
    <row r="30" spans="1:14" x14ac:dyDescent="0.25">
      <c r="A30" s="13" t="s">
        <v>125</v>
      </c>
      <c r="B30">
        <v>3</v>
      </c>
      <c r="C30" s="13" t="s">
        <v>102</v>
      </c>
      <c r="D30" s="13" t="s">
        <v>126</v>
      </c>
      <c r="E30" s="13" t="s">
        <v>126</v>
      </c>
      <c r="F30">
        <v>1</v>
      </c>
      <c r="G30" s="13" t="s">
        <v>18</v>
      </c>
      <c r="H30" s="13" t="s">
        <v>19</v>
      </c>
      <c r="I30">
        <v>6500000</v>
      </c>
      <c r="J30" s="13">
        <v>30</v>
      </c>
      <c r="K30">
        <v>30</v>
      </c>
      <c r="L30" s="1">
        <v>45613</v>
      </c>
      <c r="M30" t="s">
        <v>2101</v>
      </c>
      <c r="N30" t="s">
        <v>2102</v>
      </c>
    </row>
    <row r="31" spans="1:14" x14ac:dyDescent="0.25">
      <c r="A31" s="13" t="s">
        <v>125</v>
      </c>
      <c r="B31">
        <v>3</v>
      </c>
      <c r="C31" s="13" t="s">
        <v>127</v>
      </c>
      <c r="D31" s="13" t="s">
        <v>128</v>
      </c>
      <c r="E31" s="13" t="s">
        <v>128</v>
      </c>
      <c r="F31">
        <v>1</v>
      </c>
      <c r="G31" s="13" t="s">
        <v>23</v>
      </c>
      <c r="H31" s="13" t="s">
        <v>15</v>
      </c>
      <c r="I31">
        <v>5500000</v>
      </c>
      <c r="J31" s="13">
        <v>10</v>
      </c>
      <c r="K31">
        <v>10</v>
      </c>
      <c r="L31" s="1">
        <v>45858</v>
      </c>
      <c r="M31" t="s">
        <v>2101</v>
      </c>
      <c r="N31" t="s">
        <v>2102</v>
      </c>
    </row>
    <row r="32" spans="1:14" x14ac:dyDescent="0.25">
      <c r="A32" s="13" t="s">
        <v>125</v>
      </c>
      <c r="B32">
        <v>3</v>
      </c>
      <c r="C32" s="13" t="s">
        <v>129</v>
      </c>
      <c r="D32" s="13" t="s">
        <v>130</v>
      </c>
      <c r="E32" s="13" t="s">
        <v>130</v>
      </c>
      <c r="F32">
        <v>1</v>
      </c>
      <c r="G32" s="13" t="s">
        <v>37</v>
      </c>
      <c r="H32" s="13" t="s">
        <v>15</v>
      </c>
      <c r="I32">
        <v>6500000</v>
      </c>
      <c r="J32" s="13">
        <v>34</v>
      </c>
      <c r="K32">
        <v>34</v>
      </c>
      <c r="L32" s="1">
        <v>45127</v>
      </c>
      <c r="M32" t="s">
        <v>2101</v>
      </c>
      <c r="N32" t="s">
        <v>2102</v>
      </c>
    </row>
    <row r="33" spans="1:14" x14ac:dyDescent="0.25">
      <c r="A33" s="13" t="s">
        <v>131</v>
      </c>
      <c r="B33">
        <v>4</v>
      </c>
      <c r="C33" s="13" t="s">
        <v>99</v>
      </c>
      <c r="D33" s="13" t="s">
        <v>132</v>
      </c>
      <c r="E33" s="13" t="s">
        <v>132</v>
      </c>
      <c r="F33">
        <v>1</v>
      </c>
      <c r="G33" s="13" t="s">
        <v>23</v>
      </c>
      <c r="H33" s="13" t="s">
        <v>24</v>
      </c>
      <c r="I33">
        <v>5500000</v>
      </c>
      <c r="J33" s="13">
        <v>2</v>
      </c>
      <c r="K33">
        <v>2</v>
      </c>
      <c r="L33" s="1">
        <v>43867</v>
      </c>
      <c r="M33" t="s">
        <v>2101</v>
      </c>
      <c r="N33" t="s">
        <v>2391</v>
      </c>
    </row>
    <row r="34" spans="1:14" x14ac:dyDescent="0.25">
      <c r="A34" s="13" t="s">
        <v>131</v>
      </c>
      <c r="B34">
        <v>4</v>
      </c>
      <c r="C34" s="13" t="s">
        <v>102</v>
      </c>
      <c r="D34" s="13" t="s">
        <v>133</v>
      </c>
      <c r="E34" s="13" t="s">
        <v>133</v>
      </c>
      <c r="F34">
        <v>1</v>
      </c>
      <c r="G34" s="13" t="s">
        <v>14</v>
      </c>
      <c r="H34" s="13" t="s">
        <v>24</v>
      </c>
      <c r="I34">
        <v>6500000</v>
      </c>
      <c r="J34" s="13">
        <v>8</v>
      </c>
      <c r="K34">
        <v>8</v>
      </c>
      <c r="L34" s="1">
        <v>45547</v>
      </c>
      <c r="M34" t="s">
        <v>2101</v>
      </c>
      <c r="N34" t="s">
        <v>2102</v>
      </c>
    </row>
    <row r="35" spans="1:14" x14ac:dyDescent="0.25">
      <c r="A35" s="13" t="s">
        <v>131</v>
      </c>
      <c r="B35">
        <v>4</v>
      </c>
      <c r="C35" s="13" t="s">
        <v>134</v>
      </c>
      <c r="D35" s="13" t="s">
        <v>135</v>
      </c>
      <c r="E35" s="13" t="s">
        <v>135</v>
      </c>
      <c r="F35">
        <v>1</v>
      </c>
      <c r="G35" s="13" t="s">
        <v>42</v>
      </c>
      <c r="H35" s="13" t="s">
        <v>19</v>
      </c>
      <c r="I35">
        <v>10500000</v>
      </c>
      <c r="J35" s="13">
        <v>-9</v>
      </c>
      <c r="K35">
        <v>9</v>
      </c>
      <c r="L35" s="1">
        <v>44126</v>
      </c>
      <c r="M35" t="s">
        <v>2101</v>
      </c>
      <c r="N35" t="s">
        <v>2113</v>
      </c>
    </row>
    <row r="36" spans="1:14" x14ac:dyDescent="0.25">
      <c r="A36" s="13" t="s">
        <v>131</v>
      </c>
      <c r="B36">
        <v>4</v>
      </c>
      <c r="C36" s="13" t="s">
        <v>99</v>
      </c>
      <c r="D36" s="13" t="s">
        <v>136</v>
      </c>
      <c r="E36" s="13" t="s">
        <v>136</v>
      </c>
      <c r="F36">
        <v>1</v>
      </c>
      <c r="G36" s="13" t="s">
        <v>14</v>
      </c>
      <c r="H36" s="13" t="s">
        <v>15</v>
      </c>
      <c r="I36">
        <v>8000000</v>
      </c>
      <c r="J36" s="13">
        <v>-15</v>
      </c>
      <c r="K36">
        <v>15</v>
      </c>
      <c r="L36" s="1">
        <v>44143</v>
      </c>
      <c r="M36" t="s">
        <v>2101</v>
      </c>
      <c r="N36" t="s">
        <v>2113</v>
      </c>
    </row>
    <row r="37" spans="1:14" x14ac:dyDescent="0.25">
      <c r="A37" s="13" t="s">
        <v>173</v>
      </c>
      <c r="B37">
        <v>1</v>
      </c>
      <c r="C37" s="13" t="s">
        <v>174</v>
      </c>
      <c r="D37" s="13" t="s">
        <v>175</v>
      </c>
      <c r="E37" s="13" t="s">
        <v>175</v>
      </c>
      <c r="F37">
        <v>1</v>
      </c>
      <c r="G37" s="13" t="s">
        <v>37</v>
      </c>
      <c r="H37" s="13" t="s">
        <v>24</v>
      </c>
      <c r="I37">
        <v>8000000</v>
      </c>
      <c r="J37" s="13">
        <v>23</v>
      </c>
      <c r="K37">
        <v>23</v>
      </c>
      <c r="L37" s="1">
        <v>45031</v>
      </c>
      <c r="M37" t="s">
        <v>2101</v>
      </c>
      <c r="N37" t="s">
        <v>2103</v>
      </c>
    </row>
    <row r="38" spans="1:14" x14ac:dyDescent="0.25">
      <c r="A38" s="13" t="s">
        <v>186</v>
      </c>
      <c r="B38">
        <v>1</v>
      </c>
      <c r="C38" s="13" t="s">
        <v>187</v>
      </c>
      <c r="D38" s="13" t="s">
        <v>188</v>
      </c>
      <c r="E38" s="13" t="s">
        <v>188</v>
      </c>
      <c r="F38">
        <v>1</v>
      </c>
      <c r="G38" s="13" t="s">
        <v>42</v>
      </c>
      <c r="H38" s="13" t="s">
        <v>34</v>
      </c>
      <c r="I38">
        <v>13000000</v>
      </c>
      <c r="J38" s="13">
        <v>5</v>
      </c>
      <c r="K38">
        <v>5</v>
      </c>
      <c r="L38" s="1">
        <v>43947</v>
      </c>
      <c r="M38" t="s">
        <v>2101</v>
      </c>
      <c r="N38" t="s">
        <v>2103</v>
      </c>
    </row>
    <row r="39" spans="1:14" x14ac:dyDescent="0.25">
      <c r="A39" s="13" t="s">
        <v>200</v>
      </c>
      <c r="B39">
        <v>1</v>
      </c>
      <c r="C39" s="13" t="s">
        <v>81</v>
      </c>
      <c r="D39" s="13" t="s">
        <v>201</v>
      </c>
      <c r="E39" s="13"/>
      <c r="F39">
        <v>23</v>
      </c>
      <c r="G39" s="13" t="s">
        <v>14</v>
      </c>
      <c r="H39" s="13" t="s">
        <v>24</v>
      </c>
      <c r="I39">
        <v>5500000</v>
      </c>
      <c r="J39" s="13">
        <v>14</v>
      </c>
      <c r="K39">
        <v>14</v>
      </c>
      <c r="L39" s="1">
        <v>45800</v>
      </c>
      <c r="M39" t="s">
        <v>2101</v>
      </c>
      <c r="N39" t="s">
        <v>2103</v>
      </c>
    </row>
    <row r="40" spans="1:14" x14ac:dyDescent="0.25">
      <c r="A40" s="13" t="s">
        <v>202</v>
      </c>
      <c r="B40">
        <v>1</v>
      </c>
      <c r="C40" s="13" t="s">
        <v>203</v>
      </c>
      <c r="D40" s="13" t="s">
        <v>201</v>
      </c>
      <c r="E40" s="13"/>
      <c r="F40">
        <v>23</v>
      </c>
      <c r="G40" s="13" t="s">
        <v>14</v>
      </c>
      <c r="H40" s="13" t="s">
        <v>24</v>
      </c>
      <c r="I40">
        <v>6500000</v>
      </c>
      <c r="J40" s="13">
        <v>31</v>
      </c>
      <c r="K40">
        <v>31</v>
      </c>
      <c r="L40" s="1">
        <v>44685</v>
      </c>
      <c r="M40" t="s">
        <v>2101</v>
      </c>
      <c r="N40" t="s">
        <v>2103</v>
      </c>
    </row>
    <row r="41" spans="1:14" x14ac:dyDescent="0.25">
      <c r="A41" s="13" t="s">
        <v>204</v>
      </c>
      <c r="B41">
        <v>1</v>
      </c>
      <c r="C41" s="13" t="s">
        <v>142</v>
      </c>
      <c r="D41" s="13" t="s">
        <v>201</v>
      </c>
      <c r="E41" s="13"/>
      <c r="F41">
        <v>23</v>
      </c>
      <c r="G41" s="13" t="s">
        <v>14</v>
      </c>
      <c r="H41" s="13" t="s">
        <v>15</v>
      </c>
      <c r="I41">
        <v>6500000</v>
      </c>
      <c r="J41" s="13">
        <v>5</v>
      </c>
      <c r="K41">
        <v>5</v>
      </c>
      <c r="L41" s="1">
        <v>44660</v>
      </c>
      <c r="M41" t="s">
        <v>2101</v>
      </c>
      <c r="N41" t="s">
        <v>2103</v>
      </c>
    </row>
    <row r="42" spans="1:14" x14ac:dyDescent="0.25">
      <c r="A42" s="13" t="s">
        <v>205</v>
      </c>
      <c r="B42">
        <v>1</v>
      </c>
      <c r="C42" s="13" t="s">
        <v>206</v>
      </c>
      <c r="D42" s="13" t="s">
        <v>201</v>
      </c>
      <c r="E42" s="13"/>
      <c r="F42">
        <v>23</v>
      </c>
      <c r="G42" s="13" t="s">
        <v>14</v>
      </c>
      <c r="H42" s="13" t="s">
        <v>15</v>
      </c>
      <c r="I42">
        <v>10500000</v>
      </c>
      <c r="J42" s="13">
        <v>11</v>
      </c>
      <c r="K42">
        <v>11</v>
      </c>
      <c r="L42" s="1">
        <v>44735</v>
      </c>
      <c r="M42" t="s">
        <v>2101</v>
      </c>
      <c r="N42" t="s">
        <v>2103</v>
      </c>
    </row>
    <row r="43" spans="1:14" x14ac:dyDescent="0.25">
      <c r="A43" s="13" t="s">
        <v>207</v>
      </c>
      <c r="B43">
        <v>1</v>
      </c>
      <c r="C43" s="13" t="s">
        <v>208</v>
      </c>
      <c r="D43" s="13" t="s">
        <v>201</v>
      </c>
      <c r="E43" s="13"/>
      <c r="F43">
        <v>23</v>
      </c>
      <c r="G43" s="13" t="s">
        <v>23</v>
      </c>
      <c r="H43" s="13" t="s">
        <v>19</v>
      </c>
      <c r="I43">
        <v>6500000</v>
      </c>
      <c r="J43" s="13">
        <v>17</v>
      </c>
      <c r="K43">
        <v>17</v>
      </c>
      <c r="L43" s="1">
        <v>44462</v>
      </c>
      <c r="M43" t="s">
        <v>2101</v>
      </c>
      <c r="N43" t="s">
        <v>2103</v>
      </c>
    </row>
    <row r="44" spans="1:14" x14ac:dyDescent="0.25">
      <c r="A44" s="13" t="s">
        <v>209</v>
      </c>
      <c r="B44">
        <v>1</v>
      </c>
      <c r="C44" s="13" t="s">
        <v>71</v>
      </c>
      <c r="D44" s="13" t="s">
        <v>201</v>
      </c>
      <c r="E44" s="13"/>
      <c r="F44">
        <v>23</v>
      </c>
      <c r="G44" s="13" t="s">
        <v>33</v>
      </c>
      <c r="H44" s="13" t="s">
        <v>34</v>
      </c>
      <c r="I44">
        <v>8000000</v>
      </c>
      <c r="J44" s="13">
        <v>12</v>
      </c>
      <c r="K44">
        <v>12</v>
      </c>
      <c r="L44" s="1">
        <v>44941</v>
      </c>
      <c r="M44" t="s">
        <v>2101</v>
      </c>
      <c r="N44" t="s">
        <v>2103</v>
      </c>
    </row>
    <row r="45" spans="1:14" x14ac:dyDescent="0.25">
      <c r="A45" s="13" t="s">
        <v>210</v>
      </c>
      <c r="B45">
        <v>1</v>
      </c>
      <c r="C45" s="13" t="s">
        <v>118</v>
      </c>
      <c r="D45" s="13" t="s">
        <v>201</v>
      </c>
      <c r="E45" s="13"/>
      <c r="F45">
        <v>23</v>
      </c>
      <c r="G45" s="13" t="s">
        <v>14</v>
      </c>
      <c r="H45" s="13" t="s">
        <v>15</v>
      </c>
      <c r="I45">
        <v>10500000</v>
      </c>
      <c r="J45" s="13">
        <v>37</v>
      </c>
      <c r="K45">
        <v>37</v>
      </c>
      <c r="L45" s="1">
        <v>45693</v>
      </c>
      <c r="M45" t="s">
        <v>2101</v>
      </c>
      <c r="N45" t="s">
        <v>2103</v>
      </c>
    </row>
    <row r="46" spans="1:14" x14ac:dyDescent="0.25">
      <c r="A46" s="13" t="s">
        <v>211</v>
      </c>
      <c r="B46">
        <v>1</v>
      </c>
      <c r="C46" s="13" t="s">
        <v>212</v>
      </c>
      <c r="D46" s="13" t="s">
        <v>201</v>
      </c>
      <c r="E46" s="13"/>
      <c r="F46">
        <v>23</v>
      </c>
      <c r="G46" s="13" t="s">
        <v>18</v>
      </c>
      <c r="H46" s="13" t="s">
        <v>19</v>
      </c>
      <c r="I46">
        <v>10500000</v>
      </c>
      <c r="J46" s="13">
        <v>11</v>
      </c>
      <c r="K46">
        <v>11</v>
      </c>
      <c r="L46" s="1">
        <v>44757</v>
      </c>
      <c r="M46" t="s">
        <v>2101</v>
      </c>
      <c r="N46" t="s">
        <v>2103</v>
      </c>
    </row>
    <row r="47" spans="1:14" x14ac:dyDescent="0.25">
      <c r="A47" s="13" t="s">
        <v>213</v>
      </c>
      <c r="B47">
        <v>1</v>
      </c>
      <c r="C47" s="13" t="s">
        <v>214</v>
      </c>
      <c r="D47" s="13" t="s">
        <v>201</v>
      </c>
      <c r="E47" s="13"/>
      <c r="F47">
        <v>23</v>
      </c>
      <c r="G47" s="13" t="s">
        <v>14</v>
      </c>
      <c r="H47" s="13" t="s">
        <v>38</v>
      </c>
      <c r="I47">
        <v>13000000</v>
      </c>
      <c r="J47" s="13">
        <v>30</v>
      </c>
      <c r="K47">
        <v>30</v>
      </c>
      <c r="L47" s="1">
        <v>44970</v>
      </c>
      <c r="M47" t="s">
        <v>2101</v>
      </c>
      <c r="N47" t="s">
        <v>2103</v>
      </c>
    </row>
    <row r="48" spans="1:14" x14ac:dyDescent="0.25">
      <c r="A48" s="13" t="s">
        <v>215</v>
      </c>
      <c r="B48">
        <v>1</v>
      </c>
      <c r="C48" s="13" t="s">
        <v>84</v>
      </c>
      <c r="D48" s="13" t="s">
        <v>201</v>
      </c>
      <c r="E48" s="13"/>
      <c r="F48">
        <v>23</v>
      </c>
      <c r="G48" s="13" t="s">
        <v>33</v>
      </c>
      <c r="H48" s="13" t="s">
        <v>24</v>
      </c>
      <c r="I48">
        <v>6500000</v>
      </c>
      <c r="J48" s="13">
        <v>10</v>
      </c>
      <c r="K48">
        <v>10</v>
      </c>
      <c r="L48" s="1">
        <v>45690</v>
      </c>
      <c r="M48" t="s">
        <v>2101</v>
      </c>
      <c r="N48" t="s">
        <v>2103</v>
      </c>
    </row>
    <row r="49" spans="1:14" x14ac:dyDescent="0.25">
      <c r="A49" s="13" t="s">
        <v>216</v>
      </c>
      <c r="B49">
        <v>1</v>
      </c>
      <c r="C49" s="13" t="s">
        <v>217</v>
      </c>
      <c r="D49" s="13" t="s">
        <v>201</v>
      </c>
      <c r="E49" s="13"/>
      <c r="F49">
        <v>23</v>
      </c>
      <c r="G49" s="13" t="s">
        <v>37</v>
      </c>
      <c r="H49" s="13" t="s">
        <v>34</v>
      </c>
      <c r="I49">
        <v>13000000</v>
      </c>
      <c r="J49" s="13">
        <v>11</v>
      </c>
      <c r="K49">
        <v>11</v>
      </c>
      <c r="L49" s="1">
        <v>43835</v>
      </c>
      <c r="M49" t="s">
        <v>2101</v>
      </c>
      <c r="N49" t="s">
        <v>2103</v>
      </c>
    </row>
    <row r="50" spans="1:14" x14ac:dyDescent="0.25">
      <c r="A50" s="13" t="s">
        <v>218</v>
      </c>
      <c r="B50">
        <v>1</v>
      </c>
      <c r="C50" s="13" t="s">
        <v>219</v>
      </c>
      <c r="D50" s="13" t="s">
        <v>201</v>
      </c>
      <c r="E50" s="13"/>
      <c r="F50">
        <v>23</v>
      </c>
      <c r="G50" s="13" t="s">
        <v>18</v>
      </c>
      <c r="H50" s="13" t="s">
        <v>38</v>
      </c>
      <c r="I50">
        <v>13000000</v>
      </c>
      <c r="J50" s="13">
        <v>3</v>
      </c>
      <c r="K50">
        <v>3</v>
      </c>
      <c r="L50" s="1">
        <v>44940</v>
      </c>
      <c r="M50" t="s">
        <v>2101</v>
      </c>
      <c r="N50" t="s">
        <v>2103</v>
      </c>
    </row>
    <row r="51" spans="1:14" x14ac:dyDescent="0.25">
      <c r="A51" s="13" t="s">
        <v>220</v>
      </c>
      <c r="B51">
        <v>1</v>
      </c>
      <c r="C51" s="13" t="s">
        <v>221</v>
      </c>
      <c r="D51" s="13" t="s">
        <v>201</v>
      </c>
      <c r="E51" s="13"/>
      <c r="F51">
        <v>23</v>
      </c>
      <c r="G51" s="13" t="s">
        <v>23</v>
      </c>
      <c r="H51" s="13" t="s">
        <v>24</v>
      </c>
      <c r="I51">
        <v>5500000</v>
      </c>
      <c r="J51" s="13">
        <v>6</v>
      </c>
      <c r="K51">
        <v>6</v>
      </c>
      <c r="L51" s="1">
        <v>44441</v>
      </c>
      <c r="M51" t="s">
        <v>2101</v>
      </c>
      <c r="N51" t="s">
        <v>2103</v>
      </c>
    </row>
    <row r="52" spans="1:14" x14ac:dyDescent="0.25">
      <c r="A52" s="13" t="s">
        <v>222</v>
      </c>
      <c r="B52">
        <v>1</v>
      </c>
      <c r="C52" s="13" t="s">
        <v>223</v>
      </c>
      <c r="D52" s="13" t="s">
        <v>201</v>
      </c>
      <c r="E52" s="13"/>
      <c r="F52">
        <v>23</v>
      </c>
      <c r="G52" s="13" t="s">
        <v>18</v>
      </c>
      <c r="H52" s="13" t="s">
        <v>34</v>
      </c>
      <c r="I52">
        <v>13000000</v>
      </c>
      <c r="J52" s="13">
        <v>36</v>
      </c>
      <c r="K52">
        <v>36</v>
      </c>
      <c r="L52" s="1">
        <v>45479</v>
      </c>
      <c r="M52" t="s">
        <v>2101</v>
      </c>
      <c r="N52" t="s">
        <v>2103</v>
      </c>
    </row>
    <row r="53" spans="1:14" x14ac:dyDescent="0.25">
      <c r="A53" s="13" t="s">
        <v>224</v>
      </c>
      <c r="B53">
        <v>1</v>
      </c>
      <c r="C53" s="13" t="s">
        <v>225</v>
      </c>
      <c r="D53" s="13" t="s">
        <v>201</v>
      </c>
      <c r="E53" s="13"/>
      <c r="F53">
        <v>23</v>
      </c>
      <c r="G53" s="13" t="s">
        <v>37</v>
      </c>
      <c r="H53" s="13" t="s">
        <v>34</v>
      </c>
      <c r="I53">
        <v>8000000</v>
      </c>
      <c r="J53" s="13">
        <v>32</v>
      </c>
      <c r="K53">
        <v>32</v>
      </c>
      <c r="L53" s="1">
        <v>44697</v>
      </c>
      <c r="M53" t="s">
        <v>2101</v>
      </c>
      <c r="N53" t="s">
        <v>2103</v>
      </c>
    </row>
    <row r="54" spans="1:14" x14ac:dyDescent="0.25">
      <c r="A54" s="13" t="s">
        <v>226</v>
      </c>
      <c r="B54">
        <v>1</v>
      </c>
      <c r="C54" s="13" t="s">
        <v>227</v>
      </c>
      <c r="D54" s="13" t="s">
        <v>201</v>
      </c>
      <c r="E54" s="13"/>
      <c r="F54">
        <v>23</v>
      </c>
      <c r="G54" s="13" t="s">
        <v>14</v>
      </c>
      <c r="H54" s="13" t="s">
        <v>24</v>
      </c>
      <c r="I54">
        <v>8000000</v>
      </c>
      <c r="J54" s="13">
        <v>28</v>
      </c>
      <c r="K54">
        <v>28</v>
      </c>
      <c r="L54" s="1">
        <v>44362</v>
      </c>
      <c r="M54" t="s">
        <v>2101</v>
      </c>
      <c r="N54" t="s">
        <v>2103</v>
      </c>
    </row>
    <row r="55" spans="1:14" x14ac:dyDescent="0.25">
      <c r="A55" s="13" t="s">
        <v>228</v>
      </c>
      <c r="B55">
        <v>1</v>
      </c>
      <c r="C55" s="13" t="s">
        <v>229</v>
      </c>
      <c r="D55" s="13" t="s">
        <v>201</v>
      </c>
      <c r="E55" s="13"/>
      <c r="F55">
        <v>23</v>
      </c>
      <c r="G55" s="13" t="s">
        <v>23</v>
      </c>
      <c r="H55" s="13" t="s">
        <v>24</v>
      </c>
      <c r="I55">
        <v>5500000</v>
      </c>
      <c r="J55" s="13">
        <v>14</v>
      </c>
      <c r="K55">
        <v>14</v>
      </c>
      <c r="L55" s="1">
        <v>45452</v>
      </c>
      <c r="M55" t="s">
        <v>2101</v>
      </c>
      <c r="N55" t="s">
        <v>2103</v>
      </c>
    </row>
    <row r="56" spans="1:14" x14ac:dyDescent="0.25">
      <c r="A56" s="13" t="s">
        <v>230</v>
      </c>
      <c r="B56">
        <v>1</v>
      </c>
      <c r="C56" s="13" t="s">
        <v>89</v>
      </c>
      <c r="D56" s="13" t="s">
        <v>201</v>
      </c>
      <c r="E56" s="13"/>
      <c r="F56">
        <v>23</v>
      </c>
      <c r="G56" s="13" t="s">
        <v>23</v>
      </c>
      <c r="H56" s="13" t="s">
        <v>38</v>
      </c>
      <c r="I56">
        <v>10500000</v>
      </c>
      <c r="J56" s="13">
        <v>-16</v>
      </c>
      <c r="K56">
        <v>16</v>
      </c>
      <c r="L56" s="1">
        <v>45812</v>
      </c>
      <c r="M56" t="s">
        <v>2101</v>
      </c>
      <c r="N56" t="s">
        <v>2114</v>
      </c>
    </row>
    <row r="57" spans="1:14" x14ac:dyDescent="0.25">
      <c r="A57" s="13" t="s">
        <v>231</v>
      </c>
      <c r="B57">
        <v>1</v>
      </c>
      <c r="C57" s="13" t="s">
        <v>102</v>
      </c>
      <c r="D57" s="13" t="s">
        <v>201</v>
      </c>
      <c r="E57" s="13"/>
      <c r="F57">
        <v>23</v>
      </c>
      <c r="G57" s="13" t="s">
        <v>18</v>
      </c>
      <c r="H57" s="13" t="s">
        <v>15</v>
      </c>
      <c r="I57">
        <v>8000000</v>
      </c>
      <c r="J57" s="13">
        <v>17</v>
      </c>
      <c r="K57">
        <v>17</v>
      </c>
      <c r="L57" s="1">
        <v>45916</v>
      </c>
      <c r="M57" t="s">
        <v>2101</v>
      </c>
      <c r="N57" t="s">
        <v>2103</v>
      </c>
    </row>
    <row r="58" spans="1:14" x14ac:dyDescent="0.25">
      <c r="A58" s="13" t="s">
        <v>232</v>
      </c>
      <c r="B58">
        <v>1</v>
      </c>
      <c r="C58" s="13" t="s">
        <v>187</v>
      </c>
      <c r="D58" s="13" t="s">
        <v>201</v>
      </c>
      <c r="E58" s="13"/>
      <c r="F58">
        <v>23</v>
      </c>
      <c r="G58" s="13" t="s">
        <v>33</v>
      </c>
      <c r="H58" s="13" t="s">
        <v>15</v>
      </c>
      <c r="I58">
        <v>5500000</v>
      </c>
      <c r="J58" s="13">
        <v>8</v>
      </c>
      <c r="K58">
        <v>8</v>
      </c>
      <c r="L58" s="1">
        <v>45139</v>
      </c>
      <c r="M58" t="s">
        <v>2101</v>
      </c>
      <c r="N58" t="s">
        <v>2103</v>
      </c>
    </row>
    <row r="59" spans="1:14" x14ac:dyDescent="0.25">
      <c r="A59" s="13" t="s">
        <v>233</v>
      </c>
      <c r="B59">
        <v>1</v>
      </c>
      <c r="C59" s="13" t="s">
        <v>234</v>
      </c>
      <c r="D59" s="13" t="s">
        <v>201</v>
      </c>
      <c r="E59" s="13"/>
      <c r="F59">
        <v>23</v>
      </c>
      <c r="G59" s="13" t="s">
        <v>18</v>
      </c>
      <c r="H59" s="13" t="s">
        <v>38</v>
      </c>
      <c r="I59">
        <v>10500000</v>
      </c>
      <c r="J59" s="13">
        <v>12</v>
      </c>
      <c r="K59">
        <v>12</v>
      </c>
      <c r="L59" s="1">
        <v>44707</v>
      </c>
      <c r="M59" t="s">
        <v>2101</v>
      </c>
      <c r="N59" t="s">
        <v>2103</v>
      </c>
    </row>
    <row r="60" spans="1:14" x14ac:dyDescent="0.25">
      <c r="A60" s="13" t="s">
        <v>235</v>
      </c>
      <c r="B60">
        <v>1</v>
      </c>
      <c r="C60" s="13" t="s">
        <v>68</v>
      </c>
      <c r="D60" s="13" t="s">
        <v>201</v>
      </c>
      <c r="E60" s="13"/>
      <c r="F60">
        <v>23</v>
      </c>
      <c r="G60" s="13" t="s">
        <v>14</v>
      </c>
      <c r="H60" s="13" t="s">
        <v>19</v>
      </c>
      <c r="I60">
        <v>5500000</v>
      </c>
      <c r="J60" s="13">
        <v>40</v>
      </c>
      <c r="K60">
        <v>40</v>
      </c>
      <c r="L60" s="1">
        <v>44549</v>
      </c>
      <c r="M60" t="s">
        <v>2101</v>
      </c>
      <c r="N60" t="s">
        <v>2103</v>
      </c>
    </row>
    <row r="61" spans="1:14" x14ac:dyDescent="0.25">
      <c r="A61" s="13" t="s">
        <v>236</v>
      </c>
      <c r="B61">
        <v>1</v>
      </c>
      <c r="C61" s="13" t="s">
        <v>28</v>
      </c>
      <c r="D61" s="13" t="s">
        <v>201</v>
      </c>
      <c r="E61" s="13"/>
      <c r="F61">
        <v>23</v>
      </c>
      <c r="G61" s="13" t="s">
        <v>14</v>
      </c>
      <c r="H61" s="13" t="s">
        <v>38</v>
      </c>
      <c r="I61">
        <v>6500000</v>
      </c>
      <c r="J61" s="13">
        <v>14</v>
      </c>
      <c r="K61">
        <v>14</v>
      </c>
      <c r="L61" s="1">
        <v>44341</v>
      </c>
      <c r="M61" t="s">
        <v>2101</v>
      </c>
      <c r="N61" t="s">
        <v>2103</v>
      </c>
    </row>
    <row r="62" spans="1:14" x14ac:dyDescent="0.25">
      <c r="A62" s="13" t="s">
        <v>263</v>
      </c>
      <c r="B62">
        <v>1</v>
      </c>
      <c r="C62" s="13" t="s">
        <v>264</v>
      </c>
      <c r="D62" s="13" t="s">
        <v>265</v>
      </c>
      <c r="E62" s="13" t="s">
        <v>265</v>
      </c>
      <c r="F62">
        <v>1</v>
      </c>
      <c r="G62" s="13" t="s">
        <v>37</v>
      </c>
      <c r="H62" s="13" t="s">
        <v>38</v>
      </c>
      <c r="I62">
        <v>8000000</v>
      </c>
      <c r="J62" s="13">
        <v>-36</v>
      </c>
      <c r="K62">
        <v>36</v>
      </c>
      <c r="L62" s="1">
        <v>45098</v>
      </c>
      <c r="M62" t="s">
        <v>2101</v>
      </c>
      <c r="N62" t="s">
        <v>2112</v>
      </c>
    </row>
    <row r="63" spans="1:14" x14ac:dyDescent="0.25">
      <c r="A63" s="13" t="s">
        <v>276</v>
      </c>
      <c r="B63">
        <v>1</v>
      </c>
      <c r="C63" s="13" t="s">
        <v>89</v>
      </c>
      <c r="D63" s="13" t="s">
        <v>277</v>
      </c>
      <c r="E63" s="13" t="s">
        <v>277</v>
      </c>
      <c r="F63">
        <v>1</v>
      </c>
      <c r="G63" s="13" t="s">
        <v>14</v>
      </c>
      <c r="H63" s="13" t="s">
        <v>24</v>
      </c>
      <c r="I63">
        <v>5500000</v>
      </c>
      <c r="J63" s="13">
        <v>5</v>
      </c>
      <c r="K63">
        <v>5</v>
      </c>
      <c r="L63" s="1">
        <v>44132</v>
      </c>
      <c r="M63" t="s">
        <v>2101</v>
      </c>
      <c r="N63" t="s">
        <v>2103</v>
      </c>
    </row>
    <row r="64" spans="1:14" x14ac:dyDescent="0.25">
      <c r="A64" s="13" t="s">
        <v>287</v>
      </c>
      <c r="B64">
        <v>1</v>
      </c>
      <c r="C64" s="13" t="s">
        <v>115</v>
      </c>
      <c r="D64" s="13" t="s">
        <v>288</v>
      </c>
      <c r="E64" s="13" t="s">
        <v>288</v>
      </c>
      <c r="F64">
        <v>2</v>
      </c>
      <c r="G64" s="13" t="s">
        <v>42</v>
      </c>
      <c r="H64" s="13" t="s">
        <v>38</v>
      </c>
      <c r="I64">
        <v>13000000</v>
      </c>
      <c r="J64" s="13">
        <v>7</v>
      </c>
      <c r="K64">
        <v>7</v>
      </c>
      <c r="L64" s="1">
        <v>45566</v>
      </c>
      <c r="M64" t="s">
        <v>2101</v>
      </c>
      <c r="N64" t="s">
        <v>2103</v>
      </c>
    </row>
    <row r="65" spans="1:14" x14ac:dyDescent="0.25">
      <c r="A65" s="13" t="s">
        <v>289</v>
      </c>
      <c r="B65">
        <v>1</v>
      </c>
      <c r="C65" s="13" t="s">
        <v>219</v>
      </c>
      <c r="D65" s="13" t="s">
        <v>288</v>
      </c>
      <c r="E65" s="13" t="s">
        <v>288</v>
      </c>
      <c r="F65">
        <v>2</v>
      </c>
      <c r="G65" s="13" t="s">
        <v>37</v>
      </c>
      <c r="H65" s="13" t="s">
        <v>15</v>
      </c>
      <c r="I65">
        <v>6500000</v>
      </c>
      <c r="J65" s="13">
        <v>19</v>
      </c>
      <c r="K65">
        <v>19</v>
      </c>
      <c r="L65" s="1">
        <v>44896</v>
      </c>
      <c r="M65" t="s">
        <v>2101</v>
      </c>
      <c r="N65" t="s">
        <v>2103</v>
      </c>
    </row>
    <row r="66" spans="1:14" x14ac:dyDescent="0.25">
      <c r="A66" s="13" t="s">
        <v>301</v>
      </c>
      <c r="B66">
        <v>1</v>
      </c>
      <c r="C66" s="13" t="s">
        <v>208</v>
      </c>
      <c r="D66" s="13" t="s">
        <v>302</v>
      </c>
      <c r="E66" s="13" t="s">
        <v>302</v>
      </c>
      <c r="F66">
        <v>1</v>
      </c>
      <c r="G66" s="13" t="s">
        <v>42</v>
      </c>
      <c r="H66" s="13" t="s">
        <v>19</v>
      </c>
      <c r="I66">
        <v>8000000</v>
      </c>
      <c r="J66" s="13">
        <v>-8</v>
      </c>
      <c r="K66">
        <v>8</v>
      </c>
      <c r="L66" s="1">
        <v>44695</v>
      </c>
      <c r="M66" t="s">
        <v>2101</v>
      </c>
      <c r="N66" t="s">
        <v>2112</v>
      </c>
    </row>
    <row r="67" spans="1:14" x14ac:dyDescent="0.25">
      <c r="A67" s="13" t="s">
        <v>320</v>
      </c>
      <c r="B67">
        <v>1</v>
      </c>
      <c r="C67" s="13" t="s">
        <v>92</v>
      </c>
      <c r="D67" s="13" t="s">
        <v>321</v>
      </c>
      <c r="E67" s="13" t="s">
        <v>321</v>
      </c>
      <c r="F67">
        <v>1</v>
      </c>
      <c r="G67" s="13" t="s">
        <v>33</v>
      </c>
      <c r="H67" s="13" t="s">
        <v>34</v>
      </c>
      <c r="I67">
        <v>10500000</v>
      </c>
      <c r="J67" s="13">
        <v>-2</v>
      </c>
      <c r="K67">
        <v>2</v>
      </c>
      <c r="L67" s="1">
        <v>45797</v>
      </c>
      <c r="M67" t="s">
        <v>2101</v>
      </c>
      <c r="N67" t="s">
        <v>2112</v>
      </c>
    </row>
    <row r="68" spans="1:14" x14ac:dyDescent="0.25">
      <c r="A68" s="13" t="s">
        <v>324</v>
      </c>
      <c r="B68">
        <v>1</v>
      </c>
      <c r="C68" s="13" t="s">
        <v>244</v>
      </c>
      <c r="D68" s="13" t="s">
        <v>325</v>
      </c>
      <c r="E68" s="13" t="s">
        <v>325</v>
      </c>
      <c r="F68">
        <v>1</v>
      </c>
      <c r="G68" s="13" t="s">
        <v>33</v>
      </c>
      <c r="H68" s="13" t="s">
        <v>34</v>
      </c>
      <c r="I68">
        <v>6500000</v>
      </c>
      <c r="J68" s="13">
        <v>-21</v>
      </c>
      <c r="K68">
        <v>21</v>
      </c>
      <c r="L68" s="1">
        <v>45553</v>
      </c>
      <c r="M68" t="s">
        <v>2101</v>
      </c>
      <c r="N68" t="s">
        <v>2112</v>
      </c>
    </row>
    <row r="69" spans="1:14" x14ac:dyDescent="0.25">
      <c r="A69" s="13" t="s">
        <v>331</v>
      </c>
      <c r="B69">
        <v>1</v>
      </c>
      <c r="C69" s="13" t="s">
        <v>206</v>
      </c>
      <c r="D69" s="13" t="s">
        <v>332</v>
      </c>
      <c r="E69" s="13" t="s">
        <v>332</v>
      </c>
      <c r="F69">
        <v>1</v>
      </c>
      <c r="G69" s="13" t="s">
        <v>14</v>
      </c>
      <c r="H69" s="13" t="s">
        <v>34</v>
      </c>
      <c r="I69">
        <v>5500000</v>
      </c>
      <c r="J69" s="13">
        <v>22</v>
      </c>
      <c r="K69">
        <v>22</v>
      </c>
      <c r="L69" s="1">
        <v>43974</v>
      </c>
      <c r="M69" t="s">
        <v>2101</v>
      </c>
      <c r="N69" t="s">
        <v>2103</v>
      </c>
    </row>
    <row r="70" spans="1:14" x14ac:dyDescent="0.25">
      <c r="A70" s="13" t="s">
        <v>386</v>
      </c>
      <c r="B70">
        <v>1</v>
      </c>
      <c r="C70" s="13" t="s">
        <v>145</v>
      </c>
      <c r="D70" s="13" t="s">
        <v>387</v>
      </c>
      <c r="E70" s="13" t="s">
        <v>387</v>
      </c>
      <c r="F70">
        <v>1</v>
      </c>
      <c r="G70" s="13" t="s">
        <v>42</v>
      </c>
      <c r="H70" s="13" t="s">
        <v>24</v>
      </c>
      <c r="I70">
        <v>10500000</v>
      </c>
      <c r="J70" s="13">
        <v>-7</v>
      </c>
      <c r="K70">
        <v>7</v>
      </c>
      <c r="L70" s="1">
        <v>43879</v>
      </c>
      <c r="M70" t="s">
        <v>2101</v>
      </c>
      <c r="N70" t="s">
        <v>2112</v>
      </c>
    </row>
    <row r="71" spans="1:14" x14ac:dyDescent="0.25">
      <c r="A71" s="13" t="s">
        <v>396</v>
      </c>
      <c r="B71">
        <v>1</v>
      </c>
      <c r="C71" s="13" t="s">
        <v>208</v>
      </c>
      <c r="D71" s="13" t="s">
        <v>397</v>
      </c>
      <c r="E71" s="13" t="s">
        <v>397</v>
      </c>
      <c r="F71">
        <v>2</v>
      </c>
      <c r="G71" s="13" t="s">
        <v>37</v>
      </c>
      <c r="H71" s="13" t="s">
        <v>19</v>
      </c>
      <c r="I71">
        <v>8000000</v>
      </c>
      <c r="J71" s="13">
        <v>2</v>
      </c>
      <c r="K71">
        <v>2</v>
      </c>
      <c r="L71" s="1">
        <v>44748</v>
      </c>
      <c r="M71" t="s">
        <v>2101</v>
      </c>
      <c r="N71" t="s">
        <v>2103</v>
      </c>
    </row>
    <row r="72" spans="1:14" x14ac:dyDescent="0.25">
      <c r="A72" s="13" t="s">
        <v>398</v>
      </c>
      <c r="B72">
        <v>1</v>
      </c>
      <c r="C72" s="13" t="s">
        <v>261</v>
      </c>
      <c r="D72" s="13" t="s">
        <v>397</v>
      </c>
      <c r="E72" s="13" t="s">
        <v>397</v>
      </c>
      <c r="F72">
        <v>2</v>
      </c>
      <c r="G72" s="13" t="s">
        <v>18</v>
      </c>
      <c r="H72" s="13" t="s">
        <v>24</v>
      </c>
      <c r="I72">
        <v>8000000</v>
      </c>
      <c r="J72" s="13">
        <v>32</v>
      </c>
      <c r="K72">
        <v>32</v>
      </c>
      <c r="L72" s="1">
        <v>44657</v>
      </c>
      <c r="M72" t="s">
        <v>2101</v>
      </c>
      <c r="N72" t="s">
        <v>2103</v>
      </c>
    </row>
    <row r="73" spans="1:14" x14ac:dyDescent="0.25">
      <c r="A73" s="13" t="s">
        <v>399</v>
      </c>
      <c r="B73">
        <v>1</v>
      </c>
      <c r="C73" s="13" t="s">
        <v>400</v>
      </c>
      <c r="D73" s="13" t="s">
        <v>401</v>
      </c>
      <c r="E73" s="13" t="s">
        <v>401</v>
      </c>
      <c r="F73">
        <v>1</v>
      </c>
      <c r="G73" s="13" t="s">
        <v>42</v>
      </c>
      <c r="H73" s="13" t="s">
        <v>38</v>
      </c>
      <c r="I73">
        <v>10500000</v>
      </c>
      <c r="J73" s="13">
        <v>30</v>
      </c>
      <c r="K73">
        <v>30</v>
      </c>
      <c r="L73" s="1">
        <v>43958</v>
      </c>
      <c r="M73" t="s">
        <v>2101</v>
      </c>
      <c r="N73" t="s">
        <v>2103</v>
      </c>
    </row>
    <row r="74" spans="1:14" x14ac:dyDescent="0.25">
      <c r="A74" s="13" t="s">
        <v>424</v>
      </c>
      <c r="B74">
        <v>1</v>
      </c>
      <c r="C74" s="13" t="s">
        <v>425</v>
      </c>
      <c r="D74" s="13" t="s">
        <v>426</v>
      </c>
      <c r="E74" s="13" t="s">
        <v>426</v>
      </c>
      <c r="F74">
        <v>1</v>
      </c>
      <c r="G74" s="13" t="s">
        <v>37</v>
      </c>
      <c r="H74" s="13" t="s">
        <v>34</v>
      </c>
      <c r="I74">
        <v>13000000</v>
      </c>
      <c r="J74" s="13">
        <v>10</v>
      </c>
      <c r="K74">
        <v>10</v>
      </c>
      <c r="L74" s="1">
        <v>45963</v>
      </c>
      <c r="M74" t="s">
        <v>2101</v>
      </c>
      <c r="N74" t="s">
        <v>2103</v>
      </c>
    </row>
    <row r="75" spans="1:14" x14ac:dyDescent="0.25">
      <c r="A75" s="13" t="s">
        <v>441</v>
      </c>
      <c r="B75">
        <v>1</v>
      </c>
      <c r="C75" s="13" t="s">
        <v>161</v>
      </c>
      <c r="D75" s="13" t="s">
        <v>442</v>
      </c>
      <c r="E75" s="13" t="s">
        <v>442</v>
      </c>
      <c r="F75">
        <v>1</v>
      </c>
      <c r="G75" s="13" t="s">
        <v>33</v>
      </c>
      <c r="H75" s="13" t="s">
        <v>24</v>
      </c>
      <c r="I75">
        <v>13000000</v>
      </c>
      <c r="J75" s="13">
        <v>30</v>
      </c>
      <c r="K75">
        <v>30</v>
      </c>
      <c r="L75" s="1">
        <v>45135</v>
      </c>
      <c r="M75" t="s">
        <v>2101</v>
      </c>
      <c r="N75" t="s">
        <v>2103</v>
      </c>
    </row>
    <row r="76" spans="1:14" x14ac:dyDescent="0.25">
      <c r="A76" s="13" t="s">
        <v>443</v>
      </c>
      <c r="B76">
        <v>1</v>
      </c>
      <c r="C76" s="13" t="s">
        <v>444</v>
      </c>
      <c r="D76" s="13" t="s">
        <v>445</v>
      </c>
      <c r="E76" s="13" t="s">
        <v>445</v>
      </c>
      <c r="F76">
        <v>1</v>
      </c>
      <c r="G76" s="13" t="s">
        <v>14</v>
      </c>
      <c r="H76" s="13" t="s">
        <v>34</v>
      </c>
      <c r="I76">
        <v>10500000</v>
      </c>
      <c r="J76" s="13">
        <v>33</v>
      </c>
      <c r="K76">
        <v>33</v>
      </c>
      <c r="L76" s="1">
        <v>44922</v>
      </c>
      <c r="M76" t="s">
        <v>2101</v>
      </c>
      <c r="N76" t="s">
        <v>2103</v>
      </c>
    </row>
    <row r="77" spans="1:14" x14ac:dyDescent="0.25">
      <c r="A77" s="13" t="s">
        <v>461</v>
      </c>
      <c r="B77">
        <v>1</v>
      </c>
      <c r="C77" s="13" t="s">
        <v>206</v>
      </c>
      <c r="D77" s="13" t="s">
        <v>462</v>
      </c>
      <c r="E77" s="13" t="s">
        <v>462</v>
      </c>
      <c r="F77">
        <v>1</v>
      </c>
      <c r="G77" s="13" t="s">
        <v>42</v>
      </c>
      <c r="H77" s="13" t="s">
        <v>15</v>
      </c>
      <c r="I77">
        <v>5500000</v>
      </c>
      <c r="J77" s="13">
        <v>4</v>
      </c>
      <c r="K77">
        <v>4</v>
      </c>
      <c r="L77" s="1">
        <v>45437</v>
      </c>
      <c r="M77" t="s">
        <v>2101</v>
      </c>
      <c r="N77" t="s">
        <v>2103</v>
      </c>
    </row>
    <row r="78" spans="1:14" x14ac:dyDescent="0.25">
      <c r="A78" s="13" t="s">
        <v>476</v>
      </c>
      <c r="B78">
        <v>1</v>
      </c>
      <c r="C78" s="13" t="s">
        <v>84</v>
      </c>
      <c r="D78" s="13" t="s">
        <v>477</v>
      </c>
      <c r="E78" s="13" t="s">
        <v>477</v>
      </c>
      <c r="F78">
        <v>1</v>
      </c>
      <c r="G78" s="13" t="s">
        <v>37</v>
      </c>
      <c r="H78" s="13" t="s">
        <v>19</v>
      </c>
      <c r="I78">
        <v>8000000</v>
      </c>
      <c r="J78" s="13">
        <v>-4</v>
      </c>
      <c r="K78">
        <v>4</v>
      </c>
      <c r="L78" s="1">
        <v>45897</v>
      </c>
      <c r="M78" t="s">
        <v>2101</v>
      </c>
      <c r="N78" t="s">
        <v>2114</v>
      </c>
    </row>
    <row r="79" spans="1:14" x14ac:dyDescent="0.25">
      <c r="A79" s="13" t="s">
        <v>491</v>
      </c>
      <c r="B79">
        <v>1</v>
      </c>
      <c r="C79" s="13" t="s">
        <v>492</v>
      </c>
      <c r="D79" s="13" t="s">
        <v>493</v>
      </c>
      <c r="E79" s="13" t="s">
        <v>493</v>
      </c>
      <c r="F79">
        <v>1</v>
      </c>
      <c r="G79" s="13" t="s">
        <v>33</v>
      </c>
      <c r="H79" s="13" t="s">
        <v>19</v>
      </c>
      <c r="I79">
        <v>8000000</v>
      </c>
      <c r="J79" s="13">
        <v>-26</v>
      </c>
      <c r="K79">
        <v>26</v>
      </c>
      <c r="L79" s="1">
        <v>44357</v>
      </c>
      <c r="M79" t="s">
        <v>2101</v>
      </c>
      <c r="N79" t="s">
        <v>2112</v>
      </c>
    </row>
    <row r="80" spans="1:14" x14ac:dyDescent="0.25">
      <c r="A80" s="13" t="s">
        <v>513</v>
      </c>
      <c r="B80">
        <v>1</v>
      </c>
      <c r="C80" s="13" t="s">
        <v>158</v>
      </c>
      <c r="D80" s="13" t="s">
        <v>514</v>
      </c>
      <c r="E80" s="13" t="s">
        <v>514</v>
      </c>
      <c r="F80">
        <v>1</v>
      </c>
      <c r="G80" s="13" t="s">
        <v>23</v>
      </c>
      <c r="H80" s="13" t="s">
        <v>19</v>
      </c>
      <c r="I80">
        <v>6500000</v>
      </c>
      <c r="J80" s="13">
        <v>28</v>
      </c>
      <c r="K80">
        <v>28</v>
      </c>
      <c r="L80" s="1">
        <v>43883</v>
      </c>
      <c r="M80" t="s">
        <v>2101</v>
      </c>
      <c r="N80" t="s">
        <v>2103</v>
      </c>
    </row>
    <row r="81" spans="1:14" x14ac:dyDescent="0.25">
      <c r="A81" s="13" t="s">
        <v>517</v>
      </c>
      <c r="B81">
        <v>1</v>
      </c>
      <c r="C81" s="13" t="s">
        <v>51</v>
      </c>
      <c r="D81" s="13" t="s">
        <v>518</v>
      </c>
      <c r="E81" s="13" t="s">
        <v>518</v>
      </c>
      <c r="F81">
        <v>1</v>
      </c>
      <c r="G81" s="13" t="s">
        <v>33</v>
      </c>
      <c r="H81" s="13" t="s">
        <v>24</v>
      </c>
      <c r="I81">
        <v>8000000</v>
      </c>
      <c r="J81" s="13">
        <v>-26</v>
      </c>
      <c r="K81">
        <v>26</v>
      </c>
      <c r="L81" s="1">
        <v>45712</v>
      </c>
      <c r="M81" t="s">
        <v>2101</v>
      </c>
      <c r="N81" t="s">
        <v>2112</v>
      </c>
    </row>
    <row r="82" spans="1:14" x14ac:dyDescent="0.25">
      <c r="A82" s="13" t="s">
        <v>538</v>
      </c>
      <c r="B82">
        <v>1</v>
      </c>
      <c r="C82" s="13" t="s">
        <v>539</v>
      </c>
      <c r="D82" s="13" t="s">
        <v>540</v>
      </c>
      <c r="E82" s="13" t="s">
        <v>540</v>
      </c>
      <c r="F82">
        <v>1</v>
      </c>
      <c r="G82" s="13" t="s">
        <v>14</v>
      </c>
      <c r="H82" s="13" t="s">
        <v>15</v>
      </c>
      <c r="I82">
        <v>13000000</v>
      </c>
      <c r="J82" s="13">
        <v>-9</v>
      </c>
      <c r="K82">
        <v>9</v>
      </c>
      <c r="L82" s="1">
        <v>45112</v>
      </c>
      <c r="M82" t="s">
        <v>2101</v>
      </c>
      <c r="N82" t="s">
        <v>2114</v>
      </c>
    </row>
    <row r="83" spans="1:14" x14ac:dyDescent="0.25">
      <c r="A83" s="13" t="s">
        <v>575</v>
      </c>
      <c r="B83">
        <v>1</v>
      </c>
      <c r="C83" s="13" t="s">
        <v>225</v>
      </c>
      <c r="D83" s="13" t="s">
        <v>576</v>
      </c>
      <c r="E83" s="13" t="s">
        <v>576</v>
      </c>
      <c r="F83">
        <v>1</v>
      </c>
      <c r="G83" s="13" t="s">
        <v>18</v>
      </c>
      <c r="H83" s="13" t="s">
        <v>38</v>
      </c>
      <c r="I83">
        <v>13000000</v>
      </c>
      <c r="J83" s="13">
        <v>30</v>
      </c>
      <c r="K83">
        <v>30</v>
      </c>
      <c r="L83" s="1">
        <v>45607</v>
      </c>
      <c r="M83" t="s">
        <v>2101</v>
      </c>
      <c r="N83" t="s">
        <v>2103</v>
      </c>
    </row>
    <row r="84" spans="1:14" x14ac:dyDescent="0.25">
      <c r="A84" s="13" t="s">
        <v>611</v>
      </c>
      <c r="B84">
        <v>1</v>
      </c>
      <c r="C84" s="13" t="s">
        <v>35</v>
      </c>
      <c r="D84" s="13" t="s">
        <v>612</v>
      </c>
      <c r="E84" s="13" t="s">
        <v>612</v>
      </c>
      <c r="F84">
        <v>1</v>
      </c>
      <c r="G84" s="13" t="s">
        <v>37</v>
      </c>
      <c r="H84" s="13" t="s">
        <v>34</v>
      </c>
      <c r="I84">
        <v>13000000</v>
      </c>
      <c r="J84" s="13">
        <v>30</v>
      </c>
      <c r="K84">
        <v>30</v>
      </c>
      <c r="L84" s="1">
        <v>44722</v>
      </c>
      <c r="M84" t="s">
        <v>2101</v>
      </c>
      <c r="N84" t="s">
        <v>2103</v>
      </c>
    </row>
    <row r="85" spans="1:14" x14ac:dyDescent="0.25">
      <c r="A85" s="13" t="s">
        <v>617</v>
      </c>
      <c r="B85">
        <v>1</v>
      </c>
      <c r="C85" s="13" t="s">
        <v>12</v>
      </c>
      <c r="D85" s="13" t="s">
        <v>618</v>
      </c>
      <c r="E85" s="13" t="s">
        <v>618</v>
      </c>
      <c r="F85">
        <v>1</v>
      </c>
      <c r="G85" s="13" t="s">
        <v>14</v>
      </c>
      <c r="H85" s="13" t="s">
        <v>19</v>
      </c>
      <c r="I85">
        <v>13000000</v>
      </c>
      <c r="J85" s="13">
        <v>20</v>
      </c>
      <c r="K85">
        <v>20</v>
      </c>
      <c r="L85" s="1">
        <v>45171</v>
      </c>
      <c r="M85" t="s">
        <v>2101</v>
      </c>
      <c r="N85" t="s">
        <v>2103</v>
      </c>
    </row>
    <row r="86" spans="1:14" x14ac:dyDescent="0.25">
      <c r="A86" s="13" t="s">
        <v>619</v>
      </c>
      <c r="B86">
        <v>1</v>
      </c>
      <c r="C86" s="13" t="s">
        <v>148</v>
      </c>
      <c r="D86" s="13" t="s">
        <v>620</v>
      </c>
      <c r="E86" s="13" t="s">
        <v>620</v>
      </c>
      <c r="F86">
        <v>1</v>
      </c>
      <c r="G86" s="13" t="s">
        <v>42</v>
      </c>
      <c r="H86" s="13" t="s">
        <v>24</v>
      </c>
      <c r="I86">
        <v>8000000</v>
      </c>
      <c r="J86" s="13">
        <v>30</v>
      </c>
      <c r="K86">
        <v>30</v>
      </c>
      <c r="L86" s="1">
        <v>45754</v>
      </c>
      <c r="M86" t="s">
        <v>2101</v>
      </c>
      <c r="N86" t="s">
        <v>2103</v>
      </c>
    </row>
    <row r="87" spans="1:14" x14ac:dyDescent="0.25">
      <c r="A87" s="13" t="s">
        <v>625</v>
      </c>
      <c r="B87">
        <v>1</v>
      </c>
      <c r="C87" s="13" t="s">
        <v>115</v>
      </c>
      <c r="D87" s="13" t="s">
        <v>626</v>
      </c>
      <c r="E87" s="13" t="s">
        <v>626</v>
      </c>
      <c r="F87">
        <v>1</v>
      </c>
      <c r="G87" s="13" t="s">
        <v>37</v>
      </c>
      <c r="H87" s="13" t="s">
        <v>19</v>
      </c>
      <c r="I87">
        <v>13000000</v>
      </c>
      <c r="J87" s="13">
        <v>15</v>
      </c>
      <c r="K87">
        <v>15</v>
      </c>
      <c r="L87" s="1">
        <v>44583</v>
      </c>
      <c r="M87" t="s">
        <v>2101</v>
      </c>
      <c r="N87" t="s">
        <v>2103</v>
      </c>
    </row>
    <row r="88" spans="1:14" x14ac:dyDescent="0.25">
      <c r="A88" s="13" t="s">
        <v>685</v>
      </c>
      <c r="B88">
        <v>1</v>
      </c>
      <c r="C88" s="13" t="s">
        <v>63</v>
      </c>
      <c r="D88" s="13" t="s">
        <v>686</v>
      </c>
      <c r="E88" s="13" t="s">
        <v>686</v>
      </c>
      <c r="F88">
        <v>1</v>
      </c>
      <c r="G88" s="13" t="s">
        <v>18</v>
      </c>
      <c r="H88" s="13" t="s">
        <v>24</v>
      </c>
      <c r="I88">
        <v>6500000</v>
      </c>
      <c r="J88" s="13">
        <v>24</v>
      </c>
      <c r="K88">
        <v>24</v>
      </c>
      <c r="L88" s="1">
        <v>44056</v>
      </c>
      <c r="M88" t="s">
        <v>2101</v>
      </c>
      <c r="N88" t="s">
        <v>2103</v>
      </c>
    </row>
    <row r="89" spans="1:14" x14ac:dyDescent="0.25">
      <c r="A89" s="13" t="s">
        <v>733</v>
      </c>
      <c r="B89">
        <v>1</v>
      </c>
      <c r="C89" s="13" t="s">
        <v>348</v>
      </c>
      <c r="D89" s="13" t="s">
        <v>734</v>
      </c>
      <c r="E89" s="13" t="s">
        <v>734</v>
      </c>
      <c r="F89">
        <v>2</v>
      </c>
      <c r="G89" s="13" t="s">
        <v>42</v>
      </c>
      <c r="H89" s="13" t="s">
        <v>38</v>
      </c>
      <c r="I89">
        <v>6500000</v>
      </c>
      <c r="J89" s="13">
        <v>25</v>
      </c>
      <c r="K89">
        <v>25</v>
      </c>
      <c r="L89" s="1">
        <v>45592</v>
      </c>
      <c r="M89" t="s">
        <v>2101</v>
      </c>
      <c r="N89" t="s">
        <v>2103</v>
      </c>
    </row>
    <row r="90" spans="1:14" x14ac:dyDescent="0.25">
      <c r="A90" s="13" t="s">
        <v>735</v>
      </c>
      <c r="B90">
        <v>1</v>
      </c>
      <c r="C90" s="13" t="s">
        <v>736</v>
      </c>
      <c r="D90" s="13" t="s">
        <v>734</v>
      </c>
      <c r="E90" s="13" t="s">
        <v>734</v>
      </c>
      <c r="F90">
        <v>2</v>
      </c>
      <c r="G90" s="13" t="s">
        <v>42</v>
      </c>
      <c r="H90" s="13" t="s">
        <v>24</v>
      </c>
      <c r="I90">
        <v>6500000</v>
      </c>
      <c r="J90" s="13">
        <v>7</v>
      </c>
      <c r="K90">
        <v>7</v>
      </c>
      <c r="L90" s="1">
        <v>45589</v>
      </c>
      <c r="M90" t="s">
        <v>2101</v>
      </c>
      <c r="N90" t="s">
        <v>2103</v>
      </c>
    </row>
    <row r="91" spans="1:14" x14ac:dyDescent="0.25">
      <c r="A91" s="13" t="s">
        <v>751</v>
      </c>
      <c r="B91">
        <v>1</v>
      </c>
      <c r="C91" s="13" t="s">
        <v>49</v>
      </c>
      <c r="D91" s="13" t="s">
        <v>752</v>
      </c>
      <c r="E91" s="13" t="s">
        <v>752</v>
      </c>
      <c r="F91">
        <v>1</v>
      </c>
      <c r="G91" s="13" t="s">
        <v>42</v>
      </c>
      <c r="H91" s="13" t="s">
        <v>34</v>
      </c>
      <c r="I91">
        <v>5500000</v>
      </c>
      <c r="J91" s="13">
        <v>-8</v>
      </c>
      <c r="K91">
        <v>8</v>
      </c>
      <c r="L91" s="1">
        <v>44039</v>
      </c>
      <c r="M91" t="s">
        <v>2101</v>
      </c>
      <c r="N91" t="s">
        <v>2112</v>
      </c>
    </row>
    <row r="92" spans="1:14" x14ac:dyDescent="0.25">
      <c r="A92" s="13" t="s">
        <v>807</v>
      </c>
      <c r="B92">
        <v>1</v>
      </c>
      <c r="C92" s="13" t="s">
        <v>311</v>
      </c>
      <c r="D92" s="13" t="s">
        <v>808</v>
      </c>
      <c r="E92" s="13" t="s">
        <v>808</v>
      </c>
      <c r="F92">
        <v>1</v>
      </c>
      <c r="G92" s="13" t="s">
        <v>37</v>
      </c>
      <c r="H92" s="13" t="s">
        <v>19</v>
      </c>
      <c r="I92">
        <v>5500000</v>
      </c>
      <c r="J92" s="13">
        <v>21</v>
      </c>
      <c r="K92">
        <v>21</v>
      </c>
      <c r="L92" s="1">
        <v>45488</v>
      </c>
      <c r="M92" t="s">
        <v>2101</v>
      </c>
      <c r="N92" t="s">
        <v>2103</v>
      </c>
    </row>
    <row r="93" spans="1:14" x14ac:dyDescent="0.25">
      <c r="A93" s="13" t="s">
        <v>811</v>
      </c>
      <c r="B93">
        <v>1</v>
      </c>
      <c r="C93" s="13" t="s">
        <v>81</v>
      </c>
      <c r="D93" s="13" t="s">
        <v>812</v>
      </c>
      <c r="E93" s="13" t="s">
        <v>812</v>
      </c>
      <c r="F93">
        <v>1</v>
      </c>
      <c r="G93" s="13" t="s">
        <v>42</v>
      </c>
      <c r="H93" s="13" t="s">
        <v>34</v>
      </c>
      <c r="I93">
        <v>10500000</v>
      </c>
      <c r="J93" s="13">
        <v>38</v>
      </c>
      <c r="K93">
        <v>38</v>
      </c>
      <c r="L93" s="1">
        <v>44273</v>
      </c>
      <c r="M93" t="s">
        <v>2101</v>
      </c>
      <c r="N93" t="s">
        <v>2103</v>
      </c>
    </row>
    <row r="94" spans="1:14" x14ac:dyDescent="0.25">
      <c r="A94" s="13" t="s">
        <v>813</v>
      </c>
      <c r="B94">
        <v>1</v>
      </c>
      <c r="C94" s="13" t="s">
        <v>258</v>
      </c>
      <c r="D94" s="13" t="s">
        <v>814</v>
      </c>
      <c r="E94" s="13" t="s">
        <v>814</v>
      </c>
      <c r="F94">
        <v>1</v>
      </c>
      <c r="G94" s="13" t="s">
        <v>23</v>
      </c>
      <c r="H94" s="13" t="s">
        <v>34</v>
      </c>
      <c r="I94">
        <v>6500000</v>
      </c>
      <c r="J94" s="13">
        <v>-40</v>
      </c>
      <c r="K94">
        <v>40</v>
      </c>
      <c r="L94" s="1">
        <v>45861</v>
      </c>
      <c r="M94" t="s">
        <v>2101</v>
      </c>
      <c r="N94" t="s">
        <v>2112</v>
      </c>
    </row>
    <row r="95" spans="1:14" x14ac:dyDescent="0.25">
      <c r="A95" s="13" t="s">
        <v>817</v>
      </c>
      <c r="B95">
        <v>1</v>
      </c>
      <c r="C95" s="13" t="s">
        <v>142</v>
      </c>
      <c r="D95" s="13" t="s">
        <v>818</v>
      </c>
      <c r="E95" s="13" t="s">
        <v>818</v>
      </c>
      <c r="F95">
        <v>1</v>
      </c>
      <c r="G95" s="13" t="s">
        <v>42</v>
      </c>
      <c r="H95" s="13" t="s">
        <v>19</v>
      </c>
      <c r="I95">
        <v>5500000</v>
      </c>
      <c r="J95" s="13">
        <v>5</v>
      </c>
      <c r="K95">
        <v>5</v>
      </c>
      <c r="L95" s="1">
        <v>44448</v>
      </c>
      <c r="M95" t="s">
        <v>2101</v>
      </c>
      <c r="N95" t="s">
        <v>2103</v>
      </c>
    </row>
    <row r="96" spans="1:14" x14ac:dyDescent="0.25">
      <c r="A96" s="13" t="s">
        <v>843</v>
      </c>
      <c r="B96">
        <v>1</v>
      </c>
      <c r="C96" s="13" t="s">
        <v>71</v>
      </c>
      <c r="D96" s="13" t="s">
        <v>844</v>
      </c>
      <c r="E96" s="13" t="s">
        <v>844</v>
      </c>
      <c r="F96">
        <v>1</v>
      </c>
      <c r="G96" s="13" t="s">
        <v>18</v>
      </c>
      <c r="H96" s="13" t="s">
        <v>24</v>
      </c>
      <c r="I96">
        <v>13000000</v>
      </c>
      <c r="J96" s="13">
        <v>29</v>
      </c>
      <c r="K96">
        <v>29</v>
      </c>
      <c r="L96" s="1">
        <v>44090</v>
      </c>
      <c r="M96" t="s">
        <v>2101</v>
      </c>
      <c r="N96" t="s">
        <v>2103</v>
      </c>
    </row>
    <row r="97" spans="1:14" x14ac:dyDescent="0.25">
      <c r="A97" s="13" t="s">
        <v>859</v>
      </c>
      <c r="B97">
        <v>1</v>
      </c>
      <c r="C97" s="13" t="s">
        <v>31</v>
      </c>
      <c r="D97" s="13" t="s">
        <v>860</v>
      </c>
      <c r="E97" s="13" t="s">
        <v>860</v>
      </c>
      <c r="F97">
        <v>1</v>
      </c>
      <c r="G97" s="13" t="s">
        <v>33</v>
      </c>
      <c r="H97" s="13" t="s">
        <v>38</v>
      </c>
      <c r="I97">
        <v>8000000</v>
      </c>
      <c r="J97" s="13">
        <v>-13</v>
      </c>
      <c r="K97">
        <v>13</v>
      </c>
      <c r="L97" s="1">
        <v>44636</v>
      </c>
      <c r="M97" t="s">
        <v>2101</v>
      </c>
      <c r="N97" t="s">
        <v>2112</v>
      </c>
    </row>
    <row r="98" spans="1:14" x14ac:dyDescent="0.25">
      <c r="A98" s="13" t="s">
        <v>874</v>
      </c>
      <c r="B98">
        <v>1</v>
      </c>
      <c r="C98" s="13" t="s">
        <v>311</v>
      </c>
      <c r="D98" s="13" t="s">
        <v>875</v>
      </c>
      <c r="E98" s="13" t="s">
        <v>875</v>
      </c>
      <c r="F98">
        <v>1</v>
      </c>
      <c r="G98" s="13" t="s">
        <v>33</v>
      </c>
      <c r="H98" s="13" t="s">
        <v>34</v>
      </c>
      <c r="I98">
        <v>10500000</v>
      </c>
      <c r="J98" s="13">
        <v>16</v>
      </c>
      <c r="K98">
        <v>16</v>
      </c>
      <c r="L98" s="1">
        <v>45055</v>
      </c>
      <c r="M98" t="s">
        <v>2101</v>
      </c>
      <c r="N98" t="s">
        <v>2103</v>
      </c>
    </row>
    <row r="99" spans="1:14" x14ac:dyDescent="0.25">
      <c r="A99" s="13" t="s">
        <v>891</v>
      </c>
      <c r="B99">
        <v>1</v>
      </c>
      <c r="C99" s="13" t="s">
        <v>26</v>
      </c>
      <c r="D99" s="13" t="s">
        <v>892</v>
      </c>
      <c r="E99" s="13" t="s">
        <v>892</v>
      </c>
      <c r="F99">
        <v>1</v>
      </c>
      <c r="G99" s="13" t="s">
        <v>42</v>
      </c>
      <c r="H99" s="13" t="s">
        <v>19</v>
      </c>
      <c r="I99">
        <v>5500000</v>
      </c>
      <c r="J99" s="13">
        <v>-32</v>
      </c>
      <c r="K99">
        <v>32</v>
      </c>
      <c r="L99" s="1">
        <v>43989</v>
      </c>
      <c r="M99" t="s">
        <v>2101</v>
      </c>
      <c r="N99" t="s">
        <v>2112</v>
      </c>
    </row>
    <row r="100" spans="1:14" x14ac:dyDescent="0.25">
      <c r="A100" s="13" t="s">
        <v>893</v>
      </c>
      <c r="B100">
        <v>1</v>
      </c>
      <c r="C100" s="13" t="s">
        <v>214</v>
      </c>
      <c r="D100" s="13" t="s">
        <v>894</v>
      </c>
      <c r="E100" s="13" t="s">
        <v>894</v>
      </c>
      <c r="F100">
        <v>1</v>
      </c>
      <c r="G100" s="13" t="s">
        <v>18</v>
      </c>
      <c r="H100" s="13" t="s">
        <v>15</v>
      </c>
      <c r="I100">
        <v>8000000</v>
      </c>
      <c r="J100" s="13">
        <v>10</v>
      </c>
      <c r="K100">
        <v>10</v>
      </c>
      <c r="L100" s="1">
        <v>45394</v>
      </c>
      <c r="M100" t="s">
        <v>2101</v>
      </c>
      <c r="N100" t="s">
        <v>2103</v>
      </c>
    </row>
    <row r="101" spans="1:14" x14ac:dyDescent="0.25">
      <c r="A101" s="13" t="s">
        <v>925</v>
      </c>
      <c r="B101">
        <v>1</v>
      </c>
      <c r="C101" s="13" t="s">
        <v>68</v>
      </c>
      <c r="D101" s="13" t="s">
        <v>926</v>
      </c>
      <c r="E101" s="13" t="s">
        <v>926</v>
      </c>
      <c r="F101">
        <v>1</v>
      </c>
      <c r="G101" s="13" t="s">
        <v>14</v>
      </c>
      <c r="H101" s="13" t="s">
        <v>15</v>
      </c>
      <c r="I101">
        <v>13000000</v>
      </c>
      <c r="J101" s="13">
        <v>-40</v>
      </c>
      <c r="K101">
        <v>40</v>
      </c>
      <c r="L101" s="1">
        <v>44097</v>
      </c>
      <c r="M101" t="s">
        <v>2101</v>
      </c>
      <c r="N101" t="s">
        <v>2112</v>
      </c>
    </row>
    <row r="102" spans="1:14" x14ac:dyDescent="0.25">
      <c r="A102" s="13" t="s">
        <v>927</v>
      </c>
      <c r="B102">
        <v>1</v>
      </c>
      <c r="C102" s="13" t="s">
        <v>148</v>
      </c>
      <c r="D102" s="13" t="s">
        <v>928</v>
      </c>
      <c r="E102" s="13" t="s">
        <v>928</v>
      </c>
      <c r="F102">
        <v>1</v>
      </c>
      <c r="G102" s="13" t="s">
        <v>14</v>
      </c>
      <c r="H102" s="13" t="s">
        <v>34</v>
      </c>
      <c r="I102">
        <v>5500000</v>
      </c>
      <c r="J102" s="13">
        <v>-10</v>
      </c>
      <c r="K102">
        <v>10</v>
      </c>
      <c r="L102" s="1">
        <v>44031</v>
      </c>
      <c r="M102" t="s">
        <v>2101</v>
      </c>
      <c r="N102" t="s">
        <v>2112</v>
      </c>
    </row>
    <row r="103" spans="1:14" x14ac:dyDescent="0.25">
      <c r="A103" s="13" t="s">
        <v>942</v>
      </c>
      <c r="B103">
        <v>1</v>
      </c>
      <c r="C103" s="13" t="s">
        <v>630</v>
      </c>
      <c r="D103" s="13" t="s">
        <v>943</v>
      </c>
      <c r="E103" s="13" t="s">
        <v>943</v>
      </c>
      <c r="F103">
        <v>1</v>
      </c>
      <c r="G103" s="13" t="s">
        <v>23</v>
      </c>
      <c r="H103" s="13" t="s">
        <v>34</v>
      </c>
      <c r="I103">
        <v>13000000</v>
      </c>
      <c r="J103" s="13">
        <v>35</v>
      </c>
      <c r="K103">
        <v>35</v>
      </c>
      <c r="L103" s="1">
        <v>43849</v>
      </c>
      <c r="M103" t="s">
        <v>2101</v>
      </c>
      <c r="N103" t="s">
        <v>2103</v>
      </c>
    </row>
    <row r="104" spans="1:14" x14ac:dyDescent="0.25">
      <c r="A104" s="13" t="s">
        <v>958</v>
      </c>
      <c r="B104">
        <v>1</v>
      </c>
      <c r="C104" s="13" t="s">
        <v>46</v>
      </c>
      <c r="D104" s="13" t="s">
        <v>959</v>
      </c>
      <c r="E104" s="13" t="s">
        <v>959</v>
      </c>
      <c r="F104">
        <v>1</v>
      </c>
      <c r="G104" s="13" t="s">
        <v>18</v>
      </c>
      <c r="H104" s="13" t="s">
        <v>19</v>
      </c>
      <c r="I104">
        <v>10500000</v>
      </c>
      <c r="J104" s="13">
        <v>14</v>
      </c>
      <c r="K104">
        <v>14</v>
      </c>
      <c r="L104" s="1">
        <v>45317</v>
      </c>
      <c r="M104" t="s">
        <v>2101</v>
      </c>
      <c r="N104" t="s">
        <v>2103</v>
      </c>
    </row>
    <row r="105" spans="1:14" x14ac:dyDescent="0.25">
      <c r="A105" s="13" t="s">
        <v>970</v>
      </c>
      <c r="B105">
        <v>1</v>
      </c>
      <c r="C105" s="13" t="s">
        <v>66</v>
      </c>
      <c r="D105" s="13" t="s">
        <v>971</v>
      </c>
      <c r="E105" s="13" t="s">
        <v>971</v>
      </c>
      <c r="F105">
        <v>1</v>
      </c>
      <c r="G105" s="13" t="s">
        <v>14</v>
      </c>
      <c r="H105" s="13" t="s">
        <v>15</v>
      </c>
      <c r="I105">
        <v>10500000</v>
      </c>
      <c r="J105" s="13">
        <v>-7</v>
      </c>
      <c r="K105">
        <v>7</v>
      </c>
      <c r="L105" s="1">
        <v>44481</v>
      </c>
      <c r="M105" t="s">
        <v>2101</v>
      </c>
      <c r="N105" t="s">
        <v>2112</v>
      </c>
    </row>
    <row r="106" spans="1:14" x14ac:dyDescent="0.25">
      <c r="A106" s="13" t="s">
        <v>974</v>
      </c>
      <c r="B106">
        <v>1</v>
      </c>
      <c r="C106" s="13" t="s">
        <v>221</v>
      </c>
      <c r="D106" s="13" t="s">
        <v>975</v>
      </c>
      <c r="E106" s="13" t="s">
        <v>975</v>
      </c>
      <c r="F106">
        <v>1</v>
      </c>
      <c r="G106" s="13" t="s">
        <v>23</v>
      </c>
      <c r="H106" s="13" t="s">
        <v>19</v>
      </c>
      <c r="I106">
        <v>6500000</v>
      </c>
      <c r="J106" s="13">
        <v>15</v>
      </c>
      <c r="K106">
        <v>15</v>
      </c>
      <c r="L106" s="1">
        <v>44070</v>
      </c>
      <c r="M106" t="s">
        <v>2101</v>
      </c>
      <c r="N106" t="s">
        <v>2103</v>
      </c>
    </row>
    <row r="107" spans="1:14" x14ac:dyDescent="0.25">
      <c r="A107" s="13" t="s">
        <v>982</v>
      </c>
      <c r="B107">
        <v>1</v>
      </c>
      <c r="C107" s="13" t="s">
        <v>217</v>
      </c>
      <c r="D107" s="13" t="s">
        <v>983</v>
      </c>
      <c r="E107" s="13" t="s">
        <v>983</v>
      </c>
      <c r="F107">
        <v>1</v>
      </c>
      <c r="G107" s="13" t="s">
        <v>18</v>
      </c>
      <c r="H107" s="13" t="s">
        <v>34</v>
      </c>
      <c r="I107">
        <v>13000000</v>
      </c>
      <c r="J107" s="13">
        <v>1</v>
      </c>
      <c r="K107">
        <v>1</v>
      </c>
      <c r="L107" s="1">
        <v>44270</v>
      </c>
      <c r="M107" t="s">
        <v>2101</v>
      </c>
      <c r="N107" t="s">
        <v>2103</v>
      </c>
    </row>
    <row r="108" spans="1:14" x14ac:dyDescent="0.25">
      <c r="A108" s="13" t="s">
        <v>1000</v>
      </c>
      <c r="B108">
        <v>1</v>
      </c>
      <c r="C108" s="13" t="s">
        <v>308</v>
      </c>
      <c r="D108" s="13" t="s">
        <v>1001</v>
      </c>
      <c r="E108" s="13" t="s">
        <v>1001</v>
      </c>
      <c r="F108">
        <v>1</v>
      </c>
      <c r="G108" s="13" t="s">
        <v>23</v>
      </c>
      <c r="H108" s="13" t="s">
        <v>19</v>
      </c>
      <c r="I108">
        <v>8000000</v>
      </c>
      <c r="J108" s="13">
        <v>16</v>
      </c>
      <c r="K108">
        <v>16</v>
      </c>
      <c r="L108" s="1">
        <v>43880</v>
      </c>
      <c r="M108" t="s">
        <v>2101</v>
      </c>
      <c r="N108" t="s">
        <v>2103</v>
      </c>
    </row>
    <row r="109" spans="1:14" x14ac:dyDescent="0.25">
      <c r="A109" s="13" t="s">
        <v>1008</v>
      </c>
      <c r="B109">
        <v>1</v>
      </c>
      <c r="C109" s="13" t="s">
        <v>193</v>
      </c>
      <c r="D109" s="13" t="s">
        <v>1009</v>
      </c>
      <c r="E109" s="13" t="s">
        <v>1009</v>
      </c>
      <c r="F109">
        <v>1</v>
      </c>
      <c r="G109" s="13" t="s">
        <v>23</v>
      </c>
      <c r="H109" s="13" t="s">
        <v>19</v>
      </c>
      <c r="I109">
        <v>6500000</v>
      </c>
      <c r="J109" s="13">
        <v>-33</v>
      </c>
      <c r="K109">
        <v>33</v>
      </c>
      <c r="L109" s="1">
        <v>44497</v>
      </c>
      <c r="M109" t="s">
        <v>2101</v>
      </c>
      <c r="N109" t="s">
        <v>2112</v>
      </c>
    </row>
    <row r="110" spans="1:14" x14ac:dyDescent="0.25">
      <c r="A110" s="13" t="s">
        <v>1020</v>
      </c>
      <c r="B110">
        <v>1</v>
      </c>
      <c r="C110" s="13" t="s">
        <v>360</v>
      </c>
      <c r="D110" s="13" t="s">
        <v>1021</v>
      </c>
      <c r="E110" s="13" t="s">
        <v>1021</v>
      </c>
      <c r="F110">
        <v>1</v>
      </c>
      <c r="G110" s="13" t="s">
        <v>33</v>
      </c>
      <c r="H110" s="13" t="s">
        <v>19</v>
      </c>
      <c r="I110">
        <v>10500000</v>
      </c>
      <c r="J110" s="13">
        <v>36</v>
      </c>
      <c r="K110">
        <v>36</v>
      </c>
      <c r="L110" s="1">
        <v>44365</v>
      </c>
      <c r="M110" t="s">
        <v>2101</v>
      </c>
      <c r="N110" t="s">
        <v>2103</v>
      </c>
    </row>
    <row r="111" spans="1:14" x14ac:dyDescent="0.25">
      <c r="A111" s="13" t="s">
        <v>1024</v>
      </c>
      <c r="B111">
        <v>1</v>
      </c>
      <c r="C111" s="13" t="s">
        <v>158</v>
      </c>
      <c r="D111" s="13" t="s">
        <v>1025</v>
      </c>
      <c r="E111" s="13" t="s">
        <v>1025</v>
      </c>
      <c r="F111">
        <v>1</v>
      </c>
      <c r="G111" s="13" t="s">
        <v>42</v>
      </c>
      <c r="H111" s="13" t="s">
        <v>38</v>
      </c>
      <c r="I111">
        <v>5500000</v>
      </c>
      <c r="J111" s="13">
        <v>21</v>
      </c>
      <c r="K111">
        <v>21</v>
      </c>
      <c r="L111" s="1">
        <v>45632</v>
      </c>
      <c r="M111" t="s">
        <v>2101</v>
      </c>
      <c r="N111" t="s">
        <v>2103</v>
      </c>
    </row>
    <row r="112" spans="1:14" x14ac:dyDescent="0.25">
      <c r="A112" s="13" t="s">
        <v>1052</v>
      </c>
      <c r="B112">
        <v>1</v>
      </c>
      <c r="C112" s="13" t="s">
        <v>264</v>
      </c>
      <c r="D112" s="13" t="s">
        <v>1053</v>
      </c>
      <c r="E112" s="13" t="s">
        <v>1053</v>
      </c>
      <c r="F112">
        <v>1</v>
      </c>
      <c r="G112" s="13" t="s">
        <v>33</v>
      </c>
      <c r="H112" s="13" t="s">
        <v>24</v>
      </c>
      <c r="I112">
        <v>10500000</v>
      </c>
      <c r="J112" s="13">
        <v>32</v>
      </c>
      <c r="K112">
        <v>32</v>
      </c>
      <c r="L112" s="1">
        <v>45945</v>
      </c>
      <c r="M112" t="s">
        <v>2101</v>
      </c>
      <c r="N112" t="s">
        <v>2103</v>
      </c>
    </row>
    <row r="113" spans="1:14" x14ac:dyDescent="0.25">
      <c r="A113" s="13" t="s">
        <v>1060</v>
      </c>
      <c r="B113">
        <v>1</v>
      </c>
      <c r="C113" s="13" t="s">
        <v>196</v>
      </c>
      <c r="D113" s="13" t="s">
        <v>1061</v>
      </c>
      <c r="E113" s="13" t="s">
        <v>1061</v>
      </c>
      <c r="F113">
        <v>1</v>
      </c>
      <c r="G113" s="13" t="s">
        <v>37</v>
      </c>
      <c r="H113" s="13" t="s">
        <v>15</v>
      </c>
      <c r="I113">
        <v>6500000</v>
      </c>
      <c r="J113" s="13">
        <v>17</v>
      </c>
      <c r="K113">
        <v>17</v>
      </c>
      <c r="L113" s="1">
        <v>46002</v>
      </c>
      <c r="M113" t="s">
        <v>2101</v>
      </c>
      <c r="N113" t="s">
        <v>2103</v>
      </c>
    </row>
    <row r="114" spans="1:14" x14ac:dyDescent="0.25">
      <c r="A114" s="13" t="s">
        <v>1072</v>
      </c>
      <c r="B114">
        <v>1</v>
      </c>
      <c r="C114" s="13" t="s">
        <v>400</v>
      </c>
      <c r="D114" s="13" t="s">
        <v>1073</v>
      </c>
      <c r="E114" s="13" t="s">
        <v>1073</v>
      </c>
      <c r="F114">
        <v>1</v>
      </c>
      <c r="G114" s="13" t="s">
        <v>37</v>
      </c>
      <c r="H114" s="13" t="s">
        <v>34</v>
      </c>
      <c r="I114">
        <v>6500000</v>
      </c>
      <c r="J114" s="13">
        <v>-2</v>
      </c>
      <c r="K114">
        <v>2</v>
      </c>
      <c r="L114" s="1">
        <v>44573</v>
      </c>
      <c r="M114" t="s">
        <v>2101</v>
      </c>
      <c r="N114" t="s">
        <v>2112</v>
      </c>
    </row>
    <row r="115" spans="1:14" x14ac:dyDescent="0.25">
      <c r="A115" s="13" t="s">
        <v>1082</v>
      </c>
      <c r="B115">
        <v>1</v>
      </c>
      <c r="C115" s="13" t="s">
        <v>75</v>
      </c>
      <c r="D115" s="13" t="s">
        <v>1083</v>
      </c>
      <c r="E115" s="13" t="s">
        <v>1083</v>
      </c>
      <c r="F115">
        <v>1</v>
      </c>
      <c r="G115" s="13" t="s">
        <v>14</v>
      </c>
      <c r="H115" s="13" t="s">
        <v>34</v>
      </c>
      <c r="I115">
        <v>10500000</v>
      </c>
      <c r="J115" s="13">
        <v>8</v>
      </c>
      <c r="K115">
        <v>8</v>
      </c>
      <c r="L115" s="1">
        <v>45928</v>
      </c>
      <c r="M115" t="s">
        <v>2101</v>
      </c>
      <c r="N115" t="s">
        <v>2103</v>
      </c>
    </row>
    <row r="116" spans="1:14" x14ac:dyDescent="0.25">
      <c r="A116" s="13" t="s">
        <v>1098</v>
      </c>
      <c r="B116">
        <v>1</v>
      </c>
      <c r="C116" s="13" t="s">
        <v>12</v>
      </c>
      <c r="D116" s="13" t="s">
        <v>1099</v>
      </c>
      <c r="E116" s="13" t="s">
        <v>1099</v>
      </c>
      <c r="F116">
        <v>1</v>
      </c>
      <c r="G116" s="13" t="s">
        <v>37</v>
      </c>
      <c r="H116" s="13" t="s">
        <v>34</v>
      </c>
      <c r="I116">
        <v>6500000</v>
      </c>
      <c r="J116" s="13">
        <v>-40</v>
      </c>
      <c r="K116">
        <v>40</v>
      </c>
      <c r="L116" s="1">
        <v>45449</v>
      </c>
      <c r="M116" t="s">
        <v>2101</v>
      </c>
      <c r="N116" t="s">
        <v>2112</v>
      </c>
    </row>
    <row r="117" spans="1:14" x14ac:dyDescent="0.25">
      <c r="A117" s="13" t="s">
        <v>1102</v>
      </c>
      <c r="B117">
        <v>1</v>
      </c>
      <c r="C117" s="13" t="s">
        <v>174</v>
      </c>
      <c r="D117" s="13" t="s">
        <v>1103</v>
      </c>
      <c r="E117" s="13" t="s">
        <v>1103</v>
      </c>
      <c r="F117">
        <v>1</v>
      </c>
      <c r="G117" s="13" t="s">
        <v>42</v>
      </c>
      <c r="H117" s="13" t="s">
        <v>15</v>
      </c>
      <c r="I117">
        <v>5500000</v>
      </c>
      <c r="J117" s="13">
        <v>23</v>
      </c>
      <c r="K117">
        <v>23</v>
      </c>
      <c r="L117" s="1">
        <v>45874</v>
      </c>
      <c r="M117" t="s">
        <v>2101</v>
      </c>
      <c r="N117" t="s">
        <v>2103</v>
      </c>
    </row>
    <row r="118" spans="1:14" x14ac:dyDescent="0.25">
      <c r="A118" s="13" t="s">
        <v>1104</v>
      </c>
      <c r="B118">
        <v>1</v>
      </c>
      <c r="C118" s="13" t="s">
        <v>84</v>
      </c>
      <c r="D118" s="13" t="s">
        <v>1105</v>
      </c>
      <c r="E118" s="13" t="s">
        <v>1105</v>
      </c>
      <c r="F118">
        <v>1</v>
      </c>
      <c r="G118" s="13" t="s">
        <v>23</v>
      </c>
      <c r="H118" s="13" t="s">
        <v>24</v>
      </c>
      <c r="I118">
        <v>13000000</v>
      </c>
      <c r="J118" s="13">
        <v>18</v>
      </c>
      <c r="K118">
        <v>18</v>
      </c>
      <c r="L118" s="1">
        <v>44240</v>
      </c>
      <c r="M118" t="s">
        <v>2101</v>
      </c>
      <c r="N118" t="s">
        <v>2103</v>
      </c>
    </row>
    <row r="119" spans="1:14" x14ac:dyDescent="0.25">
      <c r="A119" s="13" t="s">
        <v>1117</v>
      </c>
      <c r="B119">
        <v>1</v>
      </c>
      <c r="C119" s="13" t="s">
        <v>264</v>
      </c>
      <c r="D119" s="13" t="s">
        <v>1118</v>
      </c>
      <c r="E119" s="13" t="s">
        <v>1118</v>
      </c>
      <c r="F119">
        <v>1</v>
      </c>
      <c r="G119" s="13" t="s">
        <v>18</v>
      </c>
      <c r="H119" s="13" t="s">
        <v>19</v>
      </c>
      <c r="I119">
        <v>5500000</v>
      </c>
      <c r="J119" s="13">
        <v>38</v>
      </c>
      <c r="K119">
        <v>38</v>
      </c>
      <c r="L119" s="1">
        <v>45193</v>
      </c>
      <c r="M119" t="s">
        <v>2101</v>
      </c>
      <c r="N119" t="s">
        <v>2103</v>
      </c>
    </row>
    <row r="120" spans="1:14" x14ac:dyDescent="0.25">
      <c r="A120" s="13" t="s">
        <v>1147</v>
      </c>
      <c r="B120">
        <v>1</v>
      </c>
      <c r="C120" s="13" t="s">
        <v>180</v>
      </c>
      <c r="D120" s="13" t="s">
        <v>1148</v>
      </c>
      <c r="E120" s="13" t="s">
        <v>1148</v>
      </c>
      <c r="F120">
        <v>1</v>
      </c>
      <c r="G120" s="13" t="s">
        <v>18</v>
      </c>
      <c r="H120" s="13" t="s">
        <v>19</v>
      </c>
      <c r="I120">
        <v>8000000</v>
      </c>
      <c r="J120" s="13">
        <v>-17</v>
      </c>
      <c r="K120">
        <v>17</v>
      </c>
      <c r="L120" s="1">
        <v>43866</v>
      </c>
      <c r="M120" t="s">
        <v>2101</v>
      </c>
      <c r="N120" t="s">
        <v>2112</v>
      </c>
    </row>
    <row r="121" spans="1:14" x14ac:dyDescent="0.25">
      <c r="A121" s="13" t="s">
        <v>1163</v>
      </c>
      <c r="B121">
        <v>1</v>
      </c>
      <c r="C121" s="13" t="s">
        <v>31</v>
      </c>
      <c r="D121" s="13" t="s">
        <v>1164</v>
      </c>
      <c r="E121" s="13" t="s">
        <v>1164</v>
      </c>
      <c r="F121">
        <v>1</v>
      </c>
      <c r="G121" s="13" t="s">
        <v>42</v>
      </c>
      <c r="H121" s="13" t="s">
        <v>38</v>
      </c>
      <c r="I121">
        <v>6500000</v>
      </c>
      <c r="J121" s="13">
        <v>-23</v>
      </c>
      <c r="K121">
        <v>23</v>
      </c>
      <c r="L121" s="1">
        <v>45892</v>
      </c>
      <c r="M121" t="s">
        <v>2101</v>
      </c>
      <c r="N121" t="s">
        <v>2112</v>
      </c>
    </row>
    <row r="122" spans="1:14" x14ac:dyDescent="0.25">
      <c r="A122" s="13" t="s">
        <v>1169</v>
      </c>
      <c r="B122">
        <v>1</v>
      </c>
      <c r="C122" s="13" t="s">
        <v>223</v>
      </c>
      <c r="D122" s="13" t="s">
        <v>1170</v>
      </c>
      <c r="E122" s="13" t="s">
        <v>1170</v>
      </c>
      <c r="F122">
        <v>1</v>
      </c>
      <c r="G122" s="13" t="s">
        <v>42</v>
      </c>
      <c r="H122" s="13" t="s">
        <v>15</v>
      </c>
      <c r="I122">
        <v>5500000</v>
      </c>
      <c r="J122" s="13">
        <v>-40</v>
      </c>
      <c r="K122">
        <v>40</v>
      </c>
      <c r="L122" s="1">
        <v>44973</v>
      </c>
      <c r="M122" t="s">
        <v>2101</v>
      </c>
      <c r="N122" t="s">
        <v>2112</v>
      </c>
    </row>
    <row r="123" spans="1:14" x14ac:dyDescent="0.25">
      <c r="A123" s="13" t="s">
        <v>1199</v>
      </c>
      <c r="B123">
        <v>1</v>
      </c>
      <c r="C123" s="13" t="s">
        <v>870</v>
      </c>
      <c r="D123" s="13" t="s">
        <v>1200</v>
      </c>
      <c r="E123" s="13" t="s">
        <v>1200</v>
      </c>
      <c r="F123">
        <v>1</v>
      </c>
      <c r="G123" s="13" t="s">
        <v>37</v>
      </c>
      <c r="H123" s="13" t="s">
        <v>38</v>
      </c>
      <c r="I123">
        <v>8000000</v>
      </c>
      <c r="J123" s="13">
        <v>-10</v>
      </c>
      <c r="K123">
        <v>10</v>
      </c>
      <c r="L123" s="1">
        <v>45541</v>
      </c>
      <c r="M123" t="s">
        <v>2101</v>
      </c>
      <c r="N123" t="s">
        <v>2112</v>
      </c>
    </row>
    <row r="124" spans="1:14" x14ac:dyDescent="0.25">
      <c r="A124" s="13" t="s">
        <v>1201</v>
      </c>
      <c r="B124">
        <v>1</v>
      </c>
      <c r="C124" s="13" t="s">
        <v>158</v>
      </c>
      <c r="D124" s="13" t="s">
        <v>1202</v>
      </c>
      <c r="E124" s="13" t="s">
        <v>1202</v>
      </c>
      <c r="F124">
        <v>1</v>
      </c>
      <c r="G124" s="13" t="s">
        <v>23</v>
      </c>
      <c r="H124" s="13" t="s">
        <v>15</v>
      </c>
      <c r="I124">
        <v>5500000</v>
      </c>
      <c r="J124" s="13">
        <v>12</v>
      </c>
      <c r="K124">
        <v>12</v>
      </c>
      <c r="L124" s="1">
        <v>45405</v>
      </c>
      <c r="M124" t="s">
        <v>2101</v>
      </c>
      <c r="N124" t="s">
        <v>2103</v>
      </c>
    </row>
    <row r="125" spans="1:14" x14ac:dyDescent="0.25">
      <c r="A125" s="13" t="s">
        <v>1203</v>
      </c>
      <c r="B125">
        <v>1</v>
      </c>
      <c r="C125" s="13" t="s">
        <v>719</v>
      </c>
      <c r="D125" s="13" t="s">
        <v>1204</v>
      </c>
      <c r="E125" s="13" t="s">
        <v>1204</v>
      </c>
      <c r="F125">
        <v>1</v>
      </c>
      <c r="G125" s="13" t="s">
        <v>42</v>
      </c>
      <c r="H125" s="13" t="s">
        <v>24</v>
      </c>
      <c r="I125">
        <v>13000000</v>
      </c>
      <c r="J125" s="13">
        <v>4</v>
      </c>
      <c r="K125">
        <v>4</v>
      </c>
      <c r="L125" s="1">
        <v>44542</v>
      </c>
      <c r="M125" t="s">
        <v>2101</v>
      </c>
      <c r="N125" t="s">
        <v>2103</v>
      </c>
    </row>
    <row r="126" spans="1:14" x14ac:dyDescent="0.25">
      <c r="A126" s="13" t="s">
        <v>1205</v>
      </c>
      <c r="B126">
        <v>1</v>
      </c>
      <c r="C126" s="13" t="s">
        <v>21</v>
      </c>
      <c r="D126" s="13" t="s">
        <v>1206</v>
      </c>
      <c r="E126" s="13" t="s">
        <v>1206</v>
      </c>
      <c r="F126">
        <v>1</v>
      </c>
      <c r="G126" s="13" t="s">
        <v>37</v>
      </c>
      <c r="H126" s="13" t="s">
        <v>15</v>
      </c>
      <c r="I126">
        <v>8000000</v>
      </c>
      <c r="J126" s="13">
        <v>32</v>
      </c>
      <c r="K126">
        <v>32</v>
      </c>
      <c r="L126" s="1">
        <v>44296</v>
      </c>
      <c r="M126" t="s">
        <v>2101</v>
      </c>
      <c r="N126" t="s">
        <v>2103</v>
      </c>
    </row>
    <row r="127" spans="1:14" x14ac:dyDescent="0.25">
      <c r="A127" s="13" t="s">
        <v>1217</v>
      </c>
      <c r="B127">
        <v>1</v>
      </c>
      <c r="C127" s="13" t="s">
        <v>430</v>
      </c>
      <c r="D127" s="13" t="s">
        <v>1218</v>
      </c>
      <c r="E127" s="13" t="s">
        <v>1218</v>
      </c>
      <c r="F127">
        <v>1</v>
      </c>
      <c r="G127" s="13" t="s">
        <v>23</v>
      </c>
      <c r="H127" s="13" t="s">
        <v>15</v>
      </c>
      <c r="I127">
        <v>13000000</v>
      </c>
      <c r="J127" s="13">
        <v>26</v>
      </c>
      <c r="K127">
        <v>26</v>
      </c>
      <c r="L127" s="1">
        <v>45557</v>
      </c>
      <c r="M127" t="s">
        <v>2101</v>
      </c>
      <c r="N127" t="s">
        <v>2103</v>
      </c>
    </row>
    <row r="128" spans="1:14" x14ac:dyDescent="0.25">
      <c r="A128" s="13" t="s">
        <v>1233</v>
      </c>
      <c r="B128">
        <v>1</v>
      </c>
      <c r="C128" s="13" t="s">
        <v>26</v>
      </c>
      <c r="D128" s="13" t="s">
        <v>1234</v>
      </c>
      <c r="E128" s="13" t="s">
        <v>1234</v>
      </c>
      <c r="F128">
        <v>1</v>
      </c>
      <c r="G128" s="13" t="s">
        <v>33</v>
      </c>
      <c r="H128" s="13" t="s">
        <v>24</v>
      </c>
      <c r="I128">
        <v>13000000</v>
      </c>
      <c r="J128" s="13">
        <v>9</v>
      </c>
      <c r="K128">
        <v>9</v>
      </c>
      <c r="L128" s="1">
        <v>45663</v>
      </c>
      <c r="M128" t="s">
        <v>2101</v>
      </c>
      <c r="N128" t="s">
        <v>2103</v>
      </c>
    </row>
    <row r="129" spans="1:14" x14ac:dyDescent="0.25">
      <c r="A129" s="13" t="s">
        <v>1267</v>
      </c>
      <c r="B129">
        <v>1</v>
      </c>
      <c r="C129" s="13" t="s">
        <v>174</v>
      </c>
      <c r="D129" s="13" t="s">
        <v>1268</v>
      </c>
      <c r="E129" s="13" t="s">
        <v>1268</v>
      </c>
      <c r="F129">
        <v>1</v>
      </c>
      <c r="G129" s="13" t="s">
        <v>37</v>
      </c>
      <c r="H129" s="13" t="s">
        <v>38</v>
      </c>
      <c r="I129">
        <v>10500000</v>
      </c>
      <c r="J129" s="13">
        <v>-33</v>
      </c>
      <c r="K129">
        <v>33</v>
      </c>
      <c r="L129" s="1">
        <v>45907</v>
      </c>
      <c r="M129" t="s">
        <v>2101</v>
      </c>
      <c r="N129" t="s">
        <v>2112</v>
      </c>
    </row>
    <row r="130" spans="1:14" x14ac:dyDescent="0.25">
      <c r="A130" s="13" t="s">
        <v>1283</v>
      </c>
      <c r="B130">
        <v>1</v>
      </c>
      <c r="C130" s="13" t="s">
        <v>203</v>
      </c>
      <c r="D130" s="13" t="s">
        <v>1284</v>
      </c>
      <c r="E130" s="13" t="s">
        <v>1284</v>
      </c>
      <c r="F130">
        <v>1</v>
      </c>
      <c r="G130" s="13" t="s">
        <v>23</v>
      </c>
      <c r="H130" s="13" t="s">
        <v>19</v>
      </c>
      <c r="I130">
        <v>5500000</v>
      </c>
      <c r="J130" s="13">
        <v>37</v>
      </c>
      <c r="K130">
        <v>37</v>
      </c>
      <c r="L130" s="1">
        <v>45426</v>
      </c>
      <c r="M130" t="s">
        <v>2101</v>
      </c>
      <c r="N130" t="s">
        <v>2103</v>
      </c>
    </row>
    <row r="131" spans="1:14" x14ac:dyDescent="0.25">
      <c r="A131" s="13" t="s">
        <v>1300</v>
      </c>
      <c r="B131">
        <v>1</v>
      </c>
      <c r="C131" s="13" t="s">
        <v>316</v>
      </c>
      <c r="D131" s="13" t="s">
        <v>1301</v>
      </c>
      <c r="E131" s="13" t="s">
        <v>1301</v>
      </c>
      <c r="F131">
        <v>1</v>
      </c>
      <c r="G131" s="13" t="s">
        <v>33</v>
      </c>
      <c r="H131" s="13" t="s">
        <v>24</v>
      </c>
      <c r="I131">
        <v>6500000</v>
      </c>
      <c r="J131" s="13">
        <v>-3</v>
      </c>
      <c r="K131">
        <v>3</v>
      </c>
      <c r="L131" s="1">
        <v>44577</v>
      </c>
      <c r="M131" t="s">
        <v>2101</v>
      </c>
      <c r="N131" t="s">
        <v>2112</v>
      </c>
    </row>
    <row r="132" spans="1:14" x14ac:dyDescent="0.25">
      <c r="A132" s="13" t="s">
        <v>1311</v>
      </c>
      <c r="B132">
        <v>1</v>
      </c>
      <c r="C132" s="13" t="s">
        <v>153</v>
      </c>
      <c r="D132" s="13" t="s">
        <v>1312</v>
      </c>
      <c r="E132" s="13" t="s">
        <v>1312</v>
      </c>
      <c r="F132">
        <v>1</v>
      </c>
      <c r="G132" s="13" t="s">
        <v>18</v>
      </c>
      <c r="H132" s="13" t="s">
        <v>34</v>
      </c>
      <c r="I132">
        <v>5500000</v>
      </c>
      <c r="J132" s="13">
        <v>37</v>
      </c>
      <c r="K132">
        <v>37</v>
      </c>
      <c r="L132" s="1">
        <v>44611</v>
      </c>
      <c r="M132" t="s">
        <v>2101</v>
      </c>
      <c r="N132" t="s">
        <v>2103</v>
      </c>
    </row>
    <row r="133" spans="1:14" x14ac:dyDescent="0.25">
      <c r="A133" s="13" t="s">
        <v>1315</v>
      </c>
      <c r="B133">
        <v>1</v>
      </c>
      <c r="C133" s="13" t="s">
        <v>16</v>
      </c>
      <c r="D133" s="13" t="s">
        <v>1316</v>
      </c>
      <c r="E133" s="13" t="s">
        <v>1316</v>
      </c>
      <c r="F133">
        <v>1</v>
      </c>
      <c r="G133" s="13" t="s">
        <v>33</v>
      </c>
      <c r="H133" s="13" t="s">
        <v>15</v>
      </c>
      <c r="I133">
        <v>10500000</v>
      </c>
      <c r="J133" s="13">
        <v>-30</v>
      </c>
      <c r="K133">
        <v>30</v>
      </c>
      <c r="L133" s="1">
        <v>44612</v>
      </c>
      <c r="M133" t="s">
        <v>2101</v>
      </c>
      <c r="N133" t="s">
        <v>2112</v>
      </c>
    </row>
    <row r="134" spans="1:14" x14ac:dyDescent="0.25">
      <c r="A134" s="13" t="s">
        <v>1321</v>
      </c>
      <c r="B134">
        <v>1</v>
      </c>
      <c r="C134" s="13" t="s">
        <v>270</v>
      </c>
      <c r="D134" s="13" t="s">
        <v>1322</v>
      </c>
      <c r="E134" s="13" t="s">
        <v>1322</v>
      </c>
      <c r="F134">
        <v>1</v>
      </c>
      <c r="G134" s="13" t="s">
        <v>33</v>
      </c>
      <c r="H134" s="13" t="s">
        <v>19</v>
      </c>
      <c r="I134">
        <v>10500000</v>
      </c>
      <c r="J134" s="13">
        <v>-34</v>
      </c>
      <c r="K134">
        <v>34</v>
      </c>
      <c r="L134" s="1">
        <v>45970</v>
      </c>
      <c r="M134" t="s">
        <v>2101</v>
      </c>
      <c r="N134" t="s">
        <v>2112</v>
      </c>
    </row>
    <row r="135" spans="1:14" x14ac:dyDescent="0.25">
      <c r="A135" s="13" t="s">
        <v>1355</v>
      </c>
      <c r="B135">
        <v>1</v>
      </c>
      <c r="C135" s="13" t="s">
        <v>43</v>
      </c>
      <c r="D135" s="13" t="s">
        <v>1356</v>
      </c>
      <c r="E135" s="13" t="s">
        <v>1356</v>
      </c>
      <c r="F135">
        <v>1</v>
      </c>
      <c r="G135" s="13" t="s">
        <v>14</v>
      </c>
      <c r="H135" s="13" t="s">
        <v>19</v>
      </c>
      <c r="I135">
        <v>6500000</v>
      </c>
      <c r="J135" s="13">
        <v>-15</v>
      </c>
      <c r="K135">
        <v>15</v>
      </c>
      <c r="L135" s="1">
        <v>44233</v>
      </c>
      <c r="M135" t="s">
        <v>2101</v>
      </c>
      <c r="N135" t="s">
        <v>2112</v>
      </c>
    </row>
    <row r="136" spans="1:14" x14ac:dyDescent="0.25">
      <c r="A136" s="13" t="s">
        <v>1369</v>
      </c>
      <c r="B136">
        <v>1</v>
      </c>
      <c r="C136" s="13" t="s">
        <v>46</v>
      </c>
      <c r="D136" s="13" t="s">
        <v>1370</v>
      </c>
      <c r="E136" s="13" t="s">
        <v>1370</v>
      </c>
      <c r="F136">
        <v>1</v>
      </c>
      <c r="G136" s="13" t="s">
        <v>18</v>
      </c>
      <c r="H136" s="13" t="s">
        <v>15</v>
      </c>
      <c r="I136">
        <v>13000000</v>
      </c>
      <c r="J136" s="13">
        <v>-36</v>
      </c>
      <c r="K136">
        <v>36</v>
      </c>
      <c r="L136" s="1">
        <v>44191</v>
      </c>
      <c r="M136" t="s">
        <v>2101</v>
      </c>
      <c r="N136" t="s">
        <v>2112</v>
      </c>
    </row>
    <row r="137" spans="1:14" x14ac:dyDescent="0.25">
      <c r="A137" s="13" t="s">
        <v>1371</v>
      </c>
      <c r="B137">
        <v>1</v>
      </c>
      <c r="C137" s="13" t="s">
        <v>234</v>
      </c>
      <c r="D137" s="13" t="s">
        <v>1372</v>
      </c>
      <c r="E137" s="13" t="s">
        <v>1372</v>
      </c>
      <c r="F137">
        <v>1</v>
      </c>
      <c r="G137" s="13" t="s">
        <v>23</v>
      </c>
      <c r="H137" s="13" t="s">
        <v>19</v>
      </c>
      <c r="I137">
        <v>5500000</v>
      </c>
      <c r="J137" s="13">
        <v>29</v>
      </c>
      <c r="K137">
        <v>29</v>
      </c>
      <c r="L137" s="1">
        <v>45881</v>
      </c>
      <c r="M137" t="s">
        <v>2101</v>
      </c>
      <c r="N137" t="s">
        <v>2103</v>
      </c>
    </row>
    <row r="138" spans="1:14" x14ac:dyDescent="0.25">
      <c r="A138" s="13" t="s">
        <v>1381</v>
      </c>
      <c r="B138">
        <v>1</v>
      </c>
      <c r="C138" s="13" t="s">
        <v>92</v>
      </c>
      <c r="D138" s="13" t="s">
        <v>1382</v>
      </c>
      <c r="E138" s="13" t="s">
        <v>1382</v>
      </c>
      <c r="F138">
        <v>1</v>
      </c>
      <c r="G138" s="13" t="s">
        <v>23</v>
      </c>
      <c r="H138" s="13" t="s">
        <v>24</v>
      </c>
      <c r="I138">
        <v>8000000</v>
      </c>
      <c r="J138" s="13">
        <v>-24</v>
      </c>
      <c r="K138">
        <v>24</v>
      </c>
      <c r="L138" s="1">
        <v>45372</v>
      </c>
      <c r="M138" t="s">
        <v>2101</v>
      </c>
      <c r="N138" t="s">
        <v>2112</v>
      </c>
    </row>
    <row r="139" spans="1:14" x14ac:dyDescent="0.25">
      <c r="A139" s="13" t="s">
        <v>1385</v>
      </c>
      <c r="B139">
        <v>1</v>
      </c>
      <c r="C139" s="13" t="s">
        <v>158</v>
      </c>
      <c r="D139" s="13" t="s">
        <v>1386</v>
      </c>
      <c r="E139" s="13" t="s">
        <v>1386</v>
      </c>
      <c r="F139">
        <v>1</v>
      </c>
      <c r="G139" s="13" t="s">
        <v>14</v>
      </c>
      <c r="H139" s="13" t="s">
        <v>24</v>
      </c>
      <c r="I139">
        <v>13000000</v>
      </c>
      <c r="J139" s="13">
        <v>-23</v>
      </c>
      <c r="K139">
        <v>23</v>
      </c>
      <c r="L139" s="1">
        <v>44014</v>
      </c>
      <c r="M139" t="s">
        <v>2101</v>
      </c>
      <c r="N139" t="s">
        <v>2112</v>
      </c>
    </row>
    <row r="140" spans="1:14" x14ac:dyDescent="0.25">
      <c r="A140" s="13" t="s">
        <v>1387</v>
      </c>
      <c r="B140">
        <v>1</v>
      </c>
      <c r="C140" s="13" t="s">
        <v>134</v>
      </c>
      <c r="D140" s="13" t="s">
        <v>1388</v>
      </c>
      <c r="E140" s="13" t="s">
        <v>1388</v>
      </c>
      <c r="F140">
        <v>1</v>
      </c>
      <c r="G140" s="13" t="s">
        <v>42</v>
      </c>
      <c r="H140" s="13" t="s">
        <v>38</v>
      </c>
      <c r="I140">
        <v>10500000</v>
      </c>
      <c r="J140" s="13">
        <v>3</v>
      </c>
      <c r="K140">
        <v>3</v>
      </c>
      <c r="L140" s="1">
        <v>45676</v>
      </c>
      <c r="M140" t="s">
        <v>2101</v>
      </c>
      <c r="N140" t="s">
        <v>2103</v>
      </c>
    </row>
    <row r="141" spans="1:14" x14ac:dyDescent="0.25">
      <c r="A141" s="13" t="s">
        <v>1395</v>
      </c>
      <c r="B141">
        <v>1</v>
      </c>
      <c r="C141" s="13" t="s">
        <v>719</v>
      </c>
      <c r="D141" s="13" t="s">
        <v>1396</v>
      </c>
      <c r="E141" s="13" t="s">
        <v>1396</v>
      </c>
      <c r="F141">
        <v>1</v>
      </c>
      <c r="G141" s="13" t="s">
        <v>42</v>
      </c>
      <c r="H141" s="13" t="s">
        <v>24</v>
      </c>
      <c r="I141">
        <v>5500000</v>
      </c>
      <c r="J141" s="13">
        <v>5</v>
      </c>
      <c r="K141">
        <v>5</v>
      </c>
      <c r="L141" s="1">
        <v>45398</v>
      </c>
      <c r="M141" t="s">
        <v>2101</v>
      </c>
      <c r="N141" t="s">
        <v>2103</v>
      </c>
    </row>
    <row r="142" spans="1:14" x14ac:dyDescent="0.25">
      <c r="A142" s="13" t="s">
        <v>1403</v>
      </c>
      <c r="B142">
        <v>1</v>
      </c>
      <c r="C142" s="13" t="s">
        <v>142</v>
      </c>
      <c r="D142" s="13" t="s">
        <v>1404</v>
      </c>
      <c r="E142" s="13" t="s">
        <v>1404</v>
      </c>
      <c r="F142">
        <v>1</v>
      </c>
      <c r="G142" s="13" t="s">
        <v>42</v>
      </c>
      <c r="H142" s="13" t="s">
        <v>38</v>
      </c>
      <c r="I142">
        <v>10500000</v>
      </c>
      <c r="J142" s="13">
        <v>22</v>
      </c>
      <c r="K142">
        <v>22</v>
      </c>
      <c r="L142" s="1">
        <v>45701</v>
      </c>
      <c r="M142" t="s">
        <v>2101</v>
      </c>
      <c r="N142" t="s">
        <v>2103</v>
      </c>
    </row>
    <row r="143" spans="1:14" x14ac:dyDescent="0.25">
      <c r="A143" s="13" t="s">
        <v>1419</v>
      </c>
      <c r="B143">
        <v>1</v>
      </c>
      <c r="C143" s="13" t="s">
        <v>719</v>
      </c>
      <c r="D143" s="13" t="s">
        <v>1420</v>
      </c>
      <c r="E143" s="13" t="s">
        <v>1420</v>
      </c>
      <c r="F143">
        <v>1</v>
      </c>
      <c r="G143" s="13" t="s">
        <v>14</v>
      </c>
      <c r="H143" s="13" t="s">
        <v>15</v>
      </c>
      <c r="I143">
        <v>10500000</v>
      </c>
      <c r="J143" s="13">
        <v>-30</v>
      </c>
      <c r="K143">
        <v>30</v>
      </c>
      <c r="L143" s="1">
        <v>44161</v>
      </c>
      <c r="M143" t="s">
        <v>2101</v>
      </c>
      <c r="N143" t="s">
        <v>2114</v>
      </c>
    </row>
    <row r="144" spans="1:14" x14ac:dyDescent="0.25">
      <c r="A144" s="13" t="s">
        <v>1423</v>
      </c>
      <c r="B144">
        <v>1</v>
      </c>
      <c r="C144" s="13" t="s">
        <v>115</v>
      </c>
      <c r="D144" s="13" t="s">
        <v>1424</v>
      </c>
      <c r="E144" s="13" t="s">
        <v>1424</v>
      </c>
      <c r="F144">
        <v>1</v>
      </c>
      <c r="G144" s="13" t="s">
        <v>23</v>
      </c>
      <c r="H144" s="13" t="s">
        <v>15</v>
      </c>
      <c r="I144">
        <v>6500000</v>
      </c>
      <c r="J144" s="13">
        <v>-7</v>
      </c>
      <c r="K144">
        <v>7</v>
      </c>
      <c r="L144" s="1">
        <v>45203</v>
      </c>
      <c r="M144" t="s">
        <v>2101</v>
      </c>
      <c r="N144" t="s">
        <v>2114</v>
      </c>
    </row>
    <row r="145" spans="1:14" x14ac:dyDescent="0.25">
      <c r="A145" s="13" t="s">
        <v>1429</v>
      </c>
      <c r="B145">
        <v>1</v>
      </c>
      <c r="C145" s="13" t="s">
        <v>108</v>
      </c>
      <c r="D145" s="13" t="s">
        <v>1430</v>
      </c>
      <c r="E145" s="13" t="s">
        <v>1430</v>
      </c>
      <c r="F145">
        <v>1</v>
      </c>
      <c r="G145" s="13" t="s">
        <v>14</v>
      </c>
      <c r="H145" s="13" t="s">
        <v>24</v>
      </c>
      <c r="I145">
        <v>5500000</v>
      </c>
      <c r="J145" s="13">
        <v>26</v>
      </c>
      <c r="K145">
        <v>26</v>
      </c>
      <c r="L145" s="1">
        <v>44270</v>
      </c>
      <c r="M145" t="s">
        <v>2101</v>
      </c>
      <c r="N145" t="s">
        <v>2103</v>
      </c>
    </row>
    <row r="146" spans="1:14" x14ac:dyDescent="0.25">
      <c r="A146" s="13" t="s">
        <v>1447</v>
      </c>
      <c r="B146">
        <v>1</v>
      </c>
      <c r="C146" s="13" t="s">
        <v>54</v>
      </c>
      <c r="D146" s="13" t="s">
        <v>1448</v>
      </c>
      <c r="E146" s="13" t="s">
        <v>1448</v>
      </c>
      <c r="F146">
        <v>1</v>
      </c>
      <c r="G146" s="13" t="s">
        <v>18</v>
      </c>
      <c r="H146" s="13" t="s">
        <v>38</v>
      </c>
      <c r="I146">
        <v>8000000</v>
      </c>
      <c r="J146" s="13">
        <v>19</v>
      </c>
      <c r="K146">
        <v>19</v>
      </c>
      <c r="L146" s="1">
        <v>44999</v>
      </c>
      <c r="M146" t="s">
        <v>2101</v>
      </c>
      <c r="N146" t="s">
        <v>2103</v>
      </c>
    </row>
    <row r="147" spans="1:14" x14ac:dyDescent="0.25">
      <c r="A147" s="13" t="s">
        <v>1471</v>
      </c>
      <c r="B147">
        <v>1</v>
      </c>
      <c r="C147" s="13" t="s">
        <v>1472</v>
      </c>
      <c r="D147" s="13" t="s">
        <v>1473</v>
      </c>
      <c r="E147" s="13" t="s">
        <v>1473</v>
      </c>
      <c r="F147">
        <v>1</v>
      </c>
      <c r="G147" s="13" t="s">
        <v>33</v>
      </c>
      <c r="H147" s="13" t="s">
        <v>19</v>
      </c>
      <c r="I147">
        <v>13000000</v>
      </c>
      <c r="J147" s="13">
        <v>-12</v>
      </c>
      <c r="K147">
        <v>12</v>
      </c>
      <c r="L147" s="1">
        <v>44919</v>
      </c>
      <c r="M147" t="s">
        <v>2101</v>
      </c>
      <c r="N147" t="s">
        <v>2114</v>
      </c>
    </row>
    <row r="148" spans="1:14" x14ac:dyDescent="0.25">
      <c r="A148" s="13" t="s">
        <v>1524</v>
      </c>
      <c r="B148">
        <v>1</v>
      </c>
      <c r="C148" s="13" t="s">
        <v>46</v>
      </c>
      <c r="D148" s="13" t="s">
        <v>1525</v>
      </c>
      <c r="E148" s="13" t="s">
        <v>1525</v>
      </c>
      <c r="F148">
        <v>1</v>
      </c>
      <c r="G148" s="13" t="s">
        <v>33</v>
      </c>
      <c r="H148" s="13" t="s">
        <v>38</v>
      </c>
      <c r="I148">
        <v>5500000</v>
      </c>
      <c r="J148" s="13">
        <v>-20</v>
      </c>
      <c r="K148">
        <v>20</v>
      </c>
      <c r="L148" s="1">
        <v>44994</v>
      </c>
      <c r="M148" t="s">
        <v>2101</v>
      </c>
      <c r="N148" t="s">
        <v>2112</v>
      </c>
    </row>
    <row r="149" spans="1:14" x14ac:dyDescent="0.25">
      <c r="A149" s="13" t="s">
        <v>1558</v>
      </c>
      <c r="B149">
        <v>1</v>
      </c>
      <c r="C149" s="13" t="s">
        <v>1309</v>
      </c>
      <c r="D149" s="13" t="s">
        <v>1559</v>
      </c>
      <c r="E149" s="13" t="s">
        <v>1559</v>
      </c>
      <c r="F149">
        <v>1</v>
      </c>
      <c r="G149" s="13" t="s">
        <v>37</v>
      </c>
      <c r="H149" s="13" t="s">
        <v>34</v>
      </c>
      <c r="I149">
        <v>6500000</v>
      </c>
      <c r="J149" s="13">
        <v>26</v>
      </c>
      <c r="K149">
        <v>26</v>
      </c>
      <c r="L149" s="1">
        <v>45355</v>
      </c>
      <c r="M149" t="s">
        <v>2101</v>
      </c>
      <c r="N149" t="s">
        <v>2103</v>
      </c>
    </row>
    <row r="150" spans="1:14" x14ac:dyDescent="0.25">
      <c r="A150" s="13" t="s">
        <v>1580</v>
      </c>
      <c r="B150">
        <v>1</v>
      </c>
      <c r="C150" s="13" t="s">
        <v>439</v>
      </c>
      <c r="D150" s="13" t="s">
        <v>1581</v>
      </c>
      <c r="E150" s="13" t="s">
        <v>1581</v>
      </c>
      <c r="F150">
        <v>1</v>
      </c>
      <c r="G150" s="13" t="s">
        <v>23</v>
      </c>
      <c r="H150" s="13" t="s">
        <v>38</v>
      </c>
      <c r="I150">
        <v>10500000</v>
      </c>
      <c r="J150" s="13">
        <v>-3</v>
      </c>
      <c r="K150">
        <v>3</v>
      </c>
      <c r="L150" s="1">
        <v>45190</v>
      </c>
      <c r="M150" t="s">
        <v>2101</v>
      </c>
      <c r="N150" t="s">
        <v>2112</v>
      </c>
    </row>
    <row r="151" spans="1:14" x14ac:dyDescent="0.25">
      <c r="A151" s="13" t="s">
        <v>1602</v>
      </c>
      <c r="B151">
        <v>1</v>
      </c>
      <c r="C151" s="13" t="s">
        <v>444</v>
      </c>
      <c r="D151" s="13" t="s">
        <v>1603</v>
      </c>
      <c r="E151" s="13" t="s">
        <v>1603</v>
      </c>
      <c r="F151">
        <v>1</v>
      </c>
      <c r="G151" s="13" t="s">
        <v>18</v>
      </c>
      <c r="H151" s="13" t="s">
        <v>34</v>
      </c>
      <c r="I151">
        <v>6500000</v>
      </c>
      <c r="J151" s="13">
        <v>11</v>
      </c>
      <c r="K151">
        <v>11</v>
      </c>
      <c r="L151" s="1">
        <v>44728</v>
      </c>
      <c r="M151" t="s">
        <v>2101</v>
      </c>
      <c r="N151" t="s">
        <v>2103</v>
      </c>
    </row>
    <row r="152" spans="1:14" x14ac:dyDescent="0.25">
      <c r="A152" s="13" t="s">
        <v>1622</v>
      </c>
      <c r="B152">
        <v>1</v>
      </c>
      <c r="C152" s="13" t="s">
        <v>400</v>
      </c>
      <c r="D152" s="13" t="s">
        <v>1623</v>
      </c>
      <c r="E152" s="13" t="s">
        <v>1623</v>
      </c>
      <c r="F152">
        <v>1</v>
      </c>
      <c r="G152" s="13" t="s">
        <v>33</v>
      </c>
      <c r="H152" s="13" t="s">
        <v>19</v>
      </c>
      <c r="I152">
        <v>6500000</v>
      </c>
      <c r="J152" s="13">
        <v>35</v>
      </c>
      <c r="K152">
        <v>35</v>
      </c>
      <c r="L152" s="1">
        <v>43934</v>
      </c>
      <c r="M152" t="s">
        <v>2101</v>
      </c>
      <c r="N152" t="s">
        <v>2103</v>
      </c>
    </row>
    <row r="153" spans="1:14" x14ac:dyDescent="0.25">
      <c r="A153" s="13" t="s">
        <v>1646</v>
      </c>
      <c r="B153">
        <v>1</v>
      </c>
      <c r="C153" s="13" t="s">
        <v>68</v>
      </c>
      <c r="D153" s="13" t="s">
        <v>1647</v>
      </c>
      <c r="E153" s="13" t="s">
        <v>1647</v>
      </c>
      <c r="F153">
        <v>1</v>
      </c>
      <c r="G153" s="13" t="s">
        <v>33</v>
      </c>
      <c r="H153" s="13" t="s">
        <v>34</v>
      </c>
      <c r="I153">
        <v>6500000</v>
      </c>
      <c r="J153" s="13">
        <v>7</v>
      </c>
      <c r="K153">
        <v>7</v>
      </c>
      <c r="L153" s="1">
        <v>45759</v>
      </c>
      <c r="M153" t="s">
        <v>2101</v>
      </c>
      <c r="N153" t="s">
        <v>2103</v>
      </c>
    </row>
    <row r="154" spans="1:14" x14ac:dyDescent="0.25">
      <c r="A154" s="13" t="s">
        <v>1650</v>
      </c>
      <c r="B154">
        <v>1</v>
      </c>
      <c r="C154" s="13" t="s">
        <v>174</v>
      </c>
      <c r="D154" s="13" t="s">
        <v>1651</v>
      </c>
      <c r="E154" s="13" t="s">
        <v>1651</v>
      </c>
      <c r="F154">
        <v>1</v>
      </c>
      <c r="G154" s="13" t="s">
        <v>18</v>
      </c>
      <c r="H154" s="13" t="s">
        <v>34</v>
      </c>
      <c r="I154">
        <v>10500000</v>
      </c>
      <c r="J154" s="13">
        <v>-28</v>
      </c>
      <c r="K154">
        <v>28</v>
      </c>
      <c r="L154" s="1">
        <v>45435</v>
      </c>
      <c r="M154" t="s">
        <v>2101</v>
      </c>
      <c r="N154" t="s">
        <v>2112</v>
      </c>
    </row>
    <row r="155" spans="1:14" x14ac:dyDescent="0.25">
      <c r="A155" s="13" t="s">
        <v>1662</v>
      </c>
      <c r="B155">
        <v>1</v>
      </c>
      <c r="C155" s="13" t="s">
        <v>836</v>
      </c>
      <c r="D155" s="13" t="s">
        <v>1663</v>
      </c>
      <c r="E155" s="13" t="s">
        <v>1663</v>
      </c>
      <c r="F155">
        <v>1</v>
      </c>
      <c r="G155" s="13" t="s">
        <v>33</v>
      </c>
      <c r="H155" s="13" t="s">
        <v>19</v>
      </c>
      <c r="I155">
        <v>8000000</v>
      </c>
      <c r="J155" s="13">
        <v>0</v>
      </c>
      <c r="K155">
        <v>0</v>
      </c>
      <c r="L155" s="1">
        <v>44208</v>
      </c>
      <c r="M155" t="s">
        <v>2101</v>
      </c>
      <c r="N155" t="s">
        <v>2103</v>
      </c>
    </row>
    <row r="156" spans="1:14" x14ac:dyDescent="0.25">
      <c r="A156" s="13" t="s">
        <v>1664</v>
      </c>
      <c r="B156">
        <v>1</v>
      </c>
      <c r="C156" s="13" t="s">
        <v>177</v>
      </c>
      <c r="D156" s="13" t="s">
        <v>1665</v>
      </c>
      <c r="E156" s="13" t="s">
        <v>1665</v>
      </c>
      <c r="F156">
        <v>1</v>
      </c>
      <c r="G156" s="13" t="s">
        <v>37</v>
      </c>
      <c r="H156" s="13" t="s">
        <v>24</v>
      </c>
      <c r="I156">
        <v>8000000</v>
      </c>
      <c r="J156" s="13">
        <v>-31</v>
      </c>
      <c r="K156">
        <v>31</v>
      </c>
      <c r="L156" s="1">
        <v>44878</v>
      </c>
      <c r="M156" t="s">
        <v>2101</v>
      </c>
      <c r="N156" t="s">
        <v>2112</v>
      </c>
    </row>
    <row r="157" spans="1:14" x14ac:dyDescent="0.25">
      <c r="A157" s="13" t="s">
        <v>1668</v>
      </c>
      <c r="B157">
        <v>1</v>
      </c>
      <c r="C157" s="13" t="s">
        <v>145</v>
      </c>
      <c r="D157" s="13" t="s">
        <v>1669</v>
      </c>
      <c r="E157" s="13" t="s">
        <v>1669</v>
      </c>
      <c r="F157">
        <v>1</v>
      </c>
      <c r="G157" s="13" t="s">
        <v>23</v>
      </c>
      <c r="H157" s="13" t="s">
        <v>15</v>
      </c>
      <c r="I157">
        <v>13000000</v>
      </c>
      <c r="J157" s="13">
        <v>-29</v>
      </c>
      <c r="K157">
        <v>29</v>
      </c>
      <c r="L157" s="1">
        <v>45427</v>
      </c>
      <c r="M157" t="s">
        <v>2101</v>
      </c>
      <c r="N157" t="s">
        <v>2112</v>
      </c>
    </row>
    <row r="158" spans="1:14" x14ac:dyDescent="0.25">
      <c r="A158" s="13" t="s">
        <v>1714</v>
      </c>
      <c r="B158">
        <v>1</v>
      </c>
      <c r="C158" s="13" t="s">
        <v>327</v>
      </c>
      <c r="D158" s="13" t="s">
        <v>1715</v>
      </c>
      <c r="E158" s="13" t="s">
        <v>1715</v>
      </c>
      <c r="F158">
        <v>1</v>
      </c>
      <c r="G158" s="13" t="s">
        <v>14</v>
      </c>
      <c r="H158" s="13" t="s">
        <v>34</v>
      </c>
      <c r="I158">
        <v>6500000</v>
      </c>
      <c r="J158" s="13">
        <v>35</v>
      </c>
      <c r="K158">
        <v>35</v>
      </c>
      <c r="L158" s="1">
        <v>45633</v>
      </c>
      <c r="M158" t="s">
        <v>2101</v>
      </c>
      <c r="N158" t="s">
        <v>2103</v>
      </c>
    </row>
    <row r="159" spans="1:14" x14ac:dyDescent="0.25">
      <c r="A159" s="13" t="s">
        <v>1718</v>
      </c>
      <c r="B159">
        <v>1</v>
      </c>
      <c r="C159" s="13" t="s">
        <v>340</v>
      </c>
      <c r="D159" s="13" t="s">
        <v>1719</v>
      </c>
      <c r="E159" s="13" t="s">
        <v>1719</v>
      </c>
      <c r="F159">
        <v>1</v>
      </c>
      <c r="G159" s="13" t="s">
        <v>33</v>
      </c>
      <c r="H159" s="13" t="s">
        <v>19</v>
      </c>
      <c r="I159">
        <v>5500000</v>
      </c>
      <c r="J159" s="13">
        <v>36</v>
      </c>
      <c r="K159">
        <v>36</v>
      </c>
      <c r="L159" s="1">
        <v>44727</v>
      </c>
      <c r="M159" t="s">
        <v>2101</v>
      </c>
      <c r="N159" t="s">
        <v>2103</v>
      </c>
    </row>
    <row r="160" spans="1:14" x14ac:dyDescent="0.25">
      <c r="A160" s="13" t="s">
        <v>1730</v>
      </c>
      <c r="B160">
        <v>1</v>
      </c>
      <c r="C160" s="13" t="s">
        <v>766</v>
      </c>
      <c r="D160" s="13" t="s">
        <v>1731</v>
      </c>
      <c r="E160" s="13" t="s">
        <v>1731</v>
      </c>
      <c r="F160">
        <v>1</v>
      </c>
      <c r="G160" s="13" t="s">
        <v>42</v>
      </c>
      <c r="H160" s="13" t="s">
        <v>34</v>
      </c>
      <c r="I160">
        <v>6500000</v>
      </c>
      <c r="J160" s="13">
        <v>-19</v>
      </c>
      <c r="K160">
        <v>19</v>
      </c>
      <c r="L160" s="1">
        <v>44845</v>
      </c>
      <c r="M160" t="s">
        <v>2101</v>
      </c>
      <c r="N160" t="s">
        <v>2112</v>
      </c>
    </row>
    <row r="161" spans="1:14" x14ac:dyDescent="0.25">
      <c r="A161" s="13" t="s">
        <v>1776</v>
      </c>
      <c r="B161">
        <v>1</v>
      </c>
      <c r="C161" s="13" t="s">
        <v>244</v>
      </c>
      <c r="D161" s="13" t="s">
        <v>1777</v>
      </c>
      <c r="E161" s="13" t="s">
        <v>1777</v>
      </c>
      <c r="F161">
        <v>1</v>
      </c>
      <c r="G161" s="13" t="s">
        <v>18</v>
      </c>
      <c r="H161" s="13" t="s">
        <v>15</v>
      </c>
      <c r="I161">
        <v>10500000</v>
      </c>
      <c r="J161" s="13">
        <v>-15</v>
      </c>
      <c r="K161">
        <v>15</v>
      </c>
      <c r="L161" s="1">
        <v>44586</v>
      </c>
      <c r="M161" t="s">
        <v>2101</v>
      </c>
      <c r="N161" t="s">
        <v>2112</v>
      </c>
    </row>
    <row r="162" spans="1:14" x14ac:dyDescent="0.25">
      <c r="A162" s="13" t="s">
        <v>1778</v>
      </c>
      <c r="B162">
        <v>1</v>
      </c>
      <c r="C162" s="13" t="s">
        <v>161</v>
      </c>
      <c r="D162" s="13" t="s">
        <v>1779</v>
      </c>
      <c r="E162" s="13" t="s">
        <v>1779</v>
      </c>
      <c r="F162">
        <v>1</v>
      </c>
      <c r="G162" s="13" t="s">
        <v>23</v>
      </c>
      <c r="H162" s="13" t="s">
        <v>15</v>
      </c>
      <c r="I162">
        <v>8000000</v>
      </c>
      <c r="J162" s="13">
        <v>11</v>
      </c>
      <c r="K162">
        <v>11</v>
      </c>
      <c r="L162" s="1">
        <v>45130</v>
      </c>
      <c r="M162" t="s">
        <v>2101</v>
      </c>
      <c r="N162" t="s">
        <v>2103</v>
      </c>
    </row>
    <row r="163" spans="1:14" x14ac:dyDescent="0.25">
      <c r="A163" s="13" t="s">
        <v>1784</v>
      </c>
      <c r="B163">
        <v>1</v>
      </c>
      <c r="C163" s="13" t="s">
        <v>221</v>
      </c>
      <c r="D163" s="13" t="s">
        <v>1785</v>
      </c>
      <c r="E163" s="13" t="s">
        <v>1785</v>
      </c>
      <c r="F163">
        <v>1</v>
      </c>
      <c r="G163" s="13" t="s">
        <v>23</v>
      </c>
      <c r="H163" s="13" t="s">
        <v>15</v>
      </c>
      <c r="I163">
        <v>13000000</v>
      </c>
      <c r="J163" s="13">
        <v>8</v>
      </c>
      <c r="K163">
        <v>8</v>
      </c>
      <c r="L163" s="1">
        <v>44292</v>
      </c>
      <c r="M163" t="s">
        <v>2101</v>
      </c>
      <c r="N163" t="s">
        <v>2103</v>
      </c>
    </row>
    <row r="164" spans="1:14" x14ac:dyDescent="0.25">
      <c r="A164" s="13" t="s">
        <v>1808</v>
      </c>
      <c r="B164">
        <v>1</v>
      </c>
      <c r="C164" s="13" t="s">
        <v>158</v>
      </c>
      <c r="D164" s="13" t="s">
        <v>1809</v>
      </c>
      <c r="E164" s="13" t="s">
        <v>1809</v>
      </c>
      <c r="F164">
        <v>1</v>
      </c>
      <c r="G164" s="13" t="s">
        <v>37</v>
      </c>
      <c r="H164" s="13" t="s">
        <v>24</v>
      </c>
      <c r="I164">
        <v>13000000</v>
      </c>
      <c r="J164" s="13">
        <v>30</v>
      </c>
      <c r="K164">
        <v>30</v>
      </c>
      <c r="L164" s="1">
        <v>45116</v>
      </c>
      <c r="M164" t="s">
        <v>2101</v>
      </c>
      <c r="N164" t="s">
        <v>2103</v>
      </c>
    </row>
    <row r="165" spans="1:14" x14ac:dyDescent="0.25">
      <c r="A165" s="13" t="s">
        <v>1842</v>
      </c>
      <c r="B165">
        <v>1</v>
      </c>
      <c r="C165" s="13" t="s">
        <v>369</v>
      </c>
      <c r="D165" s="13" t="s">
        <v>1843</v>
      </c>
      <c r="E165" s="13" t="s">
        <v>1843</v>
      </c>
      <c r="F165">
        <v>1</v>
      </c>
      <c r="G165" s="13" t="s">
        <v>42</v>
      </c>
      <c r="H165" s="13" t="s">
        <v>19</v>
      </c>
      <c r="I165">
        <v>8000000</v>
      </c>
      <c r="J165" s="13">
        <v>-20</v>
      </c>
      <c r="K165">
        <v>20</v>
      </c>
      <c r="L165" s="1">
        <v>45268</v>
      </c>
      <c r="M165" t="s">
        <v>2101</v>
      </c>
      <c r="N165" t="s">
        <v>2112</v>
      </c>
    </row>
    <row r="166" spans="1:14" x14ac:dyDescent="0.25">
      <c r="A166" s="13" t="s">
        <v>1868</v>
      </c>
      <c r="B166">
        <v>1</v>
      </c>
      <c r="C166" s="13" t="s">
        <v>464</v>
      </c>
      <c r="D166" s="13" t="s">
        <v>1869</v>
      </c>
      <c r="E166" s="13" t="s">
        <v>1869</v>
      </c>
      <c r="F166">
        <v>1</v>
      </c>
      <c r="G166" s="13" t="s">
        <v>23</v>
      </c>
      <c r="H166" s="13" t="s">
        <v>24</v>
      </c>
      <c r="I166">
        <v>13000000</v>
      </c>
      <c r="J166" s="13">
        <v>7</v>
      </c>
      <c r="K166">
        <v>7</v>
      </c>
      <c r="L166" s="1">
        <v>43986</v>
      </c>
      <c r="M166" t="s">
        <v>2101</v>
      </c>
      <c r="N166" t="s">
        <v>2103</v>
      </c>
    </row>
    <row r="167" spans="1:14" x14ac:dyDescent="0.25">
      <c r="A167" s="13" t="s">
        <v>1880</v>
      </c>
      <c r="B167">
        <v>1</v>
      </c>
      <c r="C167" s="13" t="s">
        <v>123</v>
      </c>
      <c r="D167" s="13" t="s">
        <v>1881</v>
      </c>
      <c r="E167" s="13" t="s">
        <v>1881</v>
      </c>
      <c r="F167">
        <v>1</v>
      </c>
      <c r="G167" s="13" t="s">
        <v>33</v>
      </c>
      <c r="H167" s="13" t="s">
        <v>38</v>
      </c>
      <c r="I167">
        <v>8000000</v>
      </c>
      <c r="J167" s="13">
        <v>-19</v>
      </c>
      <c r="K167">
        <v>19</v>
      </c>
      <c r="L167" s="1">
        <v>45634</v>
      </c>
      <c r="M167" t="s">
        <v>2101</v>
      </c>
      <c r="N167" t="s">
        <v>2112</v>
      </c>
    </row>
    <row r="168" spans="1:14" x14ac:dyDescent="0.25">
      <c r="A168" s="13" t="s">
        <v>1884</v>
      </c>
      <c r="B168">
        <v>1</v>
      </c>
      <c r="C168" s="13" t="s">
        <v>171</v>
      </c>
      <c r="D168" s="13" t="s">
        <v>1885</v>
      </c>
      <c r="E168" s="13" t="s">
        <v>1885</v>
      </c>
      <c r="F168">
        <v>1</v>
      </c>
      <c r="G168" s="13" t="s">
        <v>42</v>
      </c>
      <c r="H168" s="13" t="s">
        <v>15</v>
      </c>
      <c r="I168">
        <v>10500000</v>
      </c>
      <c r="J168" s="13">
        <v>3</v>
      </c>
      <c r="K168">
        <v>3</v>
      </c>
      <c r="L168" s="1">
        <v>45507</v>
      </c>
      <c r="M168" t="s">
        <v>2101</v>
      </c>
      <c r="N168" t="s">
        <v>2103</v>
      </c>
    </row>
    <row r="169" spans="1:14" x14ac:dyDescent="0.25">
      <c r="A169" s="13" t="s">
        <v>1888</v>
      </c>
      <c r="B169">
        <v>1</v>
      </c>
      <c r="C169" s="13" t="s">
        <v>643</v>
      </c>
      <c r="D169" s="13" t="s">
        <v>1889</v>
      </c>
      <c r="E169" s="13" t="s">
        <v>1889</v>
      </c>
      <c r="F169">
        <v>1</v>
      </c>
      <c r="G169" s="13" t="s">
        <v>42</v>
      </c>
      <c r="H169" s="13" t="s">
        <v>19</v>
      </c>
      <c r="I169">
        <v>10500000</v>
      </c>
      <c r="J169" s="13">
        <v>-36</v>
      </c>
      <c r="K169">
        <v>36</v>
      </c>
      <c r="L169" s="1">
        <v>44628</v>
      </c>
      <c r="M169" t="s">
        <v>2101</v>
      </c>
      <c r="N169" t="s">
        <v>2112</v>
      </c>
    </row>
    <row r="170" spans="1:14" x14ac:dyDescent="0.25">
      <c r="A170" s="13" t="s">
        <v>1894</v>
      </c>
      <c r="B170">
        <v>1</v>
      </c>
      <c r="C170" s="13" t="s">
        <v>270</v>
      </c>
      <c r="D170" s="13" t="s">
        <v>1895</v>
      </c>
      <c r="E170" s="13" t="s">
        <v>1895</v>
      </c>
      <c r="F170">
        <v>1</v>
      </c>
      <c r="G170" s="13" t="s">
        <v>37</v>
      </c>
      <c r="H170" s="13" t="s">
        <v>19</v>
      </c>
      <c r="I170">
        <v>6500000</v>
      </c>
      <c r="J170" s="13">
        <v>34</v>
      </c>
      <c r="K170">
        <v>34</v>
      </c>
      <c r="L170" s="1">
        <v>45047</v>
      </c>
      <c r="M170" t="s">
        <v>2101</v>
      </c>
      <c r="N170" t="s">
        <v>2103</v>
      </c>
    </row>
    <row r="171" spans="1:14" x14ac:dyDescent="0.25">
      <c r="A171" s="13" t="s">
        <v>1896</v>
      </c>
      <c r="B171">
        <v>1</v>
      </c>
      <c r="C171" s="13" t="s">
        <v>123</v>
      </c>
      <c r="D171" s="13" t="s">
        <v>1897</v>
      </c>
      <c r="E171" s="13" t="s">
        <v>1897</v>
      </c>
      <c r="F171">
        <v>1</v>
      </c>
      <c r="G171" s="13" t="s">
        <v>23</v>
      </c>
      <c r="H171" s="13" t="s">
        <v>24</v>
      </c>
      <c r="I171">
        <v>8000000</v>
      </c>
      <c r="J171" s="13">
        <v>-36</v>
      </c>
      <c r="K171">
        <v>36</v>
      </c>
      <c r="L171" s="1">
        <v>44338</v>
      </c>
      <c r="M171" t="s">
        <v>2101</v>
      </c>
      <c r="N171" t="s">
        <v>2112</v>
      </c>
    </row>
    <row r="172" spans="1:14" x14ac:dyDescent="0.25">
      <c r="A172" s="13" t="s">
        <v>1902</v>
      </c>
      <c r="B172">
        <v>1</v>
      </c>
      <c r="C172" s="13" t="s">
        <v>177</v>
      </c>
      <c r="D172" s="13" t="s">
        <v>1903</v>
      </c>
      <c r="E172" s="13" t="s">
        <v>1903</v>
      </c>
      <c r="F172">
        <v>1</v>
      </c>
      <c r="G172" s="13" t="s">
        <v>37</v>
      </c>
      <c r="H172" s="13" t="s">
        <v>15</v>
      </c>
      <c r="I172">
        <v>13000000</v>
      </c>
      <c r="J172" s="13">
        <v>0</v>
      </c>
      <c r="K172">
        <v>0</v>
      </c>
      <c r="L172" s="1">
        <v>44619</v>
      </c>
      <c r="M172" t="s">
        <v>2101</v>
      </c>
      <c r="N172" t="s">
        <v>2103</v>
      </c>
    </row>
    <row r="173" spans="1:14" x14ac:dyDescent="0.25">
      <c r="A173" s="13" t="s">
        <v>1904</v>
      </c>
      <c r="B173">
        <v>1</v>
      </c>
      <c r="C173" s="13" t="s">
        <v>771</v>
      </c>
      <c r="D173" s="13" t="s">
        <v>1905</v>
      </c>
      <c r="E173" s="13" t="s">
        <v>1905</v>
      </c>
      <c r="F173">
        <v>1</v>
      </c>
      <c r="G173" s="13" t="s">
        <v>42</v>
      </c>
      <c r="H173" s="13" t="s">
        <v>38</v>
      </c>
      <c r="I173">
        <v>10500000</v>
      </c>
      <c r="J173" s="13">
        <v>30</v>
      </c>
      <c r="K173">
        <v>30</v>
      </c>
      <c r="L173" s="1">
        <v>44535</v>
      </c>
      <c r="M173" t="s">
        <v>2101</v>
      </c>
      <c r="N173" t="s">
        <v>2103</v>
      </c>
    </row>
    <row r="174" spans="1:14" x14ac:dyDescent="0.25">
      <c r="A174" s="13" t="s">
        <v>1932</v>
      </c>
      <c r="B174">
        <v>1</v>
      </c>
      <c r="C174" s="13" t="s">
        <v>1472</v>
      </c>
      <c r="D174" s="13" t="s">
        <v>1933</v>
      </c>
      <c r="E174" s="13" t="s">
        <v>1933</v>
      </c>
      <c r="F174">
        <v>1</v>
      </c>
      <c r="G174" s="13" t="s">
        <v>33</v>
      </c>
      <c r="H174" s="13" t="s">
        <v>19</v>
      </c>
      <c r="I174">
        <v>6500000</v>
      </c>
      <c r="J174" s="13">
        <v>-27</v>
      </c>
      <c r="K174">
        <v>27</v>
      </c>
      <c r="L174" s="1">
        <v>44197</v>
      </c>
      <c r="M174" t="s">
        <v>2101</v>
      </c>
      <c r="N174" t="s">
        <v>2112</v>
      </c>
    </row>
    <row r="175" spans="1:14" x14ac:dyDescent="0.25">
      <c r="A175" s="13" t="s">
        <v>1978</v>
      </c>
      <c r="B175">
        <v>1</v>
      </c>
      <c r="C175" s="13" t="s">
        <v>142</v>
      </c>
      <c r="D175" s="13" t="s">
        <v>1979</v>
      </c>
      <c r="E175" s="13" t="s">
        <v>1979</v>
      </c>
      <c r="F175">
        <v>1</v>
      </c>
      <c r="G175" s="13" t="s">
        <v>23</v>
      </c>
      <c r="H175" s="13" t="s">
        <v>38</v>
      </c>
      <c r="I175">
        <v>10500000</v>
      </c>
      <c r="J175" s="13">
        <v>-17</v>
      </c>
      <c r="K175">
        <v>17</v>
      </c>
      <c r="L175" s="1">
        <v>44327</v>
      </c>
      <c r="M175" t="s">
        <v>2101</v>
      </c>
      <c r="N175" t="s">
        <v>2112</v>
      </c>
    </row>
    <row r="176" spans="1:14" x14ac:dyDescent="0.25">
      <c r="A176" s="13" t="s">
        <v>2004</v>
      </c>
      <c r="B176">
        <v>1</v>
      </c>
      <c r="C176" s="13" t="s">
        <v>180</v>
      </c>
      <c r="D176" s="13" t="s">
        <v>2005</v>
      </c>
      <c r="E176" s="13" t="s">
        <v>2005</v>
      </c>
      <c r="F176">
        <v>1</v>
      </c>
      <c r="G176" s="13" t="s">
        <v>14</v>
      </c>
      <c r="H176" s="13" t="s">
        <v>38</v>
      </c>
      <c r="I176">
        <v>5500000</v>
      </c>
      <c r="J176" s="13">
        <v>34</v>
      </c>
      <c r="K176">
        <v>34</v>
      </c>
      <c r="L176" s="1">
        <v>45462</v>
      </c>
      <c r="M176" t="s">
        <v>2101</v>
      </c>
      <c r="N176" t="s">
        <v>2103</v>
      </c>
    </row>
    <row r="177" spans="1:14" x14ac:dyDescent="0.25">
      <c r="A177" s="13" t="s">
        <v>2018</v>
      </c>
      <c r="B177">
        <v>1</v>
      </c>
      <c r="C177" s="13" t="s">
        <v>400</v>
      </c>
      <c r="D177" s="13" t="s">
        <v>2019</v>
      </c>
      <c r="E177" s="13" t="s">
        <v>2019</v>
      </c>
      <c r="F177">
        <v>1</v>
      </c>
      <c r="G177" s="13" t="s">
        <v>23</v>
      </c>
      <c r="H177" s="13" t="s">
        <v>15</v>
      </c>
      <c r="I177">
        <v>13000000</v>
      </c>
      <c r="J177" s="13">
        <v>15</v>
      </c>
      <c r="K177">
        <v>15</v>
      </c>
      <c r="L177" s="1">
        <v>45580</v>
      </c>
      <c r="M177" t="s">
        <v>2101</v>
      </c>
      <c r="N177" t="s">
        <v>2103</v>
      </c>
    </row>
    <row r="178" spans="1:14" x14ac:dyDescent="0.25">
      <c r="A178" s="13" t="s">
        <v>2080</v>
      </c>
      <c r="B178">
        <v>1</v>
      </c>
      <c r="C178" s="13" t="s">
        <v>118</v>
      </c>
      <c r="D178" s="13" t="s">
        <v>2081</v>
      </c>
      <c r="E178" s="13" t="s">
        <v>2081</v>
      </c>
      <c r="F178">
        <v>1</v>
      </c>
      <c r="G178" s="13" t="s">
        <v>37</v>
      </c>
      <c r="H178" s="13" t="s">
        <v>24</v>
      </c>
      <c r="I178">
        <v>13000000</v>
      </c>
      <c r="J178" s="13">
        <v>-28</v>
      </c>
      <c r="K178">
        <v>28</v>
      </c>
      <c r="L178" s="1">
        <v>45020</v>
      </c>
      <c r="M178" t="s">
        <v>2101</v>
      </c>
      <c r="N178" t="s">
        <v>2112</v>
      </c>
    </row>
    <row r="179" spans="1:14" x14ac:dyDescent="0.25">
      <c r="A179" s="13" t="s">
        <v>2088</v>
      </c>
      <c r="B179">
        <v>1</v>
      </c>
      <c r="C179" s="13" t="s">
        <v>40</v>
      </c>
      <c r="D179" s="13" t="s">
        <v>2089</v>
      </c>
      <c r="E179" s="13" t="s">
        <v>2089</v>
      </c>
      <c r="F179">
        <v>1</v>
      </c>
      <c r="G179" s="13" t="s">
        <v>14</v>
      </c>
      <c r="H179" s="13" t="s">
        <v>38</v>
      </c>
      <c r="I179">
        <v>10500000</v>
      </c>
      <c r="J179" s="13">
        <v>-37</v>
      </c>
      <c r="K179">
        <v>37</v>
      </c>
      <c r="L179" s="1">
        <v>45967</v>
      </c>
      <c r="M179" t="s">
        <v>2101</v>
      </c>
      <c r="N179" t="s">
        <v>2112</v>
      </c>
    </row>
    <row r="180" spans="1:14" x14ac:dyDescent="0.25">
      <c r="A180" s="13" t="s">
        <v>2094</v>
      </c>
      <c r="B180">
        <v>1</v>
      </c>
      <c r="C180" s="13" t="s">
        <v>244</v>
      </c>
      <c r="D180" s="13" t="s">
        <v>2095</v>
      </c>
      <c r="E180" s="13" t="s">
        <v>2095</v>
      </c>
      <c r="F180">
        <v>1</v>
      </c>
      <c r="G180" s="13" t="s">
        <v>14</v>
      </c>
      <c r="H180" s="13" t="s">
        <v>24</v>
      </c>
      <c r="I180">
        <v>6500000</v>
      </c>
      <c r="J180" s="13">
        <v>19</v>
      </c>
      <c r="K180">
        <v>19</v>
      </c>
      <c r="L180" s="1">
        <v>45678</v>
      </c>
      <c r="M180" t="s">
        <v>2101</v>
      </c>
      <c r="N180" t="s">
        <v>2103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B0D4914-0185-47DF-96AB-07B2BB7B1BD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Result_Audit</vt:lpstr>
      <vt:lpstr>HR_Payroll_Raw_Data</vt:lpstr>
      <vt:lpstr>HR_Payroll_ReadyUse</vt:lpstr>
      <vt:lpstr>HR_Payroll_Defect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Syafiq Akbar</dc:creator>
  <cp:lastModifiedBy>Syafiq Akbar</cp:lastModifiedBy>
  <dcterms:created xsi:type="dcterms:W3CDTF">2026-10-18T07:10:46Z</dcterms:created>
  <dcterms:modified xsi:type="dcterms:W3CDTF">2026-10-19T07:59:08Z</dcterms:modified>
</cp:coreProperties>
</file>