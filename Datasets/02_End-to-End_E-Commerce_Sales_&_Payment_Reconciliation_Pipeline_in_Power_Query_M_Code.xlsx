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d6f0988300436/Dokumen/Portofolio/"/>
    </mc:Choice>
  </mc:AlternateContent>
  <xr:revisionPtr revIDLastSave="9" documentId="13_ncr:1_{A1FACEBD-2AE7-463B-B849-4B6D0C025FCA}" xr6:coauthVersionLast="47" xr6:coauthVersionMax="47" xr10:uidLastSave="{AF64A85B-DAEA-404A-BC2E-6A09CEF34088}"/>
  <bookViews>
    <workbookView xWindow="-120" yWindow="-120" windowWidth="19440" windowHeight="11640" xr2:uid="{39A77BE5-4410-46C0-AE60-18F32E5DB5DB}"/>
  </bookViews>
  <sheets>
    <sheet name="Result_Audit" sheetId="1" r:id="rId1"/>
    <sheet name="DataOrder_Raw_Data" sheetId="4" r:id="rId2"/>
    <sheet name="DataOrder_ReadyUse" sheetId="5" r:id="rId3"/>
    <sheet name="DataOrder_Defect" sheetId="3" r:id="rId4"/>
  </sheets>
  <definedNames>
    <definedName name="ExternalData_1" localSheetId="1" hidden="1">DataOrder_Raw_Data!$A$1:$J$1001</definedName>
    <definedName name="ExternalData_2" localSheetId="3" hidden="1">DataOrder_Defect!$A$1:$P$134</definedName>
    <definedName name="ExternalData_3" localSheetId="2" hidden="1">DataOrder_ReadyUse!$A$1:$K$868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D7" i="1" s="1"/>
  <c r="A3" i="1"/>
  <c r="C3" i="1"/>
  <c r="D11" i="1" l="1"/>
  <c r="D15" i="1"/>
  <c r="D8" i="1"/>
  <c r="D12" i="1"/>
  <c r="D10" i="1"/>
  <c r="D14" i="1"/>
  <c r="E3" i="1"/>
  <c r="D9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90687-1C65-40A5-86AC-1CC01D5114AD}" keepAlive="1" name="Query - DataOrder_Defect" description="Connection to the 'DataOrder_Defect' query in the workbook." type="5" refreshedVersion="8" background="1" saveData="1">
    <dbPr connection="Provider=Microsoft.Mashup.OleDb.1;Data Source=$Workbook$;Location=DataOrder_Defect;Extended Properties=&quot;&quot;" command="SELECT * FROM [DataOrder_Defect]"/>
  </connection>
  <connection id="2" xr16:uid="{EB744ED3-EF7A-4BBD-8BED-A451273F38B2}" keepAlive="1" name="Query - DataOrder_Raw_Data" description="Connection to the 'DataOrder_Raw_Data' query in the workbook." type="5" refreshedVersion="8" background="1" saveData="1">
    <dbPr connection="Provider=Microsoft.Mashup.OleDb.1;Data Source=$Workbook$;Location=DataOrder_Raw_Data;Extended Properties=&quot;&quot;" command="SELECT * FROM [DataOrder_Raw_Data]"/>
  </connection>
  <connection id="3" xr16:uid="{CDE82B60-EDAF-4004-96D1-8A217EDFB896}" keepAlive="1" name="Query - DataOrder_ReadyUse" description="Connection to the 'DataOrder_ReadyUse' query in the workbook." type="5" refreshedVersion="8" background="1" saveData="1">
    <dbPr connection="Provider=Microsoft.Mashup.OleDb.1;Data Source=$Workbook$;Location=DataOrder_ReadyUse;Extended Properties=&quot;&quot;" command="SELECT * FROM [DataOrder_ReadyUse]"/>
  </connection>
</connections>
</file>

<file path=xl/sharedStrings.xml><?xml version="1.0" encoding="utf-8"?>
<sst xmlns="http://schemas.openxmlformats.org/spreadsheetml/2006/main" count="12560" uniqueCount="1484">
  <si>
    <t>Order_ID</t>
  </si>
  <si>
    <t>ORD-2026-00001</t>
  </si>
  <si>
    <t>SHOPEE</t>
  </si>
  <si>
    <t>CREDIT CARD</t>
  </si>
  <si>
    <t>MUESLI OATS FRUIT MIX 500G</t>
  </si>
  <si>
    <t>REFUNDED</t>
  </si>
  <si>
    <t>ORD-2026-00002</t>
  </si>
  <si>
    <t>TIKTOK SHOP</t>
  </si>
  <si>
    <t>GOPAY</t>
  </si>
  <si>
    <t>SAFFRON EDP PERFUME 50ML</t>
  </si>
  <si>
    <t>CANCELLED</t>
  </si>
  <si>
    <t>ORD-2026-00003</t>
  </si>
  <si>
    <t>WEBSITE DIRECT</t>
  </si>
  <si>
    <t>BCA VIRTUAL ACCOUNT</t>
  </si>
  <si>
    <t>2026-06-01</t>
  </si>
  <si>
    <t>ORD-2026-00004</t>
  </si>
  <si>
    <t>ORD-2026-00005</t>
  </si>
  <si>
    <t>BANK TRANSFER</t>
  </si>
  <si>
    <t>ROTI BAKAR PREMIUM SPREAD</t>
  </si>
  <si>
    <t>03/03/2026</t>
  </si>
  <si>
    <t>PENDING</t>
  </si>
  <si>
    <t>ORD-2026-00006</t>
  </si>
  <si>
    <t>INVALID_DATE</t>
  </si>
  <si>
    <t>ORD-2026-00007</t>
  </si>
  <si>
    <t>ORD-2026-00008</t>
  </si>
  <si>
    <t>TOKOPEDIA</t>
  </si>
  <si>
    <t>ORD-2026-00009</t>
  </si>
  <si>
    <t>SHOPEEPAY</t>
  </si>
  <si>
    <t>ORD-2026-00010</t>
  </si>
  <si>
    <t>QRIS</t>
  </si>
  <si>
    <t>DEODORANT NATURAL ROLL-ON 50ML</t>
  </si>
  <si>
    <t>ORD-2026-00011</t>
  </si>
  <si>
    <t>KOPI KENANGAN BLEND 250G</t>
  </si>
  <si>
    <t>COMPLETED</t>
  </si>
  <si>
    <t>ORD-2026-00012</t>
  </si>
  <si>
    <t>ORD-2026-00013</t>
  </si>
  <si>
    <t>2026-03-23</t>
  </si>
  <si>
    <t>ORD-2026-00014</t>
  </si>
  <si>
    <t>ORD-2026-00015</t>
  </si>
  <si>
    <t>2026-05-19</t>
  </si>
  <si>
    <t>ORD-2026-00016</t>
  </si>
  <si>
    <t>ORD-2026-00017</t>
  </si>
  <si>
    <t>ORD-2026-00018</t>
  </si>
  <si>
    <t>2026-05-05</t>
  </si>
  <si>
    <t>ORD-2026-00019</t>
  </si>
  <si>
    <t>ORD-2026-00020</t>
  </si>
  <si>
    <t>2026-05-17</t>
  </si>
  <si>
    <t>ORD-2026-00021</t>
  </si>
  <si>
    <t>ORD-2026-00022</t>
  </si>
  <si>
    <t>ORD-2026-00023</t>
  </si>
  <si>
    <t>ORD-2026-00024</t>
  </si>
  <si>
    <t>2026-05-06</t>
  </si>
  <si>
    <t>ORD-2026-00025</t>
  </si>
  <si>
    <t>ORD-2026-00026</t>
  </si>
  <si>
    <t>ORD-2026-00027</t>
  </si>
  <si>
    <t>ORD-2026-00028</t>
  </si>
  <si>
    <t>2026-07-22</t>
  </si>
  <si>
    <t>ORD-2026-00029</t>
  </si>
  <si>
    <t>ORD-2026-00030</t>
  </si>
  <si>
    <t>ORD-2026-00031</t>
  </si>
  <si>
    <t>ORD-2026-00032</t>
  </si>
  <si>
    <t>2026-01-18</t>
  </si>
  <si>
    <t>ORD-2026-00033</t>
  </si>
  <si>
    <t>ORD-2026-00034</t>
  </si>
  <si>
    <t>ORD-2026-00035</t>
  </si>
  <si>
    <t>2026-05-20</t>
  </si>
  <si>
    <t>ORD-2026-00036</t>
  </si>
  <si>
    <t>ORD-2026-00037</t>
  </si>
  <si>
    <t>ORD-2026-00038</t>
  </si>
  <si>
    <t>ORD-2026-00039</t>
  </si>
  <si>
    <t>ORD-2026-00040</t>
  </si>
  <si>
    <t>ORD-2026-00041</t>
  </si>
  <si>
    <t>ORD-2026-00042</t>
  </si>
  <si>
    <t>2026-07-17</t>
  </si>
  <si>
    <t>ORD-2026-00043</t>
  </si>
  <si>
    <t>ORD-2026-00044</t>
  </si>
  <si>
    <t>2026-01-17</t>
  </si>
  <si>
    <t>ORD-2026-00045</t>
  </si>
  <si>
    <t>ORD-2026-00046</t>
  </si>
  <si>
    <t>ORD-2026-00047</t>
  </si>
  <si>
    <t>2026-02-23</t>
  </si>
  <si>
    <t>ORD-2026-00048</t>
  </si>
  <si>
    <t>ORD-2026-00049</t>
  </si>
  <si>
    <t>ORD-2026-00050</t>
  </si>
  <si>
    <t>2026-02-10</t>
  </si>
  <si>
    <t>ORD-2026-00051</t>
  </si>
  <si>
    <t>ORD-2026-00052</t>
  </si>
  <si>
    <t>ORD-2026-00053</t>
  </si>
  <si>
    <t>ORD-2026-00054</t>
  </si>
  <si>
    <t>ORD-2026-00055</t>
  </si>
  <si>
    <t>ORD-2026-00056</t>
  </si>
  <si>
    <t>ORD-2026-00057</t>
  </si>
  <si>
    <t>UNKNOWN</t>
  </si>
  <si>
    <t>2026-04-12</t>
  </si>
  <si>
    <t>ORD-2026-00058</t>
  </si>
  <si>
    <t>ORD-2026-00059</t>
  </si>
  <si>
    <t>ORD-2026-00060</t>
  </si>
  <si>
    <t>ORD-2026-00061</t>
  </si>
  <si>
    <t>ORD-2026-00062</t>
  </si>
  <si>
    <t>ORD-2026-00063</t>
  </si>
  <si>
    <t>ORD-2026-00064</t>
  </si>
  <si>
    <t>ORD-2026-00065</t>
  </si>
  <si>
    <t>ORD-2026-00066</t>
  </si>
  <si>
    <t>ORD-2026-00067</t>
  </si>
  <si>
    <t>ORD-2026-00068</t>
  </si>
  <si>
    <t>ORD-2026-00069</t>
  </si>
  <si>
    <t>ORD-2026-00070</t>
  </si>
  <si>
    <t>ORD-2026-00071</t>
  </si>
  <si>
    <t>ORD-2026-00072</t>
  </si>
  <si>
    <t>ORD-2026-00073</t>
  </si>
  <si>
    <t>ORD-2026-00074</t>
  </si>
  <si>
    <t>ORD-2026-00075</t>
  </si>
  <si>
    <t>ORD-2026-00076</t>
  </si>
  <si>
    <t>2026-04-04</t>
  </si>
  <si>
    <t>ORD-2026-00077</t>
  </si>
  <si>
    <t>2026-01-14</t>
  </si>
  <si>
    <t>ORD-2026-00078</t>
  </si>
  <si>
    <t>ORD-2026-00079</t>
  </si>
  <si>
    <t>ORD-2026-00080</t>
  </si>
  <si>
    <t>14/04/2026</t>
  </si>
  <si>
    <t>ORD-2026-00082</t>
  </si>
  <si>
    <t>ORD-2026-00083</t>
  </si>
  <si>
    <t>ORD-2026-00084</t>
  </si>
  <si>
    <t>ORD-2026-00085</t>
  </si>
  <si>
    <t>ORD-2026-00086</t>
  </si>
  <si>
    <t>ORD-2026-00087</t>
  </si>
  <si>
    <t>ORD-2026-00088</t>
  </si>
  <si>
    <t>ORD-2026-00089</t>
  </si>
  <si>
    <t>ORD-2026-00090</t>
  </si>
  <si>
    <t>ORD-2026-00091</t>
  </si>
  <si>
    <t>ORD-2026-00092</t>
  </si>
  <si>
    <t>ORD-2026-00093</t>
  </si>
  <si>
    <t>2026-06-05</t>
  </si>
  <si>
    <t>ORD-2026-00094</t>
  </si>
  <si>
    <t>ORD-2026-00095</t>
  </si>
  <si>
    <t>ORD-2026-00096</t>
  </si>
  <si>
    <t>ORD-2026-00097</t>
  </si>
  <si>
    <t>ORD-2026-00098</t>
  </si>
  <si>
    <t>2026-08-17</t>
  </si>
  <si>
    <t>ORD-2026-00099</t>
  </si>
  <si>
    <t>ORD-2026-00100</t>
  </si>
  <si>
    <t>ORD-2026-00101</t>
  </si>
  <si>
    <t>ORD-2026-00102</t>
  </si>
  <si>
    <t>ORD-2026-00103</t>
  </si>
  <si>
    <t>ORD-2026-00104</t>
  </si>
  <si>
    <t>ORD-2026-00105</t>
  </si>
  <si>
    <t>ORD-2026-00106</t>
  </si>
  <si>
    <t>ORD-2026-00107</t>
  </si>
  <si>
    <t>ORD-2026-00108</t>
  </si>
  <si>
    <t>ORD-2026-00109</t>
  </si>
  <si>
    <t>ORD-2026-00110</t>
  </si>
  <si>
    <t>ORD-2026-00111</t>
  </si>
  <si>
    <t>2026-04-11</t>
  </si>
  <si>
    <t>ORD-2026-00112</t>
  </si>
  <si>
    <t>ORD-2026-00113</t>
  </si>
  <si>
    <t>ORD-2026-00114</t>
  </si>
  <si>
    <t>2026-02-06</t>
  </si>
  <si>
    <t>ORD-2026-00115</t>
  </si>
  <si>
    <t>ORD-2026-00116</t>
  </si>
  <si>
    <t>ORD-2026-00117</t>
  </si>
  <si>
    <t>ORD-2026-00118</t>
  </si>
  <si>
    <t>ORD-2026-00120</t>
  </si>
  <si>
    <t>ORD-2026-00121</t>
  </si>
  <si>
    <t>ORD-2026-00122</t>
  </si>
  <si>
    <t>ORD-2026-00123</t>
  </si>
  <si>
    <t>ORD-2026-00124</t>
  </si>
  <si>
    <t>ORD-2026-00125</t>
  </si>
  <si>
    <t>ORD-2026-00126</t>
  </si>
  <si>
    <t>ORD-2026-00127</t>
  </si>
  <si>
    <t>ORD-2026-00128</t>
  </si>
  <si>
    <t>ORD-2026-00129</t>
  </si>
  <si>
    <t>ORD-2026-00130</t>
  </si>
  <si>
    <t>ORD-2026-00131</t>
  </si>
  <si>
    <t>ORD-2026-00133</t>
  </si>
  <si>
    <t>ORD-2026-00134</t>
  </si>
  <si>
    <t>ORD-2026-00135</t>
  </si>
  <si>
    <t>ORD-2026-00136</t>
  </si>
  <si>
    <t>ORD-2026-00137</t>
  </si>
  <si>
    <t>ORD-2026-00138</t>
  </si>
  <si>
    <t>ORD-2026-00139</t>
  </si>
  <si>
    <t>ORD-2026-00140</t>
  </si>
  <si>
    <t>ORD-2026-00141</t>
  </si>
  <si>
    <t>ORD-2026-00142</t>
  </si>
  <si>
    <t>2026-02-01</t>
  </si>
  <si>
    <t>ORD-2026-00143</t>
  </si>
  <si>
    <t>ORD-2026-00144</t>
  </si>
  <si>
    <t>ORD-2026-00145</t>
  </si>
  <si>
    <t>ORD-2026-00146</t>
  </si>
  <si>
    <t>ORD-2026-00147</t>
  </si>
  <si>
    <t>ORD-2026-00148</t>
  </si>
  <si>
    <t>ORD-2026-00149</t>
  </si>
  <si>
    <t>ORD-2026-00150</t>
  </si>
  <si>
    <t>ORD-2026-00151</t>
  </si>
  <si>
    <t>ORD-2026-00152</t>
  </si>
  <si>
    <t>ORD-2026-00153</t>
  </si>
  <si>
    <t>2026-01-12</t>
  </si>
  <si>
    <t>ORD-2026-00154</t>
  </si>
  <si>
    <t>ORD-2026-00155</t>
  </si>
  <si>
    <t>ORD-2026-00156</t>
  </si>
  <si>
    <t>ORD-2026-00157</t>
  </si>
  <si>
    <t>ORD-2026-00158</t>
  </si>
  <si>
    <t>ORD-2026-00159</t>
  </si>
  <si>
    <t>ORD-2026-00160</t>
  </si>
  <si>
    <t>2026-08-04</t>
  </si>
  <si>
    <t>ORD-2026-00161</t>
  </si>
  <si>
    <t>ORD-2026-00162</t>
  </si>
  <si>
    <t>ORD-2026-00163</t>
  </si>
  <si>
    <t>ORD-2026-00164</t>
  </si>
  <si>
    <t>ORD-2026-00165</t>
  </si>
  <si>
    <t>ORD-2026-00166</t>
  </si>
  <si>
    <t>ORD-2026-00167</t>
  </si>
  <si>
    <t>ORD-2026-00168</t>
  </si>
  <si>
    <t>ORD-2026-00169</t>
  </si>
  <si>
    <t>ORD-2026-00170</t>
  </si>
  <si>
    <t>ORD-2026-00171</t>
  </si>
  <si>
    <t>ORD-2026-00172</t>
  </si>
  <si>
    <t>ORD-2026-00173</t>
  </si>
  <si>
    <t>ORD-2026-00174</t>
  </si>
  <si>
    <t>20/01/2026</t>
  </si>
  <si>
    <t>ORD-2026-00176</t>
  </si>
  <si>
    <t>2026-06-16</t>
  </si>
  <si>
    <t>ORD-2026-00177</t>
  </si>
  <si>
    <t>ORD-2026-00178</t>
  </si>
  <si>
    <t>ORD-2026-00179</t>
  </si>
  <si>
    <t>ORD-2026-00180</t>
  </si>
  <si>
    <t>ORD-2026-00181</t>
  </si>
  <si>
    <t>ORD-2026-00182</t>
  </si>
  <si>
    <t>ORD-2026-00183</t>
  </si>
  <si>
    <t>ORD-2026-00184</t>
  </si>
  <si>
    <t>ORD-2026-00185</t>
  </si>
  <si>
    <t>ORD-2026-00186</t>
  </si>
  <si>
    <t>ORD-2026-00187</t>
  </si>
  <si>
    <t>ORD-2026-00188</t>
  </si>
  <si>
    <t>ORD-2026-00189</t>
  </si>
  <si>
    <t>ORD-2026-00190</t>
  </si>
  <si>
    <t>ORD-2026-00191</t>
  </si>
  <si>
    <t>ORD-2026-00192</t>
  </si>
  <si>
    <t>ORD-2026-00193</t>
  </si>
  <si>
    <t>2026-07-21</t>
  </si>
  <si>
    <t>ORD-2026-00195</t>
  </si>
  <si>
    <t>ORD-2026-00196</t>
  </si>
  <si>
    <t>ORD-2026-00197</t>
  </si>
  <si>
    <t>ORD-2026-00198</t>
  </si>
  <si>
    <t>ORD-2026-00199</t>
  </si>
  <si>
    <t>ORD-2026-00200</t>
  </si>
  <si>
    <t>ORD-2026-00201</t>
  </si>
  <si>
    <t>ORD-2026-00202</t>
  </si>
  <si>
    <t>ORD-2026-00203</t>
  </si>
  <si>
    <t>ORD-2026-00204</t>
  </si>
  <si>
    <t>ORD-2026-00205</t>
  </si>
  <si>
    <t>ORD-2026-00206</t>
  </si>
  <si>
    <t>ORD-2026-00207</t>
  </si>
  <si>
    <t>ORD-2026-00208</t>
  </si>
  <si>
    <t>ORD-2026-00209</t>
  </si>
  <si>
    <t>ORD-2026-00210</t>
  </si>
  <si>
    <t>ORD-2026-00211</t>
  </si>
  <si>
    <t>ORD-2026-00212</t>
  </si>
  <si>
    <t>ORD-2026-00213</t>
  </si>
  <si>
    <t>ORD-2026-00214</t>
  </si>
  <si>
    <t>ORD-2026-00215</t>
  </si>
  <si>
    <t>ORD-2026-00216</t>
  </si>
  <si>
    <t>2026-04-05</t>
  </si>
  <si>
    <t>ORD-2026-00217</t>
  </si>
  <si>
    <t>2026-05-13</t>
  </si>
  <si>
    <t>ORD-2026-00218</t>
  </si>
  <si>
    <t>ORD-2026-00219</t>
  </si>
  <si>
    <t>ORD-2026-00220</t>
  </si>
  <si>
    <t>2026-05-03</t>
  </si>
  <si>
    <t>ORD-2026-00221</t>
  </si>
  <si>
    <t>ORD-2026-00222</t>
  </si>
  <si>
    <t>ORD-2026-00223</t>
  </si>
  <si>
    <t>2026-01-02</t>
  </si>
  <si>
    <t>ORD-2026-00224</t>
  </si>
  <si>
    <t>ORD-2026-00225</t>
  </si>
  <si>
    <t>ORD-2026-00226</t>
  </si>
  <si>
    <t>ORD-2026-00227</t>
  </si>
  <si>
    <t>13/05/2026</t>
  </si>
  <si>
    <t>ORD-2026-00229</t>
  </si>
  <si>
    <t>ORD-2026-00230</t>
  </si>
  <si>
    <t>ORD-2026-00231</t>
  </si>
  <si>
    <t>ORD-2026-00232</t>
  </si>
  <si>
    <t>ORD-2026-00233</t>
  </si>
  <si>
    <t>ORD-2026-00234</t>
  </si>
  <si>
    <t>ORD-2026-00235</t>
  </si>
  <si>
    <t>ORD-2026-00236</t>
  </si>
  <si>
    <t>ORD-2026-00237</t>
  </si>
  <si>
    <t>ORD-2026-00238</t>
  </si>
  <si>
    <t>ORD-2026-00239</t>
  </si>
  <si>
    <t>ORD-2026-00240</t>
  </si>
  <si>
    <t>ORD-2026-00241</t>
  </si>
  <si>
    <t>ORD-2026-00242</t>
  </si>
  <si>
    <t>ORD-2026-00243</t>
  </si>
  <si>
    <t>ORD-2026-00244</t>
  </si>
  <si>
    <t>ORD-2026-00245</t>
  </si>
  <si>
    <t>ORD-2026-00246</t>
  </si>
  <si>
    <t>ORD-2026-00247</t>
  </si>
  <si>
    <t>ORD-2026-00248</t>
  </si>
  <si>
    <t>2026-02-12</t>
  </si>
  <si>
    <t>ORD-2026-00249</t>
  </si>
  <si>
    <t>ORD-2026-00250</t>
  </si>
  <si>
    <t>2026-06-17</t>
  </si>
  <si>
    <t>ORD-2026-00251</t>
  </si>
  <si>
    <t>ORD-2026-00252</t>
  </si>
  <si>
    <t>ORD-2026-00253</t>
  </si>
  <si>
    <t>ORD-2026-00254</t>
  </si>
  <si>
    <t>ORD-2026-00255</t>
  </si>
  <si>
    <t>ORD-2026-00256</t>
  </si>
  <si>
    <t>ORD-2026-00257</t>
  </si>
  <si>
    <t>ORD-2026-00258</t>
  </si>
  <si>
    <t>ORD-2026-00259</t>
  </si>
  <si>
    <t>ORD-2026-00260</t>
  </si>
  <si>
    <t>ORD-2026-00261</t>
  </si>
  <si>
    <t>2026-04-24</t>
  </si>
  <si>
    <t>ORD-2026-00262</t>
  </si>
  <si>
    <t>ORD-2026-00263</t>
  </si>
  <si>
    <t>ORD-2026-00264</t>
  </si>
  <si>
    <t>ORD-2026-00265</t>
  </si>
  <si>
    <t>ORD-2026-00266</t>
  </si>
  <si>
    <t>ORD-2026-00267</t>
  </si>
  <si>
    <t>ORD-2026-00268</t>
  </si>
  <si>
    <t>ORD-2026-00269</t>
  </si>
  <si>
    <t>ORD-2026-00270</t>
  </si>
  <si>
    <t>ORD-2026-00271</t>
  </si>
  <si>
    <t>ORD-2026-00272</t>
  </si>
  <si>
    <t>ORD-2026-00273</t>
  </si>
  <si>
    <t>ORD-2026-00274</t>
  </si>
  <si>
    <t>ORD-2026-00275</t>
  </si>
  <si>
    <t>ORD-2026-00276</t>
  </si>
  <si>
    <t>ORD-2026-00277</t>
  </si>
  <si>
    <t>ORD-2026-00278</t>
  </si>
  <si>
    <t>ORD-2026-00279</t>
  </si>
  <si>
    <t>2026-04-15</t>
  </si>
  <si>
    <t>ORD-2026-00280</t>
  </si>
  <si>
    <t>ORD-2026-00281</t>
  </si>
  <si>
    <t>ORD-2026-00282</t>
  </si>
  <si>
    <t>ORD-2026-00283</t>
  </si>
  <si>
    <t>ORD-2026-00284</t>
  </si>
  <si>
    <t>ORD-2026-00285</t>
  </si>
  <si>
    <t>2026-04-03</t>
  </si>
  <si>
    <t>ORD-2026-00287</t>
  </si>
  <si>
    <t>ORD-2026-00288</t>
  </si>
  <si>
    <t>ORD-2026-00289</t>
  </si>
  <si>
    <t>ORD-2026-00290</t>
  </si>
  <si>
    <t>ORD-2026-00291</t>
  </si>
  <si>
    <t>ORD-2026-00292</t>
  </si>
  <si>
    <t>ORD-2026-00293</t>
  </si>
  <si>
    <t>ORD-2026-00294</t>
  </si>
  <si>
    <t>ORD-2026-00295</t>
  </si>
  <si>
    <t>ORD-2026-00296</t>
  </si>
  <si>
    <t>ORD-2026-00297</t>
  </si>
  <si>
    <t>ORD-2026-00298</t>
  </si>
  <si>
    <t>ORD-2026-00299</t>
  </si>
  <si>
    <t>ORD-2026-00300</t>
  </si>
  <si>
    <t>ORD-2026-00301</t>
  </si>
  <si>
    <t>2026-01-05</t>
  </si>
  <si>
    <t>ORD-2026-00303</t>
  </si>
  <si>
    <t>ORD-2026-00304</t>
  </si>
  <si>
    <t>ORD-2026-00305</t>
  </si>
  <si>
    <t>ORD-2026-00306</t>
  </si>
  <si>
    <t>ORD-2026-00307</t>
  </si>
  <si>
    <t>ORD-2026-00308</t>
  </si>
  <si>
    <t>ORD-2026-00309</t>
  </si>
  <si>
    <t>ORD-2026-00310</t>
  </si>
  <si>
    <t>ORD-2026-00311</t>
  </si>
  <si>
    <t>ORD-2026-00312</t>
  </si>
  <si>
    <t>ORD-2026-00313</t>
  </si>
  <si>
    <t>ORD-2026-00314</t>
  </si>
  <si>
    <t>ORD-2026-00315</t>
  </si>
  <si>
    <t>ORD-2026-00316</t>
  </si>
  <si>
    <t>ORD-2026-00317</t>
  </si>
  <si>
    <t>ORD-2026-00318</t>
  </si>
  <si>
    <t>ORD-2026-00319</t>
  </si>
  <si>
    <t>ORD-2026-00320</t>
  </si>
  <si>
    <t>ORD-2026-00321</t>
  </si>
  <si>
    <t>ORD-2026-00322</t>
  </si>
  <si>
    <t>2026-07-13</t>
  </si>
  <si>
    <t>ORD-2026-00323</t>
  </si>
  <si>
    <t>ORD-2026-00324</t>
  </si>
  <si>
    <t>2026-07-23</t>
  </si>
  <si>
    <t>ORD-2026-00327</t>
  </si>
  <si>
    <t>ORD-2026-00328</t>
  </si>
  <si>
    <t>ORD-2026-00329</t>
  </si>
  <si>
    <t>ORD-2026-00330</t>
  </si>
  <si>
    <t>ORD-2026-00331</t>
  </si>
  <si>
    <t>ORD-2026-00332</t>
  </si>
  <si>
    <t>ORD-2026-00333</t>
  </si>
  <si>
    <t>ORD-2026-00334</t>
  </si>
  <si>
    <t>ORD-2026-00335</t>
  </si>
  <si>
    <t>ORD-2026-00336</t>
  </si>
  <si>
    <t>ORD-2026-00337</t>
  </si>
  <si>
    <t>ORD-2026-00338</t>
  </si>
  <si>
    <t>2026-08-01</t>
  </si>
  <si>
    <t>ORD-2026-00339</t>
  </si>
  <si>
    <t>ORD-2026-00340</t>
  </si>
  <si>
    <t>ORD-2026-00341</t>
  </si>
  <si>
    <t>ORD-2026-00342</t>
  </si>
  <si>
    <t>ORD-2026-00343</t>
  </si>
  <si>
    <t>ORD-2026-00344</t>
  </si>
  <si>
    <t>ORD-2026-00345</t>
  </si>
  <si>
    <t>ORD-2026-00346</t>
  </si>
  <si>
    <t>ORD-2026-00347</t>
  </si>
  <si>
    <t>ORD-2026-00348</t>
  </si>
  <si>
    <t>2026-08-03</t>
  </si>
  <si>
    <t>ORD-2026-00349</t>
  </si>
  <si>
    <t>ORD-2026-00350</t>
  </si>
  <si>
    <t>ORD-2026-00351</t>
  </si>
  <si>
    <t>ORD-2026-00352</t>
  </si>
  <si>
    <t>ORD-2026-00353</t>
  </si>
  <si>
    <t>ORD-2026-00354</t>
  </si>
  <si>
    <t>ORD-2026-00355</t>
  </si>
  <si>
    <t>ORD-2026-00356</t>
  </si>
  <si>
    <t>ORD-2026-00357</t>
  </si>
  <si>
    <t>2026-01-19</t>
  </si>
  <si>
    <t>ORD-2026-00358</t>
  </si>
  <si>
    <t>2026-08-16</t>
  </si>
  <si>
    <t>ORD-2026-00359</t>
  </si>
  <si>
    <t>ORD-2026-00360</t>
  </si>
  <si>
    <t>ORD-2026-00361</t>
  </si>
  <si>
    <t>ORD-2026-00362</t>
  </si>
  <si>
    <t>ORD-2026-00363</t>
  </si>
  <si>
    <t>ORD-2026-00364</t>
  </si>
  <si>
    <t>ORD-2026-00365</t>
  </si>
  <si>
    <t>ORD-2026-00366</t>
  </si>
  <si>
    <t>ORD-2026-00367</t>
  </si>
  <si>
    <t>ORD-2026-00368</t>
  </si>
  <si>
    <t>ORD-2026-00369</t>
  </si>
  <si>
    <t>ORD-2026-00370</t>
  </si>
  <si>
    <t>ORD-2026-00371</t>
  </si>
  <si>
    <t>ORD-2026-00372</t>
  </si>
  <si>
    <t>ORD-2026-00373</t>
  </si>
  <si>
    <t>ORD-2026-00374</t>
  </si>
  <si>
    <t>ORD-2026-00375</t>
  </si>
  <si>
    <t>ORD-2026-00376</t>
  </si>
  <si>
    <t>ORD-2026-00377</t>
  </si>
  <si>
    <t>ORD-2026-00378</t>
  </si>
  <si>
    <t>ORD-2026-00379</t>
  </si>
  <si>
    <t>ORD-2026-00381</t>
  </si>
  <si>
    <t>ORD-2026-00382</t>
  </si>
  <si>
    <t>ORD-2026-00383</t>
  </si>
  <si>
    <t>ORD-2026-00384</t>
  </si>
  <si>
    <t>ORD-2026-00385</t>
  </si>
  <si>
    <t>ORD-2026-00386</t>
  </si>
  <si>
    <t>ORD-2026-00387</t>
  </si>
  <si>
    <t>ORD-2026-00388</t>
  </si>
  <si>
    <t>ORD-2026-00389</t>
  </si>
  <si>
    <t>ORD-2026-00390</t>
  </si>
  <si>
    <t>ORD-2026-00391</t>
  </si>
  <si>
    <t>ORD-2026-00392</t>
  </si>
  <si>
    <t>ORD-2026-00393</t>
  </si>
  <si>
    <t>ORD-2026-00394</t>
  </si>
  <si>
    <t>ORD-2026-00395</t>
  </si>
  <si>
    <t>ORD-2026-00396</t>
  </si>
  <si>
    <t>ORD-2026-00397</t>
  </si>
  <si>
    <t>ORD-2026-00398</t>
  </si>
  <si>
    <t>ORD-2026-00399</t>
  </si>
  <si>
    <t>ORD-2026-00400</t>
  </si>
  <si>
    <t>ORD-2026-00401</t>
  </si>
  <si>
    <t>ORD-2026-00402</t>
  </si>
  <si>
    <t>ORD-2026-00403</t>
  </si>
  <si>
    <t>ORD-2026-00404</t>
  </si>
  <si>
    <t>ORD-2026-00405</t>
  </si>
  <si>
    <t>ORD-2026-00406</t>
  </si>
  <si>
    <t>ORD-2026-00407</t>
  </si>
  <si>
    <t>ORD-2026-00408</t>
  </si>
  <si>
    <t>2026-05-15</t>
  </si>
  <si>
    <t>ORD-2026-00409</t>
  </si>
  <si>
    <t>ORD-2026-00410</t>
  </si>
  <si>
    <t>ORD-2026-00411</t>
  </si>
  <si>
    <t>ORD-2026-00412</t>
  </si>
  <si>
    <t>ORD-2026-00413</t>
  </si>
  <si>
    <t>ORD-2026-00414</t>
  </si>
  <si>
    <t>ORD-2026-00415</t>
  </si>
  <si>
    <t>ORD-2026-00416</t>
  </si>
  <si>
    <t>ORD-2026-00417</t>
  </si>
  <si>
    <t>ORD-2026-00418</t>
  </si>
  <si>
    <t>ORD-2026-00419</t>
  </si>
  <si>
    <t>ORD-2026-00420</t>
  </si>
  <si>
    <t>ORD-2026-00421</t>
  </si>
  <si>
    <t>ORD-2026-00422</t>
  </si>
  <si>
    <t>ORD-2026-00423</t>
  </si>
  <si>
    <t>ORD-2026-00424</t>
  </si>
  <si>
    <t>ORD-2026-00425</t>
  </si>
  <si>
    <t>ORD-2026-00426</t>
  </si>
  <si>
    <t>ORD-2026-00427</t>
  </si>
  <si>
    <t>ORD-2026-00428</t>
  </si>
  <si>
    <t>ORD-2026-00429</t>
  </si>
  <si>
    <t>ORD-2026-00430</t>
  </si>
  <si>
    <t>ORD-2026-00431</t>
  </si>
  <si>
    <t>ORD-2026-00432</t>
  </si>
  <si>
    <t>ORD-2026-00433</t>
  </si>
  <si>
    <t>ORD-2026-00434</t>
  </si>
  <si>
    <t>26/08/2026</t>
  </si>
  <si>
    <t>ORD-2026-00435</t>
  </si>
  <si>
    <t>ORD-2026-00437</t>
  </si>
  <si>
    <t>ORD-2026-00438</t>
  </si>
  <si>
    <t>ORD-2026-00439</t>
  </si>
  <si>
    <t>ORD-2026-00440</t>
  </si>
  <si>
    <t>ORD-2026-00441</t>
  </si>
  <si>
    <t>ORD-2026-00442</t>
  </si>
  <si>
    <t>ORD-2026-00443</t>
  </si>
  <si>
    <t>ORD-2026-00444</t>
  </si>
  <si>
    <t>ORD-2026-00445</t>
  </si>
  <si>
    <t>ORD-2026-00446</t>
  </si>
  <si>
    <t>ORD-2026-00447</t>
  </si>
  <si>
    <t>ORD-2026-00448</t>
  </si>
  <si>
    <t>ORD-2026-00449</t>
  </si>
  <si>
    <t>ORD-2026-00450</t>
  </si>
  <si>
    <t>ORD-2026-00451</t>
  </si>
  <si>
    <t>ORD-2026-00452</t>
  </si>
  <si>
    <t>ORD-2026-00453</t>
  </si>
  <si>
    <t>ORD-2026-00454</t>
  </si>
  <si>
    <t>ORD-2026-00455</t>
  </si>
  <si>
    <t>ORD-2026-00456</t>
  </si>
  <si>
    <t>ORD-2026-00457</t>
  </si>
  <si>
    <t>ORD-2026-00458</t>
  </si>
  <si>
    <t>ORD-2026-00459</t>
  </si>
  <si>
    <t>ORD-2026-00460</t>
  </si>
  <si>
    <t>ORD-2026-00461</t>
  </si>
  <si>
    <t>ORD-2026-00462</t>
  </si>
  <si>
    <t>ORD-2026-00463</t>
  </si>
  <si>
    <t>ORD-2026-00464</t>
  </si>
  <si>
    <t>ORD-2026-00465</t>
  </si>
  <si>
    <t>ORD-2026-00466</t>
  </si>
  <si>
    <t>ORD-2026-00467</t>
  </si>
  <si>
    <t>ORD-2026-00468</t>
  </si>
  <si>
    <t>ORD-2026-00469</t>
  </si>
  <si>
    <t>ORD-2026-00470</t>
  </si>
  <si>
    <t>ORD-2026-00471</t>
  </si>
  <si>
    <t>ORD-2026-00472</t>
  </si>
  <si>
    <t>ORD-2026-00473</t>
  </si>
  <si>
    <t>ORD-2026-00474</t>
  </si>
  <si>
    <t>ORD-2026-00475</t>
  </si>
  <si>
    <t>2026-08-12</t>
  </si>
  <si>
    <t>ORD-2026-00476</t>
  </si>
  <si>
    <t>2026-06-26</t>
  </si>
  <si>
    <t>ORD-2026-00477</t>
  </si>
  <si>
    <t>ORD-2026-00478</t>
  </si>
  <si>
    <t>ORD-2026-00479</t>
  </si>
  <si>
    <t>ORD-2026-00480</t>
  </si>
  <si>
    <t>ORD-2026-00481</t>
  </si>
  <si>
    <t>ORD-2026-00482</t>
  </si>
  <si>
    <t>ORD-2026-00483</t>
  </si>
  <si>
    <t>ORD-2026-00484</t>
  </si>
  <si>
    <t>ORD-2026-00485</t>
  </si>
  <si>
    <t>ORD-2026-00486</t>
  </si>
  <si>
    <t>2026-03-11</t>
  </si>
  <si>
    <t>ORD-2026-00487</t>
  </si>
  <si>
    <t>ORD-2026-00488</t>
  </si>
  <si>
    <t>ORD-2026-00489</t>
  </si>
  <si>
    <t>ORD-2026-00490</t>
  </si>
  <si>
    <t>ORD-2026-00491</t>
  </si>
  <si>
    <t>ORD-2026-00492</t>
  </si>
  <si>
    <t>ORD-2026-00493</t>
  </si>
  <si>
    <t>ORD-2026-00494</t>
  </si>
  <si>
    <t>ORD-2026-00495</t>
  </si>
  <si>
    <t>ORD-2026-00496</t>
  </si>
  <si>
    <t>ORD-2026-00497</t>
  </si>
  <si>
    <t>ORD-2026-00498</t>
  </si>
  <si>
    <t>ORD-2026-00499</t>
  </si>
  <si>
    <t>ORD-2026-00500</t>
  </si>
  <si>
    <t>ORD-2026-00501</t>
  </si>
  <si>
    <t>ORD-2026-00502</t>
  </si>
  <si>
    <t>ORD-2026-00503</t>
  </si>
  <si>
    <t>ORD-2026-00504</t>
  </si>
  <si>
    <t>ORD-2026-00505</t>
  </si>
  <si>
    <t>ORD-2026-00506</t>
  </si>
  <si>
    <t>2026-01-08</t>
  </si>
  <si>
    <t>ORD-2026-00507</t>
  </si>
  <si>
    <t>ORD-2026-00508</t>
  </si>
  <si>
    <t>ORD-2026-00509</t>
  </si>
  <si>
    <t>ORD-2026-00510</t>
  </si>
  <si>
    <t>ORD-2026-00511</t>
  </si>
  <si>
    <t>ORD-2026-00512</t>
  </si>
  <si>
    <t>ORD-2026-00513</t>
  </si>
  <si>
    <t>ORD-2026-00514</t>
  </si>
  <si>
    <t>ORD-2026-00515</t>
  </si>
  <si>
    <t>ORD-2026-00516</t>
  </si>
  <si>
    <t>ORD-2026-00517</t>
  </si>
  <si>
    <t>ORD-2026-00518</t>
  </si>
  <si>
    <t>ORD-2026-00519</t>
  </si>
  <si>
    <t>ORD-2026-00520</t>
  </si>
  <si>
    <t>ORD-2026-00521</t>
  </si>
  <si>
    <t>ORD-2026-00522</t>
  </si>
  <si>
    <t>ORD-2026-00523</t>
  </si>
  <si>
    <t>ORD-2026-00524</t>
  </si>
  <si>
    <t>ORD-2026-00525</t>
  </si>
  <si>
    <t>ORD-2026-00526</t>
  </si>
  <si>
    <t>ORD-2026-00527</t>
  </si>
  <si>
    <t>ORD-2026-00528</t>
  </si>
  <si>
    <t>ORD-2026-00529</t>
  </si>
  <si>
    <t>ORD-2026-00530</t>
  </si>
  <si>
    <t>ORD-2026-00531</t>
  </si>
  <si>
    <t>ORD-2026-00532</t>
  </si>
  <si>
    <t>ORD-2026-00533</t>
  </si>
  <si>
    <t>ORD-2026-00534</t>
  </si>
  <si>
    <t>2026-07-16</t>
  </si>
  <si>
    <t>ORD-2026-00535</t>
  </si>
  <si>
    <t>ORD-2026-00536</t>
  </si>
  <si>
    <t>ORD-2026-00537</t>
  </si>
  <si>
    <t>ORD-2026-00538</t>
  </si>
  <si>
    <t>ORD-2026-00539</t>
  </si>
  <si>
    <t>ORD-2026-00540</t>
  </si>
  <si>
    <t>ORD-2026-00542</t>
  </si>
  <si>
    <t>ORD-2026-00543</t>
  </si>
  <si>
    <t>ORD-2026-00544</t>
  </si>
  <si>
    <t>ORD-2026-00545</t>
  </si>
  <si>
    <t>ORD-2026-00546</t>
  </si>
  <si>
    <t>ORD-2026-00547</t>
  </si>
  <si>
    <t>ORD-2026-00548</t>
  </si>
  <si>
    <t>ORD-2026-00549</t>
  </si>
  <si>
    <t>ORD-2026-00550</t>
  </si>
  <si>
    <t>ORD-2026-00551</t>
  </si>
  <si>
    <t>ORD-2026-00552</t>
  </si>
  <si>
    <t>ORD-2026-00553</t>
  </si>
  <si>
    <t>ORD-2026-00554</t>
  </si>
  <si>
    <t>ORD-2026-00555</t>
  </si>
  <si>
    <t>ORD-2026-00556</t>
  </si>
  <si>
    <t>ORD-2026-00557</t>
  </si>
  <si>
    <t>ORD-2026-00558</t>
  </si>
  <si>
    <t>ORD-2026-00559</t>
  </si>
  <si>
    <t>ORD-2026-00560</t>
  </si>
  <si>
    <t>ORD-2026-00561</t>
  </si>
  <si>
    <t>ORD-2026-00562</t>
  </si>
  <si>
    <t>ORD-2026-00563</t>
  </si>
  <si>
    <t>ORD-2026-00564</t>
  </si>
  <si>
    <t>ORD-2026-00565</t>
  </si>
  <si>
    <t>ORD-2026-00566</t>
  </si>
  <si>
    <t>ORD-2026-00567</t>
  </si>
  <si>
    <t>ORD-2026-00568</t>
  </si>
  <si>
    <t>ORD-2026-00569</t>
  </si>
  <si>
    <t>ORD-2026-00570</t>
  </si>
  <si>
    <t>ORD-2026-00571</t>
  </si>
  <si>
    <t>ORD-2026-00572</t>
  </si>
  <si>
    <t>ORD-2026-00573</t>
  </si>
  <si>
    <t>ORD-2026-00574</t>
  </si>
  <si>
    <t>ORD-2026-00575</t>
  </si>
  <si>
    <t>ORD-2026-00576</t>
  </si>
  <si>
    <t>ORD-2026-00577</t>
  </si>
  <si>
    <t>ORD-2026-00578</t>
  </si>
  <si>
    <t>ORD-2026-00579</t>
  </si>
  <si>
    <t>ORD-2026-00580</t>
  </si>
  <si>
    <t>ORD-2026-00581</t>
  </si>
  <si>
    <t>ORD-2026-00582</t>
  </si>
  <si>
    <t>ORD-2026-00583</t>
  </si>
  <si>
    <t>ORD-2026-00584</t>
  </si>
  <si>
    <t>ORD-2026-00585</t>
  </si>
  <si>
    <t>ORD-2026-00586</t>
  </si>
  <si>
    <t>ORD-2026-00587</t>
  </si>
  <si>
    <t>ORD-2026-00588</t>
  </si>
  <si>
    <t>ORD-2026-00589</t>
  </si>
  <si>
    <t>ORD-2026-00590</t>
  </si>
  <si>
    <t>ORD-2026-00592</t>
  </si>
  <si>
    <t>ORD-2026-00593</t>
  </si>
  <si>
    <t>ORD-2026-00594</t>
  </si>
  <si>
    <t>ORD-2026-00595</t>
  </si>
  <si>
    <t>ORD-2026-00596</t>
  </si>
  <si>
    <t>ORD-2026-00597</t>
  </si>
  <si>
    <t>ORD-2026-00598</t>
  </si>
  <si>
    <t>ORD-2026-00599</t>
  </si>
  <si>
    <t>ORD-2026-00600</t>
  </si>
  <si>
    <t>ORD-2026-00601</t>
  </si>
  <si>
    <t>ORD-2026-00603</t>
  </si>
  <si>
    <t>ORD-2026-00604</t>
  </si>
  <si>
    <t>ORD-2026-00605</t>
  </si>
  <si>
    <t>ORD-2026-00606</t>
  </si>
  <si>
    <t>ORD-2026-00607</t>
  </si>
  <si>
    <t>ORD-2026-00608</t>
  </si>
  <si>
    <t>ORD-2026-00609</t>
  </si>
  <si>
    <t>ORD-2026-00610</t>
  </si>
  <si>
    <t>ORD-2026-00611</t>
  </si>
  <si>
    <t>ORD-2026-00612</t>
  </si>
  <si>
    <t>ORD-2026-00613</t>
  </si>
  <si>
    <t>ORD-2026-00614</t>
  </si>
  <si>
    <t>ORD-2026-00615</t>
  </si>
  <si>
    <t>ORD-2026-00616</t>
  </si>
  <si>
    <t>ORD-2026-00617</t>
  </si>
  <si>
    <t>ORD-2026-00618</t>
  </si>
  <si>
    <t>ORD-2026-00619</t>
  </si>
  <si>
    <t>ORD-2026-00621</t>
  </si>
  <si>
    <t>ORD-2026-00622</t>
  </si>
  <si>
    <t>ORD-2026-00623</t>
  </si>
  <si>
    <t>ORD-2026-00624</t>
  </si>
  <si>
    <t>ORD-2026-00625</t>
  </si>
  <si>
    <t>ORD-2026-00626</t>
  </si>
  <si>
    <t>ORD-2026-00627</t>
  </si>
  <si>
    <t>ORD-2026-00628</t>
  </si>
  <si>
    <t>ORD-2026-00629</t>
  </si>
  <si>
    <t>ORD-2026-00630</t>
  </si>
  <si>
    <t>08/02/2026</t>
  </si>
  <si>
    <t>ORD-2026-00631</t>
  </si>
  <si>
    <t>ORD-2026-00632</t>
  </si>
  <si>
    <t>ORD-2026-00633</t>
  </si>
  <si>
    <t>ORD-2026-00634</t>
  </si>
  <si>
    <t>ORD-2026-00635</t>
  </si>
  <si>
    <t>ORD-2026-00636</t>
  </si>
  <si>
    <t>ORD-2026-00637</t>
  </si>
  <si>
    <t>ORD-2026-00638</t>
  </si>
  <si>
    <t>ORD-2026-00639</t>
  </si>
  <si>
    <t>ORD-2026-00640</t>
  </si>
  <si>
    <t>ORD-2026-00641</t>
  </si>
  <si>
    <t>ORD-2026-00642</t>
  </si>
  <si>
    <t>ORD-2026-00643</t>
  </si>
  <si>
    <t>ORD-2026-00644</t>
  </si>
  <si>
    <t>ORD-2026-00645</t>
  </si>
  <si>
    <t>ORD-2026-00646</t>
  </si>
  <si>
    <t>ORD-2026-00647</t>
  </si>
  <si>
    <t>ORD-2026-00648</t>
  </si>
  <si>
    <t>ORD-2026-00649</t>
  </si>
  <si>
    <t>ORD-2026-00650</t>
  </si>
  <si>
    <t>ORD-2026-00651</t>
  </si>
  <si>
    <t>ORD-2026-00652</t>
  </si>
  <si>
    <t>ORD-2026-00653</t>
  </si>
  <si>
    <t>ORD-2026-00654</t>
  </si>
  <si>
    <t>ORD-2026-00655</t>
  </si>
  <si>
    <t>ORD-2026-00656</t>
  </si>
  <si>
    <t>ORD-2026-00657</t>
  </si>
  <si>
    <t>ORD-2026-00658</t>
  </si>
  <si>
    <t>ORD-2026-00659</t>
  </si>
  <si>
    <t>ORD-2026-00660</t>
  </si>
  <si>
    <t>ORD-2026-00661</t>
  </si>
  <si>
    <t>ORD-2026-00662</t>
  </si>
  <si>
    <t>ORD-2026-00663</t>
  </si>
  <si>
    <t>ORD-2026-00664</t>
  </si>
  <si>
    <t>ORD-2026-00665</t>
  </si>
  <si>
    <t>ORD-2026-00666</t>
  </si>
  <si>
    <t>ORD-2026-00667</t>
  </si>
  <si>
    <t>ORD-2026-00668</t>
  </si>
  <si>
    <t>ORD-2026-00669</t>
  </si>
  <si>
    <t>ORD-2026-00670</t>
  </si>
  <si>
    <t>ORD-2026-00671</t>
  </si>
  <si>
    <t>ORD-2026-00672</t>
  </si>
  <si>
    <t>ORD-2026-00673</t>
  </si>
  <si>
    <t>ORD-2026-00674</t>
  </si>
  <si>
    <t>ORD-2026-00675</t>
  </si>
  <si>
    <t>ORD-2026-00676</t>
  </si>
  <si>
    <t>ORD-2026-00677</t>
  </si>
  <si>
    <t>ORD-2026-00678</t>
  </si>
  <si>
    <t>ORD-2026-00679</t>
  </si>
  <si>
    <t>ORD-2026-00680</t>
  </si>
  <si>
    <t>ORD-2026-00681</t>
  </si>
  <si>
    <t>ORD-2026-00682</t>
  </si>
  <si>
    <t>ORD-2026-00683</t>
  </si>
  <si>
    <t>ORD-2026-00684</t>
  </si>
  <si>
    <t>ORD-2026-00685</t>
  </si>
  <si>
    <t>ORD-2026-00686</t>
  </si>
  <si>
    <t>ORD-2026-00687</t>
  </si>
  <si>
    <t>ORD-2026-00688</t>
  </si>
  <si>
    <t>ORD-2026-00689</t>
  </si>
  <si>
    <t>ORD-2026-00690</t>
  </si>
  <si>
    <t>ORD-2026-00691</t>
  </si>
  <si>
    <t>ORD-2026-00692</t>
  </si>
  <si>
    <t>ORD-2026-00693</t>
  </si>
  <si>
    <t>ORD-2026-00694</t>
  </si>
  <si>
    <t>ORD-2026-00695</t>
  </si>
  <si>
    <t>ORD-2026-00696</t>
  </si>
  <si>
    <t>ORD-2026-00697</t>
  </si>
  <si>
    <t>ORD-2026-00698</t>
  </si>
  <si>
    <t>ORD-2026-00699</t>
  </si>
  <si>
    <t>ORD-2026-00700</t>
  </si>
  <si>
    <t>ORD-2026-00701</t>
  </si>
  <si>
    <t>ORD-2026-00702</t>
  </si>
  <si>
    <t>ORD-2026-00703</t>
  </si>
  <si>
    <t>ORD-2026-00704</t>
  </si>
  <si>
    <t>ORD-2026-00705</t>
  </si>
  <si>
    <t>ORD-2026-00706</t>
  </si>
  <si>
    <t>ORD-2026-00707</t>
  </si>
  <si>
    <t>ORD-2026-00708</t>
  </si>
  <si>
    <t>ORD-2026-00709</t>
  </si>
  <si>
    <t>ORD-2026-00710</t>
  </si>
  <si>
    <t>ORD-2026-00711</t>
  </si>
  <si>
    <t>ORD-2026-00712</t>
  </si>
  <si>
    <t>ORD-2026-00713</t>
  </si>
  <si>
    <t>ORD-2026-00714</t>
  </si>
  <si>
    <t>ORD-2026-00715</t>
  </si>
  <si>
    <t>ORD-2026-00716</t>
  </si>
  <si>
    <t>ORD-2026-00717</t>
  </si>
  <si>
    <t>ORD-2026-00718</t>
  </si>
  <si>
    <t>ORD-2026-00719</t>
  </si>
  <si>
    <t>ORD-2026-00720</t>
  </si>
  <si>
    <t>ORD-2026-00721</t>
  </si>
  <si>
    <t>ORD-2026-00722</t>
  </si>
  <si>
    <t>ORD-2026-00723</t>
  </si>
  <si>
    <t>ORD-2026-00724</t>
  </si>
  <si>
    <t>ORD-2026-00725</t>
  </si>
  <si>
    <t>ORD-2026-00726</t>
  </si>
  <si>
    <t>ORD-2026-00727</t>
  </si>
  <si>
    <t>ORD-2026-00728</t>
  </si>
  <si>
    <t>ORD-2026-00729</t>
  </si>
  <si>
    <t>ORD-2026-00730</t>
  </si>
  <si>
    <t>ORD-2026-00731</t>
  </si>
  <si>
    <t>ORD-2026-00732</t>
  </si>
  <si>
    <t>ORD-2026-00733</t>
  </si>
  <si>
    <t>ORD-2026-00734</t>
  </si>
  <si>
    <t>ORD-2026-00735</t>
  </si>
  <si>
    <t>ORD-2026-00736</t>
  </si>
  <si>
    <t>ORD-2026-00737</t>
  </si>
  <si>
    <t>ORD-2026-00738</t>
  </si>
  <si>
    <t>ORD-2026-00739</t>
  </si>
  <si>
    <t>ORD-2026-00740</t>
  </si>
  <si>
    <t>ORD-2026-00741</t>
  </si>
  <si>
    <t>ORD-2026-00742</t>
  </si>
  <si>
    <t>ORD-2026-00743</t>
  </si>
  <si>
    <t>ORD-2026-00744</t>
  </si>
  <si>
    <t>ORD-2026-00745</t>
  </si>
  <si>
    <t>ORD-2026-00746</t>
  </si>
  <si>
    <t>ORD-2026-00747</t>
  </si>
  <si>
    <t>ORD-2026-00748</t>
  </si>
  <si>
    <t>ORD-2026-00749</t>
  </si>
  <si>
    <t>ORD-2026-00750</t>
  </si>
  <si>
    <t>ORD-2026-00751</t>
  </si>
  <si>
    <t>ORD-2026-00752</t>
  </si>
  <si>
    <t>ORD-2026-00753</t>
  </si>
  <si>
    <t>ORD-2026-00754</t>
  </si>
  <si>
    <t>ORD-2026-00755</t>
  </si>
  <si>
    <t>ORD-2026-00756</t>
  </si>
  <si>
    <t>ORD-2026-00757</t>
  </si>
  <si>
    <t>ORD-2026-00758</t>
  </si>
  <si>
    <t>ORD-2026-00759</t>
  </si>
  <si>
    <t>ORD-2026-00760</t>
  </si>
  <si>
    <t>ORD-2026-00761</t>
  </si>
  <si>
    <t>ORD-2026-00762</t>
  </si>
  <si>
    <t>ORD-2026-00763</t>
  </si>
  <si>
    <t>ORD-2026-00764</t>
  </si>
  <si>
    <t>08/06/2026</t>
  </si>
  <si>
    <t>ORD-2026-00766</t>
  </si>
  <si>
    <t>ORD-2026-00767</t>
  </si>
  <si>
    <t>ORD-2026-00768</t>
  </si>
  <si>
    <t>ORD-2026-00769</t>
  </si>
  <si>
    <t>ORD-2026-00770</t>
  </si>
  <si>
    <t>10/08/2026</t>
  </si>
  <si>
    <t>ORD-2026-00771</t>
  </si>
  <si>
    <t>ORD-2026-00772</t>
  </si>
  <si>
    <t>ORD-2026-00773</t>
  </si>
  <si>
    <t>ORD-2026-00774</t>
  </si>
  <si>
    <t>ORD-2026-00775</t>
  </si>
  <si>
    <t>ORD-2026-00776</t>
  </si>
  <si>
    <t>ORD-2026-00777</t>
  </si>
  <si>
    <t>ORD-2026-00778</t>
  </si>
  <si>
    <t>ORD-2026-00779</t>
  </si>
  <si>
    <t>ORD-2026-00780</t>
  </si>
  <si>
    <t>ORD-2026-00781</t>
  </si>
  <si>
    <t>ORD-2026-00782</t>
  </si>
  <si>
    <t>ORD-2026-00783</t>
  </si>
  <si>
    <t>ORD-2026-00784</t>
  </si>
  <si>
    <t>ORD-2026-00785</t>
  </si>
  <si>
    <t>ORD-2026-00786</t>
  </si>
  <si>
    <t>ORD-2026-00787</t>
  </si>
  <si>
    <t>ORD-2026-00788</t>
  </si>
  <si>
    <t>ORD-2026-00789</t>
  </si>
  <si>
    <t>ORD-2026-00790</t>
  </si>
  <si>
    <t>ORD-2026-00791</t>
  </si>
  <si>
    <t>ORD-2026-00792</t>
  </si>
  <si>
    <t>ORD-2026-00793</t>
  </si>
  <si>
    <t>ORD-2026-00794</t>
  </si>
  <si>
    <t>ORD-2026-00795</t>
  </si>
  <si>
    <t>ORD-2026-00797</t>
  </si>
  <si>
    <t>ORD-2026-00798</t>
  </si>
  <si>
    <t>ORD-2026-00799</t>
  </si>
  <si>
    <t>ORD-2026-00800</t>
  </si>
  <si>
    <t>ORD-2026-00801</t>
  </si>
  <si>
    <t>ORD-2026-00802</t>
  </si>
  <si>
    <t>ORD-2026-00803</t>
  </si>
  <si>
    <t>ORD-2026-00804</t>
  </si>
  <si>
    <t>ORD-2026-00805</t>
  </si>
  <si>
    <t>ORD-2026-00806</t>
  </si>
  <si>
    <t>ORD-2026-00807</t>
  </si>
  <si>
    <t>ORD-2026-00808</t>
  </si>
  <si>
    <t>ORD-2026-00809</t>
  </si>
  <si>
    <t>ORD-2026-00810</t>
  </si>
  <si>
    <t>ORD-2026-00811</t>
  </si>
  <si>
    <t>ORD-2026-00812</t>
  </si>
  <si>
    <t>ORD-2026-00813</t>
  </si>
  <si>
    <t>ORD-2026-00814</t>
  </si>
  <si>
    <t>ORD-2026-00815</t>
  </si>
  <si>
    <t>ORD-2026-00817</t>
  </si>
  <si>
    <t>ORD-2026-00819</t>
  </si>
  <si>
    <t>ORD-2026-00820</t>
  </si>
  <si>
    <t>16/06/2026</t>
  </si>
  <si>
    <t>ORD-2026-00821</t>
  </si>
  <si>
    <t>ORD-2026-00822</t>
  </si>
  <si>
    <t>ORD-2026-00824</t>
  </si>
  <si>
    <t>ORD-2026-00825</t>
  </si>
  <si>
    <t>ORD-2026-00826</t>
  </si>
  <si>
    <t>ORD-2026-00827</t>
  </si>
  <si>
    <t>22/06/2026</t>
  </si>
  <si>
    <t>ORD-2026-00828</t>
  </si>
  <si>
    <t>ORD-2026-00829</t>
  </si>
  <si>
    <t>ORD-2026-00830</t>
  </si>
  <si>
    <t>ORD-2026-00831</t>
  </si>
  <si>
    <t>ORD-2026-00832</t>
  </si>
  <si>
    <t>ORD-2026-00833</t>
  </si>
  <si>
    <t>ORD-2026-00834</t>
  </si>
  <si>
    <t>ORD-2026-00835</t>
  </si>
  <si>
    <t>ORD-2026-00836</t>
  </si>
  <si>
    <t>ORD-2026-00837</t>
  </si>
  <si>
    <t>ORD-2026-00838</t>
  </si>
  <si>
    <t>ORD-2026-00839</t>
  </si>
  <si>
    <t>ORD-2026-00840</t>
  </si>
  <si>
    <t>ORD-2026-00841</t>
  </si>
  <si>
    <t>ORD-2026-00842</t>
  </si>
  <si>
    <t>ORD-2026-00844</t>
  </si>
  <si>
    <t>ORD-2026-00845</t>
  </si>
  <si>
    <t>ORD-2026-00846</t>
  </si>
  <si>
    <t>ORD-2026-00848</t>
  </si>
  <si>
    <t>ORD-2026-00849</t>
  </si>
  <si>
    <t>ORD-2026-00850</t>
  </si>
  <si>
    <t>ORD-2026-00851</t>
  </si>
  <si>
    <t>ORD-2026-00852</t>
  </si>
  <si>
    <t>ORD-2026-00853</t>
  </si>
  <si>
    <t>ORD-2026-00854</t>
  </si>
  <si>
    <t>ORD-2026-00855</t>
  </si>
  <si>
    <t>ORD-2026-00856</t>
  </si>
  <si>
    <t>ORD-2026-00857</t>
  </si>
  <si>
    <t>ORD-2026-00858</t>
  </si>
  <si>
    <t>ORD-2026-00859</t>
  </si>
  <si>
    <t>ORD-2026-00860</t>
  </si>
  <si>
    <t>ORD-2026-00861</t>
  </si>
  <si>
    <t>ORD-2026-00862</t>
  </si>
  <si>
    <t>ORD-2026-00863</t>
  </si>
  <si>
    <t>ORD-2026-00864</t>
  </si>
  <si>
    <t>ORD-2026-00865</t>
  </si>
  <si>
    <t>ORD-2026-00866</t>
  </si>
  <si>
    <t>ORD-2026-00867</t>
  </si>
  <si>
    <t>ORD-2026-00868</t>
  </si>
  <si>
    <t>ORD-2026-00869</t>
  </si>
  <si>
    <t>ORD-2026-00870</t>
  </si>
  <si>
    <t>ORD-2026-00871</t>
  </si>
  <si>
    <t>ORD-2026-00872</t>
  </si>
  <si>
    <t>ORD-2026-00873</t>
  </si>
  <si>
    <t>ORD-2026-00874</t>
  </si>
  <si>
    <t>ORD-2026-00875</t>
  </si>
  <si>
    <t>ORD-2026-00876</t>
  </si>
  <si>
    <t>ORD-2026-00877</t>
  </si>
  <si>
    <t>ORD-2026-00878</t>
  </si>
  <si>
    <t>ORD-2026-00879</t>
  </si>
  <si>
    <t>ORD-2026-00880</t>
  </si>
  <si>
    <t>ORD-2026-00881</t>
  </si>
  <si>
    <t>ORD-2026-00882</t>
  </si>
  <si>
    <t>ORD-2026-00883</t>
  </si>
  <si>
    <t>ORD-2026-00884</t>
  </si>
  <si>
    <t>ORD-2026-00885</t>
  </si>
  <si>
    <t>ORD-2026-00886</t>
  </si>
  <si>
    <t>ORD-2026-00887</t>
  </si>
  <si>
    <t>ORD-2026-00888</t>
  </si>
  <si>
    <t>ORD-2026-00889</t>
  </si>
  <si>
    <t>ORD-2026-00890</t>
  </si>
  <si>
    <t>ORD-2026-00891</t>
  </si>
  <si>
    <t>ORD-2026-00892</t>
  </si>
  <si>
    <t>ORD-2026-00893</t>
  </si>
  <si>
    <t>ORD-2026-00894</t>
  </si>
  <si>
    <t>ORD-2026-00895</t>
  </si>
  <si>
    <t>ORD-2026-00896</t>
  </si>
  <si>
    <t>ORD-2026-00897</t>
  </si>
  <si>
    <t>ORD-2026-00898</t>
  </si>
  <si>
    <t>ORD-2026-00899</t>
  </si>
  <si>
    <t>ORD-2026-00900</t>
  </si>
  <si>
    <t>ORD-2026-00901</t>
  </si>
  <si>
    <t>ORD-2026-00902</t>
  </si>
  <si>
    <t>ORD-2026-00903</t>
  </si>
  <si>
    <t>ORD-2026-00904</t>
  </si>
  <si>
    <t>ORD-2026-00905</t>
  </si>
  <si>
    <t>ORD-2026-00906</t>
  </si>
  <si>
    <t>ORD-2026-00907</t>
  </si>
  <si>
    <t>ORD-2026-00908</t>
  </si>
  <si>
    <t>ORD-2026-00909</t>
  </si>
  <si>
    <t>ORD-2026-00910</t>
  </si>
  <si>
    <t>ORD-2026-00911</t>
  </si>
  <si>
    <t>ORD-2026-00912</t>
  </si>
  <si>
    <t>ORD-2026-00913</t>
  </si>
  <si>
    <t>ORD-2026-00914</t>
  </si>
  <si>
    <t>ORD-2026-00916</t>
  </si>
  <si>
    <t>ORD-2026-00917</t>
  </si>
  <si>
    <t>ORD-2026-00918</t>
  </si>
  <si>
    <t>ORD-2026-00919</t>
  </si>
  <si>
    <t>ORD-2026-00920</t>
  </si>
  <si>
    <t>ORD-2026-00921</t>
  </si>
  <si>
    <t>ORD-2026-00922</t>
  </si>
  <si>
    <t>ORD-2026-00923</t>
  </si>
  <si>
    <t>ORD-2026-00924</t>
  </si>
  <si>
    <t>ORD-2026-00925</t>
  </si>
  <si>
    <t>ORD-2026-00926</t>
  </si>
  <si>
    <t>ORD-2026-00927</t>
  </si>
  <si>
    <t>ORD-2026-00928</t>
  </si>
  <si>
    <t>ORD-2026-00929</t>
  </si>
  <si>
    <t>ORD-2026-00930</t>
  </si>
  <si>
    <t>ORD-2026-00931</t>
  </si>
  <si>
    <t>ORD-2026-00932</t>
  </si>
  <si>
    <t>ORD-2026-00933</t>
  </si>
  <si>
    <t>ORD-2026-00934</t>
  </si>
  <si>
    <t>ORD-2026-00935</t>
  </si>
  <si>
    <t>ORD-2026-00936</t>
  </si>
  <si>
    <t>ORD-2026-00937</t>
  </si>
  <si>
    <t>ORD-2026-00938</t>
  </si>
  <si>
    <t>ORD-2026-00939</t>
  </si>
  <si>
    <t>ORD-2026-00940</t>
  </si>
  <si>
    <t>ORD-2026-00941</t>
  </si>
  <si>
    <t>ORD-2026-00942</t>
  </si>
  <si>
    <t>ORD-2026-00943</t>
  </si>
  <si>
    <t>ORD-2026-00944</t>
  </si>
  <si>
    <t>ORD-2026-00945</t>
  </si>
  <si>
    <t>ORD-2026-00946</t>
  </si>
  <si>
    <t>ORD-2026-00947</t>
  </si>
  <si>
    <t>ORD-2026-00948</t>
  </si>
  <si>
    <t>ORD-2026-00949</t>
  </si>
  <si>
    <t>ORD-2026-00950</t>
  </si>
  <si>
    <t>ORD-2026-00951</t>
  </si>
  <si>
    <t>ORD-2026-00952</t>
  </si>
  <si>
    <t>ORD-2026-00953</t>
  </si>
  <si>
    <t>ORD-2026-00954</t>
  </si>
  <si>
    <t>ORD-2026-00955</t>
  </si>
  <si>
    <t>ORD-2026-00956</t>
  </si>
  <si>
    <t>ORD-2026-00957</t>
  </si>
  <si>
    <t>ORD-2026-00958</t>
  </si>
  <si>
    <t>ORD-2026-00959</t>
  </si>
  <si>
    <t>ORD-2026-00960</t>
  </si>
  <si>
    <t>ORD-2026-00961</t>
  </si>
  <si>
    <t>ORD-2026-00962</t>
  </si>
  <si>
    <t>ORD-2026-00963</t>
  </si>
  <si>
    <t>ORD-2026-00964</t>
  </si>
  <si>
    <t>ORD-2026-00965</t>
  </si>
  <si>
    <t>ORD-2026-00966</t>
  </si>
  <si>
    <t>ORD-2026-00967</t>
  </si>
  <si>
    <t>ORD-2026-00968</t>
  </si>
  <si>
    <t>ORD-2026-00969</t>
  </si>
  <si>
    <t>ORD-2026-00970</t>
  </si>
  <si>
    <t>ORD-2026-00971</t>
  </si>
  <si>
    <t>ORD-2026-00972</t>
  </si>
  <si>
    <t>ORD-2026-00973</t>
  </si>
  <si>
    <t>ORD-2026-00974</t>
  </si>
  <si>
    <t>ORD-2026-00975</t>
  </si>
  <si>
    <t>ORD-2026-00976</t>
  </si>
  <si>
    <t>ORD-2026-00977</t>
  </si>
  <si>
    <t>ORD-2026-00978</t>
  </si>
  <si>
    <t>ORD-2026-00979</t>
  </si>
  <si>
    <t>ORD-2026-00980</t>
  </si>
  <si>
    <t>ORD-2026-00981</t>
  </si>
  <si>
    <t>ORD-2026-00982</t>
  </si>
  <si>
    <t>ORD-2026-00983</t>
  </si>
  <si>
    <t>ORD-2026-00984</t>
  </si>
  <si>
    <t>ORD-2026-00985</t>
  </si>
  <si>
    <t>ORD-2026-00986</t>
  </si>
  <si>
    <t>ORD-2026-00987</t>
  </si>
  <si>
    <t>ORD-2026-00988</t>
  </si>
  <si>
    <t>ORD-2026-00990</t>
  </si>
  <si>
    <t>ORD-2026-00991</t>
  </si>
  <si>
    <t>ORD-2026-00992</t>
  </si>
  <si>
    <t>ORD-2026-00993</t>
  </si>
  <si>
    <t>ORD-2026-00994</t>
  </si>
  <si>
    <t>ORD-2026-00995</t>
  </si>
  <si>
    <t>ORD-2026-00996</t>
  </si>
  <si>
    <t>ORD-2026-00997</t>
  </si>
  <si>
    <t>ORD-2026-00998</t>
  </si>
  <si>
    <t>ORD-2026-00999</t>
  </si>
  <si>
    <t>ORD-2026-01000</t>
  </si>
  <si>
    <t>Count_ID</t>
  </si>
  <si>
    <t>Status_Audit</t>
  </si>
  <si>
    <t>360000</t>
  </si>
  <si>
    <t>Valid Data</t>
  </si>
  <si>
    <t>510000</t>
  </si>
  <si>
    <t>450000</t>
  </si>
  <si>
    <t>405000</t>
  </si>
  <si>
    <t>375000</t>
  </si>
  <si>
    <t>45000</t>
  </si>
  <si>
    <t>1850000</t>
  </si>
  <si>
    <t>75000</t>
  </si>
  <si>
    <t>150000</t>
  </si>
  <si>
    <t>600000</t>
  </si>
  <si>
    <t>185000</t>
  </si>
  <si>
    <t>270000</t>
  </si>
  <si>
    <t>300000</t>
  </si>
  <si>
    <t>480000</t>
  </si>
  <si>
    <t>225000</t>
  </si>
  <si>
    <t>585000</t>
  </si>
  <si>
    <t>750000</t>
  </si>
  <si>
    <t>85000</t>
  </si>
  <si>
    <t>1480000</t>
  </si>
  <si>
    <t>740000</t>
  </si>
  <si>
    <t>180000</t>
  </si>
  <si>
    <t>2000000</t>
  </si>
  <si>
    <t>675000</t>
  </si>
  <si>
    <t>1665000</t>
  </si>
  <si>
    <t>960000</t>
  </si>
  <si>
    <t>1500000</t>
  </si>
  <si>
    <t>2250000</t>
  </si>
  <si>
    <t>555000</t>
  </si>
  <si>
    <t>525000</t>
  </si>
  <si>
    <t>470000</t>
  </si>
  <si>
    <t>840000</t>
  </si>
  <si>
    <t>240000</t>
  </si>
  <si>
    <t>720000</t>
  </si>
  <si>
    <t>1110000</t>
  </si>
  <si>
    <t>1250000</t>
  </si>
  <si>
    <t>1750000</t>
  </si>
  <si>
    <t>1295000</t>
  </si>
  <si>
    <t>715000</t>
  </si>
  <si>
    <t>230000</t>
  </si>
  <si>
    <t>390000</t>
  </si>
  <si>
    <t>1655000</t>
  </si>
  <si>
    <t>Info_Audit</t>
  </si>
  <si>
    <t>Defect Data</t>
  </si>
  <si>
    <t>Defect ID/Duplicates ID;</t>
  </si>
  <si>
    <t>140000</t>
  </si>
  <si>
    <t>Defect Date Order;</t>
  </si>
  <si>
    <t>Defect ID/Duplicates ID;Defect Date Order;</t>
  </si>
  <si>
    <t>-720000</t>
  </si>
  <si>
    <t>Defect Net Amount;</t>
  </si>
  <si>
    <t>490000</t>
  </si>
  <si>
    <t>Defect ID/Duplicates ID;Defect Net Amount;</t>
  </si>
  <si>
    <t>-65000</t>
  </si>
  <si>
    <t>-1495000</t>
  </si>
  <si>
    <t>1070000</t>
  </si>
  <si>
    <t>Total</t>
  </si>
  <si>
    <t>Error Data</t>
  </si>
  <si>
    <t>Channel  Error</t>
  </si>
  <si>
    <t>Payment Error</t>
  </si>
  <si>
    <t>Product Error</t>
  </si>
  <si>
    <t>Qty Error</t>
  </si>
  <si>
    <t>Gross Error</t>
  </si>
  <si>
    <t>Discount Error</t>
  </si>
  <si>
    <t>=</t>
  </si>
  <si>
    <t>-525000</t>
  </si>
  <si>
    <t>2026-06-12</t>
  </si>
  <si>
    <t>-1665000</t>
  </si>
  <si>
    <t>-240000</t>
  </si>
  <si>
    <t>2026-03-22</t>
  </si>
  <si>
    <t>-45000</t>
  </si>
  <si>
    <t>2026-07-14</t>
  </si>
  <si>
    <t>-180000</t>
  </si>
  <si>
    <t>2026-07-11</t>
  </si>
  <si>
    <t>-235000</t>
  </si>
  <si>
    <t>13/01/2026</t>
  </si>
  <si>
    <t>-150000</t>
  </si>
  <si>
    <t>25/01/2026</t>
  </si>
  <si>
    <t>-300000</t>
  </si>
  <si>
    <t>-405000</t>
  </si>
  <si>
    <t>2026-07-03</t>
  </si>
  <si>
    <t>-250000</t>
  </si>
  <si>
    <t>2026-02-04</t>
  </si>
  <si>
    <t>Defect Net Amount;Defect Date Order;</t>
  </si>
  <si>
    <t>2026-04-22</t>
  </si>
  <si>
    <t>2026-08-28</t>
  </si>
  <si>
    <t>-960000</t>
  </si>
  <si>
    <t>2026-01-23</t>
  </si>
  <si>
    <t>-120000</t>
  </si>
  <si>
    <t>-750000</t>
  </si>
  <si>
    <t>2026-05-11</t>
  </si>
  <si>
    <t>-225000</t>
  </si>
  <si>
    <t>-1480000</t>
  </si>
  <si>
    <t>2026-01-28</t>
  </si>
  <si>
    <t>-450000</t>
  </si>
  <si>
    <t>2026-07-28</t>
  </si>
  <si>
    <t>-135000</t>
  </si>
  <si>
    <t>2026-04-27</t>
  </si>
  <si>
    <t>-1850000</t>
  </si>
  <si>
    <t>2026-02-19</t>
  </si>
  <si>
    <t>-360000</t>
  </si>
  <si>
    <t>2026-06-19</t>
  </si>
  <si>
    <t>2026-06-10</t>
  </si>
  <si>
    <t>-595000</t>
  </si>
  <si>
    <t>2026-04-26</t>
  </si>
  <si>
    <t>15/05/2026</t>
  </si>
  <si>
    <t>2026-04-09</t>
  </si>
  <si>
    <t>-600000</t>
  </si>
  <si>
    <t>04/01/2026</t>
  </si>
  <si>
    <t>-75000</t>
  </si>
  <si>
    <t>2026-03-08</t>
  </si>
  <si>
    <t>2026-07-04</t>
  </si>
  <si>
    <t>-950000</t>
  </si>
  <si>
    <t>2026-05-18</t>
  </si>
  <si>
    <t>-185000</t>
  </si>
  <si>
    <t>2026-07-09</t>
  </si>
  <si>
    <t>-1500000</t>
  </si>
  <si>
    <t>2026-06-18</t>
  </si>
  <si>
    <t>-370000</t>
  </si>
  <si>
    <t>2026-02-26</t>
  </si>
  <si>
    <t>26/03/2026</t>
  </si>
  <si>
    <t>-1470000</t>
  </si>
  <si>
    <t>2026-04-10</t>
  </si>
  <si>
    <t>-1000000</t>
  </si>
  <si>
    <t>2026-02-27</t>
  </si>
  <si>
    <t>ID Order Error (Duplicates/Blank Cell)</t>
  </si>
  <si>
    <t>Net Amount Error (Include Net&lt;0/Non Number)</t>
  </si>
  <si>
    <t>Order Date Error (Include Non Date)</t>
  </si>
  <si>
    <t>Channel</t>
  </si>
  <si>
    <t>Payment_Method</t>
  </si>
  <si>
    <t>Product_Name</t>
  </si>
  <si>
    <t>Qty</t>
  </si>
  <si>
    <t>Gross_Amount</t>
  </si>
  <si>
    <t>Discount_IDR</t>
  </si>
  <si>
    <t>Net_Amount_IDR</t>
  </si>
  <si>
    <t>Order_Date</t>
  </si>
  <si>
    <t>Status</t>
  </si>
  <si>
    <t>Shopee</t>
  </si>
  <si>
    <t>Credit Card</t>
  </si>
  <si>
    <t>Muesli Oats Fruit Mix 500g</t>
  </si>
  <si>
    <t>TikTok Shop</t>
  </si>
  <si>
    <t>GoPay</t>
  </si>
  <si>
    <t>Saffron EDP Perfume 50ml</t>
  </si>
  <si>
    <t>04/04/2026</t>
  </si>
  <si>
    <t>Website Direct</t>
  </si>
  <si>
    <t>BCA Virtual Account</t>
  </si>
  <si>
    <t>2026-01-03</t>
  </si>
  <si>
    <t xml:space="preserve"> Bank Transfer  </t>
  </si>
  <si>
    <t>Roti Bakar Premium Spread</t>
  </si>
  <si>
    <t>Bank Transfer</t>
  </si>
  <si>
    <t>2026-05-16</t>
  </si>
  <si>
    <t>Tokopedia</t>
  </si>
  <si>
    <t>2026-06-04</t>
  </si>
  <si>
    <t>ShopeePay</t>
  </si>
  <si>
    <t>2026-08-10</t>
  </si>
  <si>
    <t>Deodorant Natural Roll-On 50ml</t>
  </si>
  <si>
    <t>Rp 45.000</t>
  </si>
  <si>
    <t>2026-05-25</t>
  </si>
  <si>
    <t>Kopi Kenangan Blend 250g</t>
  </si>
  <si>
    <t>2026-03-16</t>
  </si>
  <si>
    <t>2026-08-08</t>
  </si>
  <si>
    <t>28/05/2026</t>
  </si>
  <si>
    <t>2026-02-18</t>
  </si>
  <si>
    <t>2026-07-08</t>
  </si>
  <si>
    <t xml:space="preserve"> BCA Virtual Account  </t>
  </si>
  <si>
    <t>2026-08-23</t>
  </si>
  <si>
    <t>Rp 270.000</t>
  </si>
  <si>
    <t>2026-08-02</t>
  </si>
  <si>
    <t>2026-03-17</t>
  </si>
  <si>
    <t>Rp 1.500.000</t>
  </si>
  <si>
    <t>shopee</t>
  </si>
  <si>
    <t xml:space="preserve"> ShopeePay  </t>
  </si>
  <si>
    <t>2026-06-28</t>
  </si>
  <si>
    <t>17/05/2026</t>
  </si>
  <si>
    <t>2026-01-21</t>
  </si>
  <si>
    <t>tokopedia</t>
  </si>
  <si>
    <t>Rp 360.000</t>
  </si>
  <si>
    <t>2026-08-14</t>
  </si>
  <si>
    <t>Rp 225.000</t>
  </si>
  <si>
    <t>2026-05-22</t>
  </si>
  <si>
    <t>27/01/2026</t>
  </si>
  <si>
    <t>2026-07-05</t>
  </si>
  <si>
    <t>Rp 450.000</t>
  </si>
  <si>
    <t>2026-08-09</t>
  </si>
  <si>
    <t>website direct</t>
  </si>
  <si>
    <t>2026-03-19</t>
  </si>
  <si>
    <t>2026-06-25</t>
  </si>
  <si>
    <t>2026-03-14</t>
  </si>
  <si>
    <t>Rp 1.480.000</t>
  </si>
  <si>
    <t>24/01/2026</t>
  </si>
  <si>
    <t>2026-08-11</t>
  </si>
  <si>
    <t>2026-08-22</t>
  </si>
  <si>
    <t>Rp 180.000</t>
  </si>
  <si>
    <t>20/05/2026</t>
  </si>
  <si>
    <t>2026-08-24</t>
  </si>
  <si>
    <t>Rp 740.000</t>
  </si>
  <si>
    <t>tiktok shop</t>
  </si>
  <si>
    <t>05/05/2026</t>
  </si>
  <si>
    <t>19/08/2026</t>
  </si>
  <si>
    <t>Rp 185.000</t>
  </si>
  <si>
    <t>2026-02-13</t>
  </si>
  <si>
    <t>2026-04-16</t>
  </si>
  <si>
    <t>2026-04-28</t>
  </si>
  <si>
    <t>Rp 735.000</t>
  </si>
  <si>
    <t>2026-06-06</t>
  </si>
  <si>
    <t>Rp 750.000</t>
  </si>
  <si>
    <t>2026-03-06</t>
  </si>
  <si>
    <t xml:space="preserve"> Credit Card  </t>
  </si>
  <si>
    <t>2026-06-21</t>
  </si>
  <si>
    <t>09/04/2026</t>
  </si>
  <si>
    <t xml:space="preserve"> QRIS  </t>
  </si>
  <si>
    <t>Rp 250.000</t>
  </si>
  <si>
    <t>2026-07-06</t>
  </si>
  <si>
    <t>2026-02-05</t>
  </si>
  <si>
    <t>05/02/2026</t>
  </si>
  <si>
    <t>2026-02-11</t>
  </si>
  <si>
    <t>Rp 1.200.000</t>
  </si>
  <si>
    <t>2026-05-28</t>
  </si>
  <si>
    <t>2026-04-07</t>
  </si>
  <si>
    <t>2026-06-03</t>
  </si>
  <si>
    <t>Rp 525.000</t>
  </si>
  <si>
    <t>2026-07-07</t>
  </si>
  <si>
    <t>2026-01-16</t>
  </si>
  <si>
    <t>10/07/2026</t>
  </si>
  <si>
    <t>2026-01-24</t>
  </si>
  <si>
    <t>2026-02-22</t>
  </si>
  <si>
    <t>2026-07-18</t>
  </si>
  <si>
    <t>2026-03-25</t>
  </si>
  <si>
    <t>2026-04-08</t>
  </si>
  <si>
    <t>2026-01-26</t>
  </si>
  <si>
    <t xml:space="preserve"> GoPay  </t>
  </si>
  <si>
    <t>Rp 300.000</t>
  </si>
  <si>
    <t>2026-02-21</t>
  </si>
  <si>
    <t>27/02/2026</t>
  </si>
  <si>
    <t>Rp 150.000</t>
  </si>
  <si>
    <t>2026-03-10</t>
  </si>
  <si>
    <t>Rp 925.000</t>
  </si>
  <si>
    <t>2026-05-04</t>
  </si>
  <si>
    <t>2026-08-15</t>
  </si>
  <si>
    <t>2026-02-09</t>
  </si>
  <si>
    <t>2026-03-04</t>
  </si>
  <si>
    <t>2026-04-02</t>
  </si>
  <si>
    <t>2026-03-24</t>
  </si>
  <si>
    <t>04/08/2026</t>
  </si>
  <si>
    <t>2026-05-27</t>
  </si>
  <si>
    <t>2026-04-21</t>
  </si>
  <si>
    <t>2026-06-27</t>
  </si>
  <si>
    <t>26/07/2026</t>
  </si>
  <si>
    <t>Rp 120.000</t>
  </si>
  <si>
    <t>2026-01-07</t>
  </si>
  <si>
    <t>2026-06-13</t>
  </si>
  <si>
    <t>Rp 555.000</t>
  </si>
  <si>
    <t>2026-08-07</t>
  </si>
  <si>
    <t>Rp 90.000</t>
  </si>
  <si>
    <t>2026-07-24</t>
  </si>
  <si>
    <t>2026-07-26</t>
  </si>
  <si>
    <t>Rp 1.080.000</t>
  </si>
  <si>
    <t>18/05/2026</t>
  </si>
  <si>
    <t>2026-01-04</t>
  </si>
  <si>
    <t>2026-02-16</t>
  </si>
  <si>
    <t>28/06/2026</t>
  </si>
  <si>
    <t>2026-01-25</t>
  </si>
  <si>
    <t>2026-07-01</t>
  </si>
  <si>
    <t>08/08/2026</t>
  </si>
  <si>
    <t>16/02/2026</t>
  </si>
  <si>
    <t>2026-05-12</t>
  </si>
  <si>
    <t>Rp 2.250.000</t>
  </si>
  <si>
    <t>14/01/2026</t>
  </si>
  <si>
    <t>2026-01-10</t>
  </si>
  <si>
    <t>Rp 600.000</t>
  </si>
  <si>
    <t>2026-05-01</t>
  </si>
  <si>
    <t>2026-06-14</t>
  </si>
  <si>
    <t>2026-01-09</t>
  </si>
  <si>
    <t>2026-04-19</t>
  </si>
  <si>
    <t>2026-05-02</t>
  </si>
  <si>
    <t>2026-01-22</t>
  </si>
  <si>
    <t>2026-03-13</t>
  </si>
  <si>
    <t>2026-04-13</t>
  </si>
  <si>
    <t>2026-07-02</t>
  </si>
  <si>
    <t>2026-06-24</t>
  </si>
  <si>
    <t>10/05/2026</t>
  </si>
  <si>
    <t>Rp 945.000</t>
  </si>
  <si>
    <t>2026-07-20</t>
  </si>
  <si>
    <t>2026-08-13</t>
  </si>
  <si>
    <t>2026-03-02</t>
  </si>
  <si>
    <t>2026-08-27</t>
  </si>
  <si>
    <t>2026-06-08</t>
  </si>
  <si>
    <t>2026-06-11</t>
  </si>
  <si>
    <t>Rp 500.000</t>
  </si>
  <si>
    <t>2026-01-15</t>
  </si>
  <si>
    <t>2026-06-20</t>
  </si>
  <si>
    <t>2026-04-01</t>
  </si>
  <si>
    <t>2026-03-03</t>
  </si>
  <si>
    <t>2026-02-20</t>
  </si>
  <si>
    <t>11/07/2026</t>
  </si>
  <si>
    <t>Rp 405.000</t>
  </si>
  <si>
    <t>2026-07-19</t>
  </si>
  <si>
    <t>2026-05-10</t>
  </si>
  <si>
    <t>23/04/2026</t>
  </si>
  <si>
    <t>2026-03-09</t>
  </si>
  <si>
    <t>2026-08-19</t>
  </si>
  <si>
    <t>2026-04-23</t>
  </si>
  <si>
    <t>2026-02-15</t>
  </si>
  <si>
    <t>2026-05-07</t>
  </si>
  <si>
    <t>12/03/2026</t>
  </si>
  <si>
    <t>2026-03-15</t>
  </si>
  <si>
    <t>2026-06-15</t>
  </si>
  <si>
    <t>2026-01-01</t>
  </si>
  <si>
    <t>2026-02-07</t>
  </si>
  <si>
    <t>2026-04-06</t>
  </si>
  <si>
    <t>27/04/2026</t>
  </si>
  <si>
    <t>2026-05-21</t>
  </si>
  <si>
    <t>22/07/2026</t>
  </si>
  <si>
    <t>16/03/2026</t>
  </si>
  <si>
    <t>2026-01-27</t>
  </si>
  <si>
    <t>2026-01-06</t>
  </si>
  <si>
    <t>2026-08-05</t>
  </si>
  <si>
    <t>2026-08-21</t>
  </si>
  <si>
    <t>Rp 370.000</t>
  </si>
  <si>
    <t>Rp 1.110.000</t>
  </si>
  <si>
    <t>2026-07-12</t>
  </si>
  <si>
    <t>2026-01-13</t>
  </si>
  <si>
    <t>Rp 2.000.000</t>
  </si>
  <si>
    <t>2026-03-20</t>
  </si>
  <si>
    <t>19/02/2026</t>
  </si>
  <si>
    <t>2026-02-24</t>
  </si>
  <si>
    <t>Rp 1.280.000</t>
  </si>
  <si>
    <t>28/07/2026</t>
  </si>
  <si>
    <t>2026-04-20</t>
  </si>
  <si>
    <t>2026-02-17</t>
  </si>
  <si>
    <t>22/05/2026</t>
  </si>
  <si>
    <t>2026-03-12</t>
  </si>
  <si>
    <t>Rp 1.295.000</t>
  </si>
  <si>
    <t>Rp 1.850.000</t>
  </si>
  <si>
    <t>Rp 290.000</t>
  </si>
  <si>
    <t>Rp 1.475.000</t>
  </si>
  <si>
    <t>2026-04-25</t>
  </si>
  <si>
    <t>04/06/2026</t>
  </si>
  <si>
    <t>28/08/2026</t>
  </si>
  <si>
    <t>2026-02-02</t>
  </si>
  <si>
    <t>2026-03-28</t>
  </si>
  <si>
    <t>2026-03-26</t>
  </si>
  <si>
    <t>Rp 470.000</t>
  </si>
  <si>
    <t>2026-02-28</t>
  </si>
  <si>
    <t>2026-04-18</t>
  </si>
  <si>
    <t>Rp 1.485.000</t>
  </si>
  <si>
    <t>2026-08-26</t>
  </si>
  <si>
    <t>2026-08-25</t>
  </si>
  <si>
    <t>21/05/2026</t>
  </si>
  <si>
    <t>23/03/2026</t>
  </si>
  <si>
    <t>2026-02-14</t>
  </si>
  <si>
    <t>Rp 840.000</t>
  </si>
  <si>
    <t>2026-03-18</t>
  </si>
  <si>
    <t>2026-03-05</t>
  </si>
  <si>
    <t>Rp 315.000</t>
  </si>
  <si>
    <t>2026-07-15</t>
  </si>
  <si>
    <t>2026-08-06</t>
  </si>
  <si>
    <t>2026-05-08</t>
  </si>
  <si>
    <t>24/06/2026</t>
  </si>
  <si>
    <t>2026-02-25</t>
  </si>
  <si>
    <t>2026-06-09</t>
  </si>
  <si>
    <t>21/03/2026</t>
  </si>
  <si>
    <t>2026-03-27</t>
  </si>
  <si>
    <t>2026-02-08</t>
  </si>
  <si>
    <t>2026-07-27</t>
  </si>
  <si>
    <t>Rp 1.000.000</t>
  </si>
  <si>
    <t>Rp 375.000</t>
  </si>
  <si>
    <t>2026-05-23</t>
  </si>
  <si>
    <t>Rp 990.000</t>
  </si>
  <si>
    <t>2026-06-23</t>
  </si>
  <si>
    <t>2026-04-14</t>
  </si>
  <si>
    <t>Rp 1.250.000</t>
  </si>
  <si>
    <t>Rp 2.500.000</t>
  </si>
  <si>
    <t>24/07/2026</t>
  </si>
  <si>
    <t>28/03/2026</t>
  </si>
  <si>
    <t>2026-07-10</t>
  </si>
  <si>
    <t>25/03/2026</t>
  </si>
  <si>
    <t>03/02/2026</t>
  </si>
  <si>
    <t>2026-05-24</t>
  </si>
  <si>
    <t>07/02/2026</t>
  </si>
  <si>
    <t>14/02/2026</t>
  </si>
  <si>
    <t>2026-05-09</t>
  </si>
  <si>
    <t>06/05/2026</t>
  </si>
  <si>
    <t>22/02/2026</t>
  </si>
  <si>
    <t>01/07/2026</t>
  </si>
  <si>
    <t>22/03/2026</t>
  </si>
  <si>
    <t>03/04/2026</t>
  </si>
  <si>
    <t>18/04/2026</t>
  </si>
  <si>
    <t>Rp 590.000</t>
  </si>
  <si>
    <t>2026-03-07</t>
  </si>
  <si>
    <t>Rp 480.000</t>
  </si>
  <si>
    <t>05/04/2026</t>
  </si>
  <si>
    <t>2026-01-11</t>
  </si>
  <si>
    <t>Rp 995.000</t>
  </si>
  <si>
    <t>Rp 1.990.000</t>
  </si>
  <si>
    <t>13/07/2026</t>
  </si>
  <si>
    <t>2026-06-07</t>
  </si>
  <si>
    <t>2026-05-14</t>
  </si>
  <si>
    <t>07/07/2026</t>
  </si>
  <si>
    <t>2026-03-21</t>
  </si>
  <si>
    <t>08/07/2026</t>
  </si>
  <si>
    <t>04/07/2026</t>
  </si>
  <si>
    <t>2026-03-01</t>
  </si>
  <si>
    <t>Rp 1.185.000</t>
  </si>
  <si>
    <t>27/07/2026</t>
  </si>
  <si>
    <t>2026-06-02</t>
  </si>
  <si>
    <t>Rp 135.000</t>
  </si>
  <si>
    <t>15/01/2026</t>
  </si>
  <si>
    <t>09/07/2026</t>
  </si>
  <si>
    <t>20/07/2026</t>
  </si>
  <si>
    <t>06/02/2026</t>
  </si>
  <si>
    <t>2026-02-03</t>
  </si>
  <si>
    <t>Rp 240.000</t>
  </si>
  <si>
    <t>2026-07-25</t>
  </si>
  <si>
    <t>02/05/2026</t>
  </si>
  <si>
    <t>Rp 1.750.000</t>
  </si>
  <si>
    <t>20/03/2026</t>
  </si>
  <si>
    <t>14/08/2026</t>
  </si>
  <si>
    <t>2026-06-22</t>
  </si>
  <si>
    <t>Rp 75.000</t>
  </si>
  <si>
    <t>15/04/2026</t>
  </si>
  <si>
    <t>12/01/2026</t>
  </si>
  <si>
    <t>Rp 1.235.000</t>
  </si>
  <si>
    <t>2026-05-26</t>
  </si>
  <si>
    <t>05/03/2026</t>
  </si>
  <si>
    <t>Rp 720.000</t>
  </si>
  <si>
    <t>Net_Amount_IDR_Parsed</t>
  </si>
  <si>
    <t>Net_Amount_IDR_Clear</t>
  </si>
  <si>
    <t>Order_Date_Clean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</si>
</sst>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22"/>
      <color theme="1"/>
      <name val="Arial"/>
      <family val="2"/>
    </font>
    <font>
      <sz val="12"/>
      <color theme="0"/>
      <name val="Arial"/>
      <family val="2"/>
    </font>
    <font>
      <sz val="22"/>
      <color rgb="FFFF0000"/>
      <name val="Arial"/>
      <family val="2"/>
    </font>
    <font>
      <sz val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8" tint="-0.24994659260841701"/>
        <bgColor theme="8" tint="-0.24994659260841701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9" fontId="4" fillId="2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0" xfId="0" applyNumberFormat="1"/>
    <xf numFmtId="0" fontId="4" fillId="5" borderId="0" xfId="0" applyFont="1" applyFill="1" applyBorder="1" applyAlignment="1">
      <alignment horizontal="center" vertical="center"/>
    </xf>
    <xf numFmtId="0" fontId="3" fillId="2" borderId="0" xfId="0" applyFont="1" applyFill="1" applyBorder="1"/>
  </cellXfs>
  <cellStyles count="2">
    <cellStyle name="Normal" xfId="0" builtinId="0"/>
    <cellStyle name="Per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800"/>
              <a:t>Persentase Defect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D-4CF4-AA33-5B12D182185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ED-4CF4-AA33-5B12D182185C}"/>
              </c:ext>
            </c:extLst>
          </c:dPt>
          <c:cat>
            <c:strRef>
              <c:f>(Result_Audit!$A$2,Result_Audit!$C$2)</c:f>
              <c:strCache>
                <c:ptCount val="2"/>
                <c:pt idx="0">
                  <c:v>Valid Data</c:v>
                </c:pt>
                <c:pt idx="1">
                  <c:v>Defect Data</c:v>
                </c:pt>
              </c:strCache>
            </c:strRef>
          </c:cat>
          <c:val>
            <c:numRef>
              <c:f>(Result_Audit!$A$3,Result_Audit!$C$3)</c:f>
              <c:numCache>
                <c:formatCode>General</c:formatCode>
                <c:ptCount val="2"/>
                <c:pt idx="0">
                  <c:v>867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C-4F40-BFE6-865D8772E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800">
                <a:latin typeface="Arial" panose="020B0604020202020204" pitchFamily="34" charset="0"/>
                <a:cs typeface="Arial" panose="020B0604020202020204" pitchFamily="34" charset="0"/>
              </a:rPr>
              <a:t>Persentase</a:t>
            </a:r>
            <a:r>
              <a:rPr lang="id-ID" sz="1800" baseline="0">
                <a:latin typeface="Arial" panose="020B0604020202020204" pitchFamily="34" charset="0"/>
                <a:cs typeface="Arial" panose="020B0604020202020204" pitchFamily="34" charset="0"/>
              </a:rPr>
              <a:t> Error Data</a:t>
            </a:r>
            <a:endParaRPr lang="id-ID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A1-4DAE-AAC0-A33C564168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A1-4DAE-AAC0-A33C564168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A1-4DAE-AAC0-A33C564168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A1-4DAE-AAC0-A33C564168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A1-4DAE-AAC0-A33C564168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A1-4DAE-AAC0-A33C564168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A1-4DAE-AAC0-A33C564168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5A1-4DAE-AAC0-A33C564168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5A1-4DAE-AAC0-A33C56416843}"/>
              </c:ext>
            </c:extLst>
          </c:dPt>
          <c:cat>
            <c:strRef>
              <c:f>Result_Audit!$A$7:$A$15</c:f>
              <c:strCache>
                <c:ptCount val="9"/>
                <c:pt idx="0">
                  <c:v>ID Order Error (Duplicates/Blank Cell)</c:v>
                </c:pt>
                <c:pt idx="1">
                  <c:v>Channel  Error</c:v>
                </c:pt>
                <c:pt idx="2">
                  <c:v>Payment Error</c:v>
                </c:pt>
                <c:pt idx="3">
                  <c:v>Product Error</c:v>
                </c:pt>
                <c:pt idx="4">
                  <c:v>Qty Error</c:v>
                </c:pt>
                <c:pt idx="5">
                  <c:v>Gross Error</c:v>
                </c:pt>
                <c:pt idx="6">
                  <c:v>Discount Error</c:v>
                </c:pt>
                <c:pt idx="7">
                  <c:v>Net Amount Error (Include Net&lt;0/Non Number)</c:v>
                </c:pt>
                <c:pt idx="8">
                  <c:v>Order Date Error (Include Non Date)</c:v>
                </c:pt>
              </c:strCache>
            </c:strRef>
          </c:cat>
          <c:val>
            <c:numRef>
              <c:f>Result_Audit!$D$7:$D$15</c:f>
              <c:numCache>
                <c:formatCode>0%</c:formatCode>
                <c:ptCount val="9"/>
                <c:pt idx="0">
                  <c:v>0.2857142857142857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0.48872180451127817</c:v>
                </c:pt>
                <c:pt idx="8">
                  <c:v>0.27067669172932329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F-4B97-AC83-683455F3B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95809</xdr:colOff>
      <xdr:row>4</xdr:row>
      <xdr:rowOff>137833</xdr:rowOff>
    </xdr:from>
    <xdr:to>
      <xdr:col>7</xdr:col>
      <xdr:colOff>229159</xdr:colOff>
      <xdr:row>12</xdr:row>
      <xdr:rowOff>343741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D10CD8-6829-44BB-AD0F-CD0C89745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257736</xdr:colOff>
      <xdr:row>4</xdr:row>
      <xdr:rowOff>75240</xdr:rowOff>
    </xdr:from>
    <xdr:to>
      <xdr:col>13</xdr:col>
      <xdr:colOff>89647</xdr:colOff>
      <xdr:row>19</xdr:row>
      <xdr:rowOff>89648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A69B5-1D27-60B9-17F5-BEC088D5D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BB0E238-CD4D-469C-8BEF-B07CF78C720A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hannel" tableColumnId="2"/>
      <queryTableField id="3" name="Payment_Method" tableColumnId="3"/>
      <queryTableField id="4" name="Product_Name" tableColumnId="4"/>
      <queryTableField id="5" name="Qty" tableColumnId="5"/>
      <queryTableField id="6" name="Gross_Amount" tableColumnId="6"/>
      <queryTableField id="7" name="Discount_IDR" tableColumnId="7"/>
      <queryTableField id="8" name="Net_Amount_IDR" tableColumnId="8"/>
      <queryTableField id="9" name="Order_Date" tableColumnId="9"/>
      <queryTableField id="10" name="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3683D38-42A8-4952-ADCE-D828218C4A4A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Channel" tableColumnId="2"/>
      <queryTableField id="3" name="Payment_Method" tableColumnId="3"/>
      <queryTableField id="4" name="Product_Name" tableColumnId="4"/>
      <queryTableField id="5" name="Qty" tableColumnId="5"/>
      <queryTableField id="6" name="Gross_Amount" tableColumnId="6"/>
      <queryTableField id="7" name="Discount_IDR" tableColumnId="7"/>
      <queryTableField id="8" name="Net_Amount_IDR_Clear" tableColumnId="8"/>
      <queryTableField id="9" name="Order_Date_Clean" tableColumnId="9"/>
      <queryTableField id="10" name="Status" tableColumnId="10"/>
      <queryTableField id="11" name="Status_Audi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A617531-631E-4797-A6D6-BD6C81180DF1}" autoFormatId="16" applyNumberFormats="0" applyBorderFormats="0" applyFontFormats="0" applyPatternFormats="0" applyAlignmentFormats="0" applyWidthHeightFormats="0">
  <queryTableRefresh nextId="42">
    <queryTableFields count="16">
      <queryTableField id="1" name="Order_ID" tableColumnId="1"/>
      <queryTableField id="2" name="Count_ID" tableColumnId="2"/>
      <queryTableField id="18" name="Channel" tableColumnId="3"/>
      <queryTableField id="19" name="Payment_Method" tableColumnId="4"/>
      <queryTableField id="20" name="Product_Name" tableColumnId="5"/>
      <queryTableField id="21" name="Qty" tableColumnId="6"/>
      <queryTableField id="22" name="Gross_Amount" tableColumnId="7"/>
      <queryTableField id="23" name="Discount_IDR" tableColumnId="8"/>
      <queryTableField id="24" name="Net_Amount_IDR" tableColumnId="9"/>
      <queryTableField id="25" name="Net_Amount_IDR_Parsed" tableColumnId="10"/>
      <queryTableField id="26" name="Net_Amount_IDR_Clear" tableColumnId="11"/>
      <queryTableField id="27" name="Order_Date" tableColumnId="12"/>
      <queryTableField id="28" name="Order_Date_Clean" tableColumnId="13"/>
      <queryTableField id="29" name="Status" tableColumnId="16"/>
      <queryTableField id="14" name="Status_Audit" tableColumnId="14"/>
      <queryTableField id="15" name="Info_Audit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9662BE-3A8D-4245-ABD6-CE01D7AD329E}" name="Table3" displayName="Table3" ref="A7:D15" headerRowCount="0" totalsRowShown="0" headerRowDxfId="9" dataDxfId="8">
  <tableColumns count="4">
    <tableColumn id="1" xr3:uid="{EE70C593-1B4B-4A6C-ABBE-12226BADFFBE}" name="Column1" headerRowDxfId="7" dataDxfId="6"/>
    <tableColumn id="2" xr3:uid="{5AE82ED3-160C-46C5-9851-45241E4D7C37}" name="Column2" headerRowDxfId="5" dataDxfId="4"/>
    <tableColumn id="3" xr3:uid="{2A662A08-ED8A-41DF-85F9-6E79B250149C}" name="Column3" headerRowDxfId="3" dataDxfId="2"/>
    <tableColumn id="4" xr3:uid="{6F86AE1A-E0E3-43F6-A0D7-CDD46B7BF1BC}" name="Column4" headerRowDxfId="1" dataDxfId="0" headerRowCellStyle="Percent" dataCellStyle="Percent">
      <calculatedColumnFormula>C8/$C$3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57AD5D-4914-4ABD-87E5-C375EEDD67CE}" name="DataOrder_Raw_Data" displayName="DataOrder_Raw_Data" ref="A1:J1001" tableType="queryTable" totalsRowShown="0">
  <autoFilter ref="A1:J1001" xr:uid="{C757AD5D-4914-4ABD-87E5-C375EEDD67CE}"/>
  <tableColumns count="10">
    <tableColumn id="1" xr3:uid="{88CB93B9-4902-4320-BD57-682FF30D5B2C}" uniqueName="1" name="Order_ID" queryTableFieldId="1" dataDxfId="29"/>
    <tableColumn id="2" xr3:uid="{FACFF77A-9A14-459E-8F99-FE54958BC984}" uniqueName="2" name="Channel" queryTableFieldId="2" dataDxfId="28"/>
    <tableColumn id="3" xr3:uid="{155F8120-4614-4247-9141-5F0E108C3CC0}" uniqueName="3" name="Payment_Method" queryTableFieldId="3" dataDxfId="27"/>
    <tableColumn id="4" xr3:uid="{571894D4-1DDD-48E0-9535-CB62A93FF278}" uniqueName="4" name="Product_Name" queryTableFieldId="4" dataDxfId="26"/>
    <tableColumn id="5" xr3:uid="{B8307647-2804-4737-B2F7-1DE8169DFBD9}" uniqueName="5" name="Qty" queryTableFieldId="5"/>
    <tableColumn id="6" xr3:uid="{DFF37811-50D8-4061-B11D-882B41A50DD2}" uniqueName="6" name="Gross_Amount" queryTableFieldId="6"/>
    <tableColumn id="7" xr3:uid="{7A13ED94-EF30-4277-9EAE-39A31E88BA6B}" uniqueName="7" name="Discount_IDR" queryTableFieldId="7"/>
    <tableColumn id="8" xr3:uid="{FF8CB6CB-49F7-4B93-AA04-6EFB6CEDF263}" uniqueName="8" name="Net_Amount_IDR" queryTableFieldId="8"/>
    <tableColumn id="9" xr3:uid="{3B121799-9407-485D-9C75-4E9E3F8CAC4F}" uniqueName="9" name="Order_Date" queryTableFieldId="9" dataDxfId="25"/>
    <tableColumn id="10" xr3:uid="{A25F87F6-404B-4C12-B06F-C254E910BEF6}" uniqueName="10" name="Status" queryTableFieldId="10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83896D-BF6C-422D-97DC-800876DF95F7}" name="DataOrder_ReadyUse_1" displayName="DataOrder_ReadyUse_1" ref="A1:K868" tableType="queryTable" totalsRowShown="0">
  <autoFilter ref="A1:K868" xr:uid="{D883896D-BF6C-422D-97DC-800876DF95F7}"/>
  <tableColumns count="11">
    <tableColumn id="1" xr3:uid="{4857C6D3-3AC4-4DBC-8184-180932CDDE68}" uniqueName="1" name="Order_ID" queryTableFieldId="1" dataDxfId="15"/>
    <tableColumn id="2" xr3:uid="{334EFC6F-A39B-4EB3-81F5-916857C9BB85}" uniqueName="2" name="Channel" queryTableFieldId="2" dataDxfId="14"/>
    <tableColumn id="3" xr3:uid="{B03335F5-18CA-48BB-A833-B453CC0853CA}" uniqueName="3" name="Payment_Method" queryTableFieldId="3" dataDxfId="13"/>
    <tableColumn id="4" xr3:uid="{40FE884F-493E-4BDE-B5C5-3B061A48E9BF}" uniqueName="4" name="Product_Name" queryTableFieldId="4" dataDxfId="12"/>
    <tableColumn id="5" xr3:uid="{474DEE76-603C-4004-A253-A9AF7A7B6AD4}" uniqueName="5" name="Qty" queryTableFieldId="5"/>
    <tableColumn id="6" xr3:uid="{DCE34257-8A4A-4694-8BE4-C6303666F99E}" uniqueName="6" name="Gross_Amount" queryTableFieldId="6"/>
    <tableColumn id="7" xr3:uid="{0F094725-5831-4C6D-B4F9-8291EB995DE3}" uniqueName="7" name="Discount_IDR" queryTableFieldId="7"/>
    <tableColumn id="8" xr3:uid="{53036EA0-8660-439F-BD9A-A57D07A19A0A}" uniqueName="8" name="Net_Amount_IDR_Clear" queryTableFieldId="8"/>
    <tableColumn id="9" xr3:uid="{F9097518-6D7C-4A43-A5A2-5987A1FB5F3C}" uniqueName="9" name="Order_Date_Clean" queryTableFieldId="9" dataDxfId="11"/>
    <tableColumn id="10" xr3:uid="{CCCD354B-617F-4CB2-BC6A-90662102D6D9}" uniqueName="10" name="Status" queryTableFieldId="10" dataDxfId="10"/>
    <tableColumn id="11" xr3:uid="{E485C96A-502E-4225-8F11-28E2AE5130F7}" uniqueName="11" name="Status_Audit" queryTableField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A06854-514D-43DF-B53B-3C3F9931F3AB}" name="DataOrder_Defect" displayName="DataOrder_Defect" ref="A1:P134" tableType="queryTable" totalsRowShown="0">
  <autoFilter ref="A1:P134" xr:uid="{DCA06854-514D-43DF-B53B-3C3F9931F3AB}"/>
  <tableColumns count="16">
    <tableColumn id="1" xr3:uid="{310D21C6-3296-4931-B936-E6EE829C8854}" uniqueName="1" name="Order_ID" queryTableFieldId="1" dataDxfId="23"/>
    <tableColumn id="2" xr3:uid="{4853F8FA-4FC0-4D49-922B-04B6496429D3}" uniqueName="2" name="Count_ID" queryTableFieldId="2"/>
    <tableColumn id="3" xr3:uid="{F0867C23-BADB-4300-B452-CE9165DBCBD0}" uniqueName="3" name="Channel" queryTableFieldId="18" dataDxfId="22"/>
    <tableColumn id="4" xr3:uid="{7AC4C44A-EE4E-4E38-9EE7-9DD32D2792C1}" uniqueName="4" name="Payment_Method" queryTableFieldId="19" dataDxfId="21"/>
    <tableColumn id="5" xr3:uid="{D971489A-E73B-47E3-B053-2FE8F6C96488}" uniqueName="5" name="Product_Name" queryTableFieldId="20" dataDxfId="20"/>
    <tableColumn id="6" xr3:uid="{93925B1C-7B4D-4AE2-8B9A-44A61A11B8B1}" uniqueName="6" name="Qty" queryTableFieldId="21"/>
    <tableColumn id="7" xr3:uid="{C59CAA5E-D43D-455E-87D0-321A99BBF6D8}" uniqueName="7" name="Gross_Amount" queryTableFieldId="22"/>
    <tableColumn id="8" xr3:uid="{AB3CF99E-1BF0-4DB5-A036-5EF1600FB9AE}" uniqueName="8" name="Discount_IDR" queryTableFieldId="23"/>
    <tableColumn id="9" xr3:uid="{7AF47296-3B20-4371-8974-86215DEB9C61}" uniqueName="9" name="Net_Amount_IDR" queryTableFieldId="24" dataDxfId="19"/>
    <tableColumn id="10" xr3:uid="{CC3780F3-E42E-4BAD-9517-C1D2A38C079B}" uniqueName="10" name="Net_Amount_IDR_Parsed" queryTableFieldId="25"/>
    <tableColumn id="11" xr3:uid="{66A5052D-757A-4DAB-8F25-AA6FBFB7AA8F}" uniqueName="11" name="Net_Amount_IDR_Clear" queryTableFieldId="26"/>
    <tableColumn id="12" xr3:uid="{8EE783F0-A981-47A4-9F1A-DF6561037A4D}" uniqueName="12" name="Order_Date" queryTableFieldId="27" dataDxfId="18"/>
    <tableColumn id="13" xr3:uid="{CA705477-8836-4F5D-8ECD-0EFB07C5720F}" uniqueName="13" name="Order_Date_Clean" queryTableFieldId="28" dataDxfId="17"/>
    <tableColumn id="16" xr3:uid="{09AFD7B0-2AB6-45E7-A376-952468B42C16}" uniqueName="16" name="Status" queryTableFieldId="29" dataDxfId="16"/>
    <tableColumn id="14" xr3:uid="{F2BC6177-E47F-40E3-B3BB-299BECC2AF96}" uniqueName="14" name="Status_Audit" queryTableFieldId="14"/>
    <tableColumn id="15" xr3:uid="{96C20857-1354-4068-AAB9-10D330A8837F}" uniqueName="15" name="Info_Audit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F9EF-A246-41DA-BD52-4DD98192414B}">
  <dimension ref="A2:M24"/>
  <sheetViews>
    <sheetView tabSelected="1" zoomScale="85" zoomScaleNormal="85" workbookViewId="0">
      <selection activeCell="E21" sqref="E21"/>
    </sheetView>
  </sheetViews>
  <sheetFormatPr defaultRowHeight="14.25" x14ac:dyDescent="0.2"/>
  <cols>
    <col min="1" max="1" width="29" style="3" customWidth="1"/>
    <col min="2" max="2" width="13" style="3" customWidth="1"/>
    <col min="3" max="3" width="29" style="3" customWidth="1"/>
    <col min="4" max="4" width="13" style="3" customWidth="1"/>
    <col min="5" max="5" width="29" style="3" customWidth="1"/>
    <col min="6" max="16384" width="9.140625" style="3"/>
  </cols>
  <sheetData>
    <row r="2" spans="1:6" ht="43.5" customHeight="1" x14ac:dyDescent="0.2">
      <c r="A2" s="11" t="s">
        <v>1057</v>
      </c>
      <c r="B2" s="2"/>
      <c r="C2" s="9" t="s">
        <v>1099</v>
      </c>
      <c r="D2" s="2"/>
      <c r="E2" s="11" t="s">
        <v>1111</v>
      </c>
      <c r="F2" s="2"/>
    </row>
    <row r="3" spans="1:6" ht="43.5" customHeight="1" x14ac:dyDescent="0.2">
      <c r="A3" s="8">
        <f>COUNTIF(DataOrder_ReadyUse_1[Status_Audit],"Valid Data")</f>
        <v>867</v>
      </c>
      <c r="B3" s="2"/>
      <c r="C3" s="10">
        <f>COUNTIF(DataOrder_Defect[Status_Audit],"Defect Data")</f>
        <v>133</v>
      </c>
      <c r="D3" s="2"/>
      <c r="E3" s="8">
        <f>SUM(A3:C3)</f>
        <v>1000</v>
      </c>
      <c r="F3" s="2"/>
    </row>
    <row r="6" spans="1:6" ht="15" x14ac:dyDescent="0.2">
      <c r="A6" s="14" t="s">
        <v>1112</v>
      </c>
      <c r="B6" s="15"/>
      <c r="C6" s="15"/>
      <c r="D6" s="16"/>
    </row>
    <row r="7" spans="1:6" ht="36.75" customHeight="1" x14ac:dyDescent="0.2">
      <c r="A7" s="12" t="s">
        <v>1180</v>
      </c>
      <c r="B7" s="6" t="s">
        <v>1119</v>
      </c>
      <c r="C7" s="6">
        <f>COUNTIF(DataOrder_Defect[Order_ID],"")+(COUNTIF(DataOrder_Defect[Count_ID],"&gt;1")-COUNTIF(DataOrder_Defect[Order_ID],""))</f>
        <v>38</v>
      </c>
      <c r="D7" s="7">
        <f>C7/$C$3</f>
        <v>0.2857142857142857</v>
      </c>
    </row>
    <row r="8" spans="1:6" ht="36.75" customHeight="1" x14ac:dyDescent="0.2">
      <c r="A8" s="13" t="s">
        <v>1113</v>
      </c>
      <c r="B8" s="4" t="s">
        <v>1119</v>
      </c>
      <c r="C8" s="4">
        <f>COUNTIF(DataOrder_Defect[Channel],"")</f>
        <v>0</v>
      </c>
      <c r="D8" s="5">
        <f t="shared" ref="D8:D15" si="0">C8/$C$3</f>
        <v>0</v>
      </c>
    </row>
    <row r="9" spans="1:6" ht="36.75" customHeight="1" x14ac:dyDescent="0.2">
      <c r="A9" s="12" t="s">
        <v>1114</v>
      </c>
      <c r="B9" s="6" t="s">
        <v>1119</v>
      </c>
      <c r="C9" s="6">
        <f>COUNTIF(DataOrder_Defect[Payment_Method],"")</f>
        <v>0</v>
      </c>
      <c r="D9" s="7">
        <f t="shared" si="0"/>
        <v>0</v>
      </c>
    </row>
    <row r="10" spans="1:6" ht="36.75" customHeight="1" x14ac:dyDescent="0.2">
      <c r="A10" s="13" t="s">
        <v>1115</v>
      </c>
      <c r="B10" s="4" t="s">
        <v>1119</v>
      </c>
      <c r="C10" s="4">
        <f>COUNTIF(DataOrder_Defect[Product_Name],"")</f>
        <v>0</v>
      </c>
      <c r="D10" s="5">
        <f t="shared" si="0"/>
        <v>0</v>
      </c>
    </row>
    <row r="11" spans="1:6" ht="36.75" customHeight="1" x14ac:dyDescent="0.2">
      <c r="A11" s="12" t="s">
        <v>1116</v>
      </c>
      <c r="B11" s="6" t="s">
        <v>1119</v>
      </c>
      <c r="C11" s="6">
        <f>COUNTIF(DataOrder_Defect[Qty],"")+(COUNTIF(DataOrder_Defect[Qty],"&lt;0"))</f>
        <v>0</v>
      </c>
      <c r="D11" s="7">
        <f t="shared" si="0"/>
        <v>0</v>
      </c>
    </row>
    <row r="12" spans="1:6" ht="36.75" customHeight="1" x14ac:dyDescent="0.2">
      <c r="A12" s="13" t="s">
        <v>1117</v>
      </c>
      <c r="B12" s="4" t="s">
        <v>1119</v>
      </c>
      <c r="C12" s="4">
        <f>COUNTIF(DataOrder_Defect[Gross_Amount],"")+(COUNTIF(DataOrder_Defect[Gross_Amount],"&lt;0"))</f>
        <v>0</v>
      </c>
      <c r="D12" s="5">
        <f t="shared" si="0"/>
        <v>0</v>
      </c>
    </row>
    <row r="13" spans="1:6" ht="36.75" customHeight="1" x14ac:dyDescent="0.2">
      <c r="A13" s="12" t="s">
        <v>1118</v>
      </c>
      <c r="B13" s="6" t="s">
        <v>1119</v>
      </c>
      <c r="C13" s="6">
        <f>COUNTIF(DataOrder_Defect[Discount_IDR],"")+(COUNTIF(DataOrder_Defect[Discount_IDR],"&lt;0"))</f>
        <v>0</v>
      </c>
      <c r="D13" s="7">
        <f t="shared" si="0"/>
        <v>0</v>
      </c>
    </row>
    <row r="14" spans="1:6" ht="36.75" customHeight="1" x14ac:dyDescent="0.2">
      <c r="A14" s="13" t="s">
        <v>1181</v>
      </c>
      <c r="B14" s="4" t="s">
        <v>1119</v>
      </c>
      <c r="C14" s="4">
        <f>COUNTIF(DataOrder_Defect[Net_Amount_IDR_Clear],"")+(COUNTIF(DataOrder_Defect[Net_Amount_IDR_Parsed],"&lt;0"))</f>
        <v>65</v>
      </c>
      <c r="D14" s="5">
        <f t="shared" si="0"/>
        <v>0.48872180451127817</v>
      </c>
    </row>
    <row r="15" spans="1:6" ht="36.75" customHeight="1" x14ac:dyDescent="0.2">
      <c r="A15" s="12" t="s">
        <v>1182</v>
      </c>
      <c r="B15" s="6" t="s">
        <v>1119</v>
      </c>
      <c r="C15" s="6">
        <f>COUNTIF(DataOrder_Defect[Order_Date_Clean],"")</f>
        <v>36</v>
      </c>
      <c r="D15" s="7">
        <f t="shared" si="0"/>
        <v>0.27067669172932329</v>
      </c>
    </row>
    <row r="23" spans="4:13" ht="15" x14ac:dyDescent="0.2">
      <c r="D23" s="18"/>
      <c r="E23" s="18"/>
      <c r="F23" s="18"/>
      <c r="G23" s="18"/>
      <c r="H23" s="18"/>
      <c r="I23" s="18"/>
      <c r="J23" s="18"/>
      <c r="K23" s="18"/>
      <c r="L23" s="18"/>
      <c r="M23" s="19"/>
    </row>
    <row r="24" spans="4:13" x14ac:dyDescent="0.2">
      <c r="D24" s="19"/>
      <c r="E24" s="19"/>
      <c r="F24" s="19"/>
      <c r="G24" s="19"/>
      <c r="H24" s="19"/>
      <c r="I24" s="19"/>
      <c r="J24" s="19"/>
      <c r="K24" s="19"/>
      <c r="L24" s="19"/>
      <c r="M24" s="19"/>
    </row>
  </sheetData>
  <mergeCells count="1">
    <mergeCell ref="A6:D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906A-75E8-4AB4-9CD6-CCE11B8551C3}">
  <dimension ref="A1:J1001"/>
  <sheetViews>
    <sheetView workbookViewId="0">
      <selection activeCell="D23" sqref="D23"/>
    </sheetView>
  </sheetViews>
  <sheetFormatPr defaultRowHeight="15" x14ac:dyDescent="0.25"/>
  <cols>
    <col min="1" max="1" width="15.42578125" bestFit="1" customWidth="1"/>
    <col min="2" max="2" width="14.28515625" bestFit="1" customWidth="1"/>
    <col min="3" max="3" width="20.140625" bestFit="1" customWidth="1"/>
    <col min="4" max="4" width="30" bestFit="1" customWidth="1"/>
    <col min="5" max="5" width="6.42578125" bestFit="1" customWidth="1"/>
    <col min="6" max="6" width="16.5703125" bestFit="1" customWidth="1"/>
    <col min="7" max="7" width="15" bestFit="1" customWidth="1"/>
    <col min="8" max="8" width="18.85546875" bestFit="1" customWidth="1"/>
    <col min="9" max="9" width="14" bestFit="1" customWidth="1"/>
    <col min="10" max="10" width="11.5703125" bestFit="1" customWidth="1"/>
  </cols>
  <sheetData>
    <row r="1" spans="1:10" x14ac:dyDescent="0.25">
      <c r="A1" t="s">
        <v>0</v>
      </c>
      <c r="B1" t="s">
        <v>1183</v>
      </c>
      <c r="C1" t="s">
        <v>1184</v>
      </c>
      <c r="D1" t="s">
        <v>1185</v>
      </c>
      <c r="E1" t="s">
        <v>1186</v>
      </c>
      <c r="F1" t="s">
        <v>1187</v>
      </c>
      <c r="G1" t="s">
        <v>1188</v>
      </c>
      <c r="H1" t="s">
        <v>1189</v>
      </c>
      <c r="I1" t="s">
        <v>1190</v>
      </c>
      <c r="J1" t="s">
        <v>1191</v>
      </c>
    </row>
    <row r="2" spans="1:10" x14ac:dyDescent="0.25">
      <c r="A2" t="s">
        <v>1</v>
      </c>
      <c r="B2" t="s">
        <v>1192</v>
      </c>
      <c r="C2" t="s">
        <v>1193</v>
      </c>
      <c r="D2" t="s">
        <v>1194</v>
      </c>
      <c r="E2">
        <v>8</v>
      </c>
      <c r="F2">
        <v>360000</v>
      </c>
      <c r="G2">
        <v>0</v>
      </c>
      <c r="H2">
        <v>360000</v>
      </c>
      <c r="I2" t="s">
        <v>1177</v>
      </c>
      <c r="J2" t="s">
        <v>5</v>
      </c>
    </row>
    <row r="3" spans="1:10" x14ac:dyDescent="0.25">
      <c r="A3" t="s">
        <v>6</v>
      </c>
      <c r="B3" t="s">
        <v>1195</v>
      </c>
      <c r="C3" t="s">
        <v>1196</v>
      </c>
      <c r="D3" t="s">
        <v>1197</v>
      </c>
      <c r="E3">
        <v>7</v>
      </c>
      <c r="F3">
        <v>525000</v>
      </c>
      <c r="G3">
        <v>15000</v>
      </c>
      <c r="H3">
        <v>510000</v>
      </c>
      <c r="I3" t="s">
        <v>1198</v>
      </c>
      <c r="J3" t="s">
        <v>10</v>
      </c>
    </row>
    <row r="4" spans="1:10" x14ac:dyDescent="0.25">
      <c r="A4" t="s">
        <v>11</v>
      </c>
      <c r="B4" t="s">
        <v>1199</v>
      </c>
      <c r="C4" t="s">
        <v>1200</v>
      </c>
      <c r="D4" t="s">
        <v>1197</v>
      </c>
      <c r="E4">
        <v>4</v>
      </c>
      <c r="F4">
        <v>1000000</v>
      </c>
      <c r="G4">
        <v>0</v>
      </c>
      <c r="H4">
        <v>1000000</v>
      </c>
      <c r="I4" t="s">
        <v>14</v>
      </c>
      <c r="J4" t="s">
        <v>10</v>
      </c>
    </row>
    <row r="5" spans="1:10" x14ac:dyDescent="0.25">
      <c r="A5" t="s">
        <v>15</v>
      </c>
      <c r="B5" t="s">
        <v>1199</v>
      </c>
      <c r="C5" t="s">
        <v>1196</v>
      </c>
      <c r="D5" t="s">
        <v>1197</v>
      </c>
      <c r="E5">
        <v>9</v>
      </c>
      <c r="F5">
        <v>1080000</v>
      </c>
      <c r="G5">
        <v>0</v>
      </c>
      <c r="H5">
        <v>1080000</v>
      </c>
      <c r="I5" t="s">
        <v>1201</v>
      </c>
      <c r="J5" t="s">
        <v>5</v>
      </c>
    </row>
    <row r="6" spans="1:10" x14ac:dyDescent="0.25">
      <c r="A6" t="s">
        <v>16</v>
      </c>
      <c r="B6" t="s">
        <v>1199</v>
      </c>
      <c r="C6" t="s">
        <v>1202</v>
      </c>
      <c r="D6" t="s">
        <v>1203</v>
      </c>
      <c r="E6">
        <v>3</v>
      </c>
      <c r="F6">
        <v>225000</v>
      </c>
      <c r="G6">
        <v>0</v>
      </c>
      <c r="H6">
        <v>225000</v>
      </c>
      <c r="I6" t="s">
        <v>19</v>
      </c>
      <c r="J6" t="s">
        <v>20</v>
      </c>
    </row>
    <row r="7" spans="1:10" x14ac:dyDescent="0.25">
      <c r="A7" t="s">
        <v>21</v>
      </c>
      <c r="B7" t="s">
        <v>1195</v>
      </c>
      <c r="C7" t="s">
        <v>1204</v>
      </c>
      <c r="D7" t="s">
        <v>1194</v>
      </c>
      <c r="E7">
        <v>2</v>
      </c>
      <c r="F7">
        <v>240000</v>
      </c>
      <c r="G7">
        <v>0</v>
      </c>
      <c r="H7">
        <v>240000</v>
      </c>
      <c r="I7" t="s">
        <v>22</v>
      </c>
      <c r="J7" t="s">
        <v>10</v>
      </c>
    </row>
    <row r="8" spans="1:10" x14ac:dyDescent="0.25">
      <c r="A8" t="s">
        <v>23</v>
      </c>
      <c r="B8" t="s">
        <v>1199</v>
      </c>
      <c r="C8" t="s">
        <v>1193</v>
      </c>
      <c r="D8" t="s">
        <v>1197</v>
      </c>
      <c r="E8">
        <v>10</v>
      </c>
      <c r="F8">
        <v>450000</v>
      </c>
      <c r="G8">
        <v>0</v>
      </c>
      <c r="H8">
        <v>450000</v>
      </c>
      <c r="I8" t="s">
        <v>1205</v>
      </c>
      <c r="J8" t="s">
        <v>5</v>
      </c>
    </row>
    <row r="9" spans="1:10" x14ac:dyDescent="0.25">
      <c r="A9" t="s">
        <v>24</v>
      </c>
      <c r="B9" t="s">
        <v>1206</v>
      </c>
      <c r="C9" t="s">
        <v>1204</v>
      </c>
      <c r="D9" t="s">
        <v>1203</v>
      </c>
      <c r="E9">
        <v>9</v>
      </c>
      <c r="F9">
        <v>405000</v>
      </c>
      <c r="G9">
        <v>0</v>
      </c>
      <c r="H9">
        <v>405000</v>
      </c>
      <c r="I9" t="s">
        <v>1207</v>
      </c>
      <c r="J9" t="s">
        <v>5</v>
      </c>
    </row>
    <row r="10" spans="1:10" x14ac:dyDescent="0.25">
      <c r="A10" t="s">
        <v>26</v>
      </c>
      <c r="B10" t="s">
        <v>1195</v>
      </c>
      <c r="C10" t="s">
        <v>1208</v>
      </c>
      <c r="D10" t="s">
        <v>1194</v>
      </c>
      <c r="E10">
        <v>5</v>
      </c>
      <c r="F10">
        <v>375000</v>
      </c>
      <c r="G10">
        <v>0</v>
      </c>
      <c r="H10">
        <v>375000</v>
      </c>
      <c r="I10" t="s">
        <v>1209</v>
      </c>
      <c r="J10" t="s">
        <v>5</v>
      </c>
    </row>
    <row r="11" spans="1:10" x14ac:dyDescent="0.25">
      <c r="A11" t="s">
        <v>28</v>
      </c>
      <c r="B11" t="s">
        <v>1206</v>
      </c>
      <c r="C11" t="s">
        <v>29</v>
      </c>
      <c r="D11" t="s">
        <v>1210</v>
      </c>
      <c r="E11">
        <v>1</v>
      </c>
      <c r="F11">
        <v>45000</v>
      </c>
      <c r="G11">
        <v>0</v>
      </c>
      <c r="H11" t="s">
        <v>1211</v>
      </c>
      <c r="I11" t="s">
        <v>1212</v>
      </c>
      <c r="J11" t="s">
        <v>20</v>
      </c>
    </row>
    <row r="12" spans="1:10" x14ac:dyDescent="0.25">
      <c r="A12" t="s">
        <v>31</v>
      </c>
      <c r="B12" t="s">
        <v>1206</v>
      </c>
      <c r="C12" t="s">
        <v>1204</v>
      </c>
      <c r="D12" t="s">
        <v>1213</v>
      </c>
      <c r="E12">
        <v>10</v>
      </c>
      <c r="F12">
        <v>1850000</v>
      </c>
      <c r="G12">
        <v>0</v>
      </c>
      <c r="H12">
        <v>1850000</v>
      </c>
      <c r="I12" t="s">
        <v>1214</v>
      </c>
      <c r="J12" t="s">
        <v>33</v>
      </c>
    </row>
    <row r="13" spans="1:10" x14ac:dyDescent="0.25">
      <c r="A13" t="s">
        <v>34</v>
      </c>
      <c r="B13" t="s">
        <v>1192</v>
      </c>
      <c r="C13" t="s">
        <v>1196</v>
      </c>
      <c r="D13" t="s">
        <v>1210</v>
      </c>
      <c r="E13">
        <v>4</v>
      </c>
      <c r="F13">
        <v>740000</v>
      </c>
      <c r="G13">
        <v>5000</v>
      </c>
      <c r="H13">
        <v>735000</v>
      </c>
      <c r="I13" t="s">
        <v>1154</v>
      </c>
      <c r="J13" t="s">
        <v>5</v>
      </c>
    </row>
    <row r="14" spans="1:10" x14ac:dyDescent="0.25">
      <c r="A14" t="s">
        <v>35</v>
      </c>
      <c r="B14" t="s">
        <v>1199</v>
      </c>
      <c r="C14" t="s">
        <v>1193</v>
      </c>
      <c r="D14" t="s">
        <v>1210</v>
      </c>
      <c r="E14">
        <v>10</v>
      </c>
      <c r="F14">
        <v>2500000</v>
      </c>
      <c r="G14">
        <v>10000</v>
      </c>
      <c r="H14">
        <v>2490000</v>
      </c>
      <c r="I14" t="s">
        <v>36</v>
      </c>
      <c r="J14" t="s">
        <v>20</v>
      </c>
    </row>
    <row r="15" spans="1:10" x14ac:dyDescent="0.25">
      <c r="A15" t="s">
        <v>37</v>
      </c>
      <c r="B15" t="s">
        <v>1192</v>
      </c>
      <c r="C15" t="s">
        <v>1204</v>
      </c>
      <c r="D15" t="s">
        <v>1194</v>
      </c>
      <c r="E15">
        <v>1</v>
      </c>
      <c r="F15">
        <v>75000</v>
      </c>
      <c r="G15">
        <v>0</v>
      </c>
      <c r="H15">
        <v>75000</v>
      </c>
      <c r="I15" t="s">
        <v>1215</v>
      </c>
      <c r="J15" t="s">
        <v>5</v>
      </c>
    </row>
    <row r="16" spans="1:10" x14ac:dyDescent="0.25">
      <c r="A16" t="s">
        <v>38</v>
      </c>
      <c r="B16" t="s">
        <v>1206</v>
      </c>
      <c r="C16" t="s">
        <v>1196</v>
      </c>
      <c r="D16" t="s">
        <v>1194</v>
      </c>
      <c r="E16">
        <v>9</v>
      </c>
      <c r="F16">
        <v>1080000</v>
      </c>
      <c r="G16">
        <v>15000</v>
      </c>
      <c r="H16">
        <v>1065000</v>
      </c>
      <c r="I16" t="s">
        <v>39</v>
      </c>
      <c r="J16" t="s">
        <v>5</v>
      </c>
    </row>
    <row r="17" spans="1:10" x14ac:dyDescent="0.25">
      <c r="A17" t="s">
        <v>40</v>
      </c>
      <c r="B17" t="s">
        <v>1206</v>
      </c>
      <c r="C17" t="s">
        <v>29</v>
      </c>
      <c r="D17" t="s">
        <v>1194</v>
      </c>
      <c r="E17">
        <v>2</v>
      </c>
      <c r="F17">
        <v>150000</v>
      </c>
      <c r="G17">
        <v>0</v>
      </c>
      <c r="H17">
        <v>150000</v>
      </c>
      <c r="I17" t="s">
        <v>1140</v>
      </c>
      <c r="J17" t="s">
        <v>10</v>
      </c>
    </row>
    <row r="18" spans="1:10" x14ac:dyDescent="0.25">
      <c r="A18" t="s">
        <v>41</v>
      </c>
      <c r="B18" t="s">
        <v>1192</v>
      </c>
      <c r="C18" t="s">
        <v>29</v>
      </c>
      <c r="D18" t="s">
        <v>1197</v>
      </c>
      <c r="E18">
        <v>5</v>
      </c>
      <c r="F18">
        <v>600000</v>
      </c>
      <c r="G18">
        <v>0</v>
      </c>
      <c r="H18">
        <v>600000</v>
      </c>
      <c r="I18" t="s">
        <v>1216</v>
      </c>
      <c r="J18" t="s">
        <v>5</v>
      </c>
    </row>
    <row r="19" spans="1:10" x14ac:dyDescent="0.25">
      <c r="A19" t="s">
        <v>42</v>
      </c>
      <c r="B19" t="s">
        <v>1206</v>
      </c>
      <c r="C19" t="s">
        <v>1204</v>
      </c>
      <c r="D19" t="s">
        <v>1213</v>
      </c>
      <c r="E19">
        <v>8</v>
      </c>
      <c r="F19">
        <v>960000</v>
      </c>
      <c r="G19">
        <v>0</v>
      </c>
      <c r="H19">
        <v>960000</v>
      </c>
      <c r="I19" t="s">
        <v>43</v>
      </c>
      <c r="J19" t="s">
        <v>10</v>
      </c>
    </row>
    <row r="20" spans="1:10" x14ac:dyDescent="0.25">
      <c r="A20" t="s">
        <v>44</v>
      </c>
      <c r="B20" t="s">
        <v>1206</v>
      </c>
      <c r="C20" t="s">
        <v>1204</v>
      </c>
      <c r="D20" t="s">
        <v>1197</v>
      </c>
      <c r="E20">
        <v>5</v>
      </c>
      <c r="F20">
        <v>600000</v>
      </c>
      <c r="G20">
        <v>0</v>
      </c>
      <c r="H20">
        <v>600000</v>
      </c>
      <c r="I20" t="s">
        <v>1217</v>
      </c>
      <c r="J20" t="s">
        <v>5</v>
      </c>
    </row>
    <row r="21" spans="1:10" x14ac:dyDescent="0.25">
      <c r="A21" t="s">
        <v>45</v>
      </c>
      <c r="B21" t="s">
        <v>1206</v>
      </c>
      <c r="C21" t="s">
        <v>1208</v>
      </c>
      <c r="D21" t="s">
        <v>1210</v>
      </c>
      <c r="E21">
        <v>2</v>
      </c>
      <c r="F21">
        <v>90000</v>
      </c>
      <c r="G21">
        <v>5000</v>
      </c>
      <c r="H21">
        <v>85000</v>
      </c>
      <c r="I21" t="s">
        <v>46</v>
      </c>
      <c r="J21" t="s">
        <v>5</v>
      </c>
    </row>
    <row r="22" spans="1:10" x14ac:dyDescent="0.25">
      <c r="A22" t="s">
        <v>47</v>
      </c>
      <c r="B22" t="s">
        <v>1206</v>
      </c>
      <c r="C22" t="s">
        <v>1193</v>
      </c>
      <c r="D22" t="s">
        <v>1203</v>
      </c>
      <c r="E22">
        <v>8</v>
      </c>
      <c r="F22">
        <v>1480000</v>
      </c>
      <c r="G22">
        <v>0</v>
      </c>
      <c r="H22">
        <v>1480000</v>
      </c>
      <c r="I22" t="s">
        <v>22</v>
      </c>
      <c r="J22" t="s">
        <v>5</v>
      </c>
    </row>
    <row r="23" spans="1:10" x14ac:dyDescent="0.25">
      <c r="A23" t="s">
        <v>48</v>
      </c>
      <c r="B23" t="s">
        <v>1195</v>
      </c>
      <c r="C23" t="s">
        <v>1200</v>
      </c>
      <c r="D23" t="s">
        <v>1203</v>
      </c>
      <c r="E23">
        <v>5</v>
      </c>
      <c r="F23">
        <v>375000</v>
      </c>
      <c r="G23">
        <v>0</v>
      </c>
      <c r="H23">
        <v>375000</v>
      </c>
      <c r="I23" t="s">
        <v>1218</v>
      </c>
      <c r="J23" t="s">
        <v>5</v>
      </c>
    </row>
    <row r="24" spans="1:10" x14ac:dyDescent="0.25">
      <c r="A24" t="s">
        <v>49</v>
      </c>
      <c r="B24" t="s">
        <v>1195</v>
      </c>
      <c r="C24" t="s">
        <v>1208</v>
      </c>
      <c r="D24" t="s">
        <v>1194</v>
      </c>
      <c r="E24">
        <v>9</v>
      </c>
      <c r="F24">
        <v>1665000</v>
      </c>
      <c r="G24">
        <v>0</v>
      </c>
      <c r="H24">
        <v>1665000</v>
      </c>
      <c r="I24" t="s">
        <v>36</v>
      </c>
      <c r="J24" t="s">
        <v>5</v>
      </c>
    </row>
    <row r="25" spans="1:10" x14ac:dyDescent="0.25">
      <c r="A25" t="s">
        <v>50</v>
      </c>
      <c r="B25" t="s">
        <v>1192</v>
      </c>
      <c r="C25" t="s">
        <v>1219</v>
      </c>
      <c r="D25" t="s">
        <v>1213</v>
      </c>
      <c r="E25">
        <v>7</v>
      </c>
      <c r="F25">
        <v>1295000</v>
      </c>
      <c r="G25">
        <v>0</v>
      </c>
      <c r="H25">
        <v>1295000</v>
      </c>
      <c r="I25" t="s">
        <v>51</v>
      </c>
      <c r="J25" t="s">
        <v>33</v>
      </c>
    </row>
    <row r="26" spans="1:10" x14ac:dyDescent="0.25">
      <c r="A26" t="s">
        <v>52</v>
      </c>
      <c r="B26" t="s">
        <v>1195</v>
      </c>
      <c r="C26" t="s">
        <v>1200</v>
      </c>
      <c r="D26" t="s">
        <v>1203</v>
      </c>
      <c r="E26">
        <v>1</v>
      </c>
      <c r="F26">
        <v>185000</v>
      </c>
      <c r="G26">
        <v>0</v>
      </c>
      <c r="H26">
        <v>185000</v>
      </c>
      <c r="I26" t="s">
        <v>1220</v>
      </c>
      <c r="J26" t="s">
        <v>5</v>
      </c>
    </row>
    <row r="27" spans="1:10" x14ac:dyDescent="0.25">
      <c r="A27" t="s">
        <v>53</v>
      </c>
      <c r="B27" t="s">
        <v>1199</v>
      </c>
      <c r="C27" t="s">
        <v>1204</v>
      </c>
      <c r="D27" t="s">
        <v>1197</v>
      </c>
      <c r="E27">
        <v>6</v>
      </c>
      <c r="F27">
        <v>270000</v>
      </c>
      <c r="G27">
        <v>0</v>
      </c>
      <c r="H27" t="s">
        <v>1221</v>
      </c>
      <c r="I27" t="s">
        <v>1222</v>
      </c>
      <c r="J27" t="s">
        <v>10</v>
      </c>
    </row>
    <row r="28" spans="1:10" x14ac:dyDescent="0.25">
      <c r="A28" t="s">
        <v>54</v>
      </c>
      <c r="B28" t="s">
        <v>1195</v>
      </c>
      <c r="C28" t="s">
        <v>1196</v>
      </c>
      <c r="D28" t="s">
        <v>1194</v>
      </c>
      <c r="E28">
        <v>4</v>
      </c>
      <c r="F28">
        <v>300000</v>
      </c>
      <c r="G28">
        <v>0</v>
      </c>
      <c r="H28">
        <v>300000</v>
      </c>
      <c r="I28" t="s">
        <v>1223</v>
      </c>
      <c r="J28" t="s">
        <v>5</v>
      </c>
    </row>
    <row r="29" spans="1:10" x14ac:dyDescent="0.25">
      <c r="A29" t="s">
        <v>55</v>
      </c>
      <c r="B29" t="s">
        <v>1195</v>
      </c>
      <c r="C29" t="s">
        <v>1193</v>
      </c>
      <c r="D29" t="s">
        <v>1194</v>
      </c>
      <c r="E29">
        <v>6</v>
      </c>
      <c r="F29">
        <v>1500000</v>
      </c>
      <c r="G29">
        <v>0</v>
      </c>
      <c r="H29" t="s">
        <v>1224</v>
      </c>
      <c r="I29" t="s">
        <v>56</v>
      </c>
      <c r="J29" t="s">
        <v>5</v>
      </c>
    </row>
    <row r="30" spans="1:10" x14ac:dyDescent="0.25">
      <c r="A30" t="s">
        <v>57</v>
      </c>
      <c r="B30" t="s">
        <v>1225</v>
      </c>
      <c r="C30" t="s">
        <v>1226</v>
      </c>
      <c r="D30" t="s">
        <v>1203</v>
      </c>
      <c r="E30">
        <v>2</v>
      </c>
      <c r="F30">
        <v>240000</v>
      </c>
      <c r="G30">
        <v>10000</v>
      </c>
      <c r="H30">
        <v>230000</v>
      </c>
      <c r="I30" t="s">
        <v>14</v>
      </c>
      <c r="J30" t="s">
        <v>5</v>
      </c>
    </row>
    <row r="31" spans="1:10" x14ac:dyDescent="0.25">
      <c r="A31" t="s">
        <v>58</v>
      </c>
      <c r="B31" t="s">
        <v>1199</v>
      </c>
      <c r="C31" t="s">
        <v>29</v>
      </c>
      <c r="D31" t="s">
        <v>1194</v>
      </c>
      <c r="E31">
        <v>7</v>
      </c>
      <c r="F31">
        <v>315000</v>
      </c>
      <c r="G31">
        <v>0</v>
      </c>
      <c r="H31">
        <v>315000</v>
      </c>
      <c r="I31" t="s">
        <v>1168</v>
      </c>
      <c r="J31" t="s">
        <v>10</v>
      </c>
    </row>
    <row r="32" spans="1:10" x14ac:dyDescent="0.25">
      <c r="A32" t="s">
        <v>59</v>
      </c>
      <c r="B32" t="s">
        <v>1195</v>
      </c>
      <c r="C32" t="s">
        <v>1196</v>
      </c>
      <c r="D32" t="s">
        <v>1197</v>
      </c>
      <c r="E32">
        <v>8</v>
      </c>
      <c r="F32">
        <v>360000</v>
      </c>
      <c r="G32">
        <v>0</v>
      </c>
      <c r="H32">
        <v>360000</v>
      </c>
      <c r="I32" t="s">
        <v>1227</v>
      </c>
      <c r="J32" t="s">
        <v>10</v>
      </c>
    </row>
    <row r="33" spans="1:10" x14ac:dyDescent="0.25">
      <c r="A33" t="s">
        <v>60</v>
      </c>
      <c r="B33" t="s">
        <v>1225</v>
      </c>
      <c r="C33" t="s">
        <v>1208</v>
      </c>
      <c r="D33" t="s">
        <v>1210</v>
      </c>
      <c r="E33">
        <v>1</v>
      </c>
      <c r="F33">
        <v>185000</v>
      </c>
      <c r="G33">
        <v>5000</v>
      </c>
      <c r="H33">
        <v>180000</v>
      </c>
      <c r="I33" t="s">
        <v>61</v>
      </c>
      <c r="J33" t="s">
        <v>20</v>
      </c>
    </row>
    <row r="34" spans="1:10" x14ac:dyDescent="0.25">
      <c r="A34" t="s">
        <v>62</v>
      </c>
      <c r="B34" t="s">
        <v>1206</v>
      </c>
      <c r="C34" t="s">
        <v>1200</v>
      </c>
      <c r="D34" t="s">
        <v>1210</v>
      </c>
      <c r="E34">
        <v>1</v>
      </c>
      <c r="F34">
        <v>185000</v>
      </c>
      <c r="G34">
        <v>15000</v>
      </c>
      <c r="H34">
        <v>170000</v>
      </c>
      <c r="I34" t="s">
        <v>1228</v>
      </c>
      <c r="J34" t="s">
        <v>5</v>
      </c>
    </row>
    <row r="35" spans="1:10" x14ac:dyDescent="0.25">
      <c r="A35" t="s">
        <v>63</v>
      </c>
      <c r="B35" t="s">
        <v>1206</v>
      </c>
      <c r="C35" t="s">
        <v>1196</v>
      </c>
      <c r="D35" t="s">
        <v>1194</v>
      </c>
      <c r="E35">
        <v>4</v>
      </c>
      <c r="F35">
        <v>480000</v>
      </c>
      <c r="G35">
        <v>0</v>
      </c>
      <c r="H35">
        <v>480000</v>
      </c>
      <c r="I35" t="s">
        <v>1229</v>
      </c>
      <c r="J35" t="s">
        <v>33</v>
      </c>
    </row>
    <row r="36" spans="1:10" x14ac:dyDescent="0.25">
      <c r="A36" t="s">
        <v>64</v>
      </c>
      <c r="B36" t="s">
        <v>1230</v>
      </c>
      <c r="C36" t="s">
        <v>1196</v>
      </c>
      <c r="D36" t="s">
        <v>1194</v>
      </c>
      <c r="E36">
        <v>5</v>
      </c>
      <c r="F36">
        <v>375000</v>
      </c>
      <c r="G36">
        <v>15000</v>
      </c>
      <c r="H36" t="s">
        <v>1231</v>
      </c>
      <c r="I36" t="s">
        <v>65</v>
      </c>
      <c r="J36" t="s">
        <v>5</v>
      </c>
    </row>
    <row r="37" spans="1:10" x14ac:dyDescent="0.25">
      <c r="A37" t="s">
        <v>66</v>
      </c>
      <c r="B37" t="s">
        <v>1199</v>
      </c>
      <c r="C37" t="s">
        <v>1208</v>
      </c>
      <c r="D37" t="s">
        <v>1213</v>
      </c>
      <c r="E37">
        <v>1</v>
      </c>
      <c r="F37">
        <v>75000</v>
      </c>
      <c r="G37">
        <v>0</v>
      </c>
      <c r="H37">
        <v>75000</v>
      </c>
      <c r="I37" t="s">
        <v>1232</v>
      </c>
      <c r="J37" t="s">
        <v>33</v>
      </c>
    </row>
    <row r="38" spans="1:10" x14ac:dyDescent="0.25">
      <c r="A38" t="s">
        <v>67</v>
      </c>
      <c r="B38" t="s">
        <v>1192</v>
      </c>
      <c r="C38" t="s">
        <v>1208</v>
      </c>
      <c r="D38" t="s">
        <v>1210</v>
      </c>
      <c r="E38">
        <v>3</v>
      </c>
      <c r="F38">
        <v>225000</v>
      </c>
      <c r="G38">
        <v>0</v>
      </c>
      <c r="H38" t="s">
        <v>1233</v>
      </c>
      <c r="I38" t="s">
        <v>1234</v>
      </c>
      <c r="J38" t="s">
        <v>20</v>
      </c>
    </row>
    <row r="39" spans="1:10" x14ac:dyDescent="0.25">
      <c r="A39" t="s">
        <v>68</v>
      </c>
      <c r="B39" t="s">
        <v>1195</v>
      </c>
      <c r="C39" t="s">
        <v>1200</v>
      </c>
      <c r="D39" t="s">
        <v>1197</v>
      </c>
      <c r="E39">
        <v>5</v>
      </c>
      <c r="F39">
        <v>600000</v>
      </c>
      <c r="G39">
        <v>15000</v>
      </c>
      <c r="H39">
        <v>585000</v>
      </c>
      <c r="I39" t="s">
        <v>1128</v>
      </c>
      <c r="J39" t="s">
        <v>5</v>
      </c>
    </row>
    <row r="40" spans="1:10" x14ac:dyDescent="0.25">
      <c r="A40" t="s">
        <v>69</v>
      </c>
      <c r="B40" t="s">
        <v>1199</v>
      </c>
      <c r="C40" t="s">
        <v>1196</v>
      </c>
      <c r="D40" t="s">
        <v>1194</v>
      </c>
      <c r="E40">
        <v>5</v>
      </c>
      <c r="F40">
        <v>375000</v>
      </c>
      <c r="G40">
        <v>0</v>
      </c>
      <c r="H40">
        <v>375000</v>
      </c>
      <c r="I40" t="s">
        <v>1235</v>
      </c>
      <c r="J40" t="s">
        <v>33</v>
      </c>
    </row>
    <row r="41" spans="1:10" x14ac:dyDescent="0.25">
      <c r="A41" t="s">
        <v>70</v>
      </c>
      <c r="B41" t="s">
        <v>1195</v>
      </c>
      <c r="C41" t="s">
        <v>1196</v>
      </c>
      <c r="D41" t="s">
        <v>1210</v>
      </c>
      <c r="E41">
        <v>7</v>
      </c>
      <c r="F41">
        <v>1750000</v>
      </c>
      <c r="G41">
        <v>0</v>
      </c>
      <c r="H41">
        <v>1750000</v>
      </c>
      <c r="I41" t="s">
        <v>22</v>
      </c>
      <c r="J41" t="s">
        <v>10</v>
      </c>
    </row>
    <row r="42" spans="1:10" x14ac:dyDescent="0.25">
      <c r="A42" t="s">
        <v>71</v>
      </c>
      <c r="B42" t="s">
        <v>1195</v>
      </c>
      <c r="C42" t="s">
        <v>1208</v>
      </c>
      <c r="D42" t="s">
        <v>1197</v>
      </c>
      <c r="E42">
        <v>2</v>
      </c>
      <c r="F42">
        <v>150000</v>
      </c>
      <c r="G42">
        <v>0</v>
      </c>
      <c r="H42">
        <v>150000</v>
      </c>
      <c r="I42" t="s">
        <v>1236</v>
      </c>
      <c r="J42" t="s">
        <v>20</v>
      </c>
    </row>
    <row r="43" spans="1:10" x14ac:dyDescent="0.25">
      <c r="A43" t="s">
        <v>72</v>
      </c>
      <c r="B43" t="s">
        <v>1225</v>
      </c>
      <c r="C43" t="s">
        <v>29</v>
      </c>
      <c r="D43" t="s">
        <v>1197</v>
      </c>
      <c r="E43">
        <v>2</v>
      </c>
      <c r="F43">
        <v>150000</v>
      </c>
      <c r="G43">
        <v>0</v>
      </c>
      <c r="H43">
        <v>150000</v>
      </c>
      <c r="I43" t="s">
        <v>73</v>
      </c>
      <c r="J43" t="s">
        <v>10</v>
      </c>
    </row>
    <row r="44" spans="1:10" x14ac:dyDescent="0.25">
      <c r="A44" t="s">
        <v>74</v>
      </c>
      <c r="B44" t="s">
        <v>1192</v>
      </c>
      <c r="C44" t="s">
        <v>1226</v>
      </c>
      <c r="D44" t="s">
        <v>1203</v>
      </c>
      <c r="E44">
        <v>10</v>
      </c>
      <c r="F44">
        <v>450000</v>
      </c>
      <c r="G44">
        <v>0</v>
      </c>
      <c r="H44" t="s">
        <v>1237</v>
      </c>
      <c r="I44" t="s">
        <v>1238</v>
      </c>
      <c r="J44" t="s">
        <v>20</v>
      </c>
    </row>
    <row r="45" spans="1:10" x14ac:dyDescent="0.25">
      <c r="A45" t="s">
        <v>75</v>
      </c>
      <c r="B45" t="s">
        <v>1192</v>
      </c>
      <c r="C45" t="s">
        <v>29</v>
      </c>
      <c r="D45" t="s">
        <v>1194</v>
      </c>
      <c r="E45">
        <v>5</v>
      </c>
      <c r="F45">
        <v>600000</v>
      </c>
      <c r="G45">
        <v>0</v>
      </c>
      <c r="H45">
        <v>600000</v>
      </c>
      <c r="I45" t="s">
        <v>76</v>
      </c>
      <c r="J45" t="s">
        <v>20</v>
      </c>
    </row>
    <row r="46" spans="1:10" x14ac:dyDescent="0.25">
      <c r="A46" t="s">
        <v>77</v>
      </c>
      <c r="B46" t="s">
        <v>1239</v>
      </c>
      <c r="C46" t="s">
        <v>1200</v>
      </c>
      <c r="D46" t="s">
        <v>1213</v>
      </c>
      <c r="E46">
        <v>1</v>
      </c>
      <c r="F46">
        <v>45000</v>
      </c>
      <c r="G46">
        <v>0</v>
      </c>
      <c r="H46" t="s">
        <v>1211</v>
      </c>
      <c r="I46" t="s">
        <v>1215</v>
      </c>
      <c r="J46" t="s">
        <v>5</v>
      </c>
    </row>
    <row r="47" spans="1:10" x14ac:dyDescent="0.25">
      <c r="A47" t="s">
        <v>78</v>
      </c>
      <c r="B47" t="s">
        <v>1195</v>
      </c>
      <c r="C47" t="s">
        <v>1193</v>
      </c>
      <c r="D47" t="s">
        <v>1194</v>
      </c>
      <c r="E47">
        <v>8</v>
      </c>
      <c r="F47">
        <v>360000</v>
      </c>
      <c r="G47">
        <v>0</v>
      </c>
      <c r="H47" t="s">
        <v>1231</v>
      </c>
      <c r="I47" t="s">
        <v>1240</v>
      </c>
      <c r="J47" t="s">
        <v>33</v>
      </c>
    </row>
    <row r="48" spans="1:10" x14ac:dyDescent="0.25">
      <c r="A48" t="s">
        <v>79</v>
      </c>
      <c r="B48" t="s">
        <v>1192</v>
      </c>
      <c r="C48" t="s">
        <v>1193</v>
      </c>
      <c r="D48" t="s">
        <v>1210</v>
      </c>
      <c r="E48">
        <v>1</v>
      </c>
      <c r="F48">
        <v>75000</v>
      </c>
      <c r="G48">
        <v>0</v>
      </c>
      <c r="H48">
        <v>75000</v>
      </c>
      <c r="I48" t="s">
        <v>80</v>
      </c>
      <c r="J48" t="s">
        <v>5</v>
      </c>
    </row>
    <row r="49" spans="1:10" x14ac:dyDescent="0.25">
      <c r="A49" t="s">
        <v>81</v>
      </c>
      <c r="B49" t="s">
        <v>1192</v>
      </c>
      <c r="C49" t="s">
        <v>1193</v>
      </c>
      <c r="D49" t="s">
        <v>1197</v>
      </c>
      <c r="E49">
        <v>10</v>
      </c>
      <c r="F49">
        <v>750000</v>
      </c>
      <c r="G49">
        <v>0</v>
      </c>
      <c r="H49">
        <v>750000</v>
      </c>
      <c r="I49" t="s">
        <v>1241</v>
      </c>
      <c r="J49" t="s">
        <v>10</v>
      </c>
    </row>
    <row r="50" spans="1:10" x14ac:dyDescent="0.25">
      <c r="A50" t="s">
        <v>82</v>
      </c>
      <c r="B50" t="s">
        <v>1199</v>
      </c>
      <c r="C50" t="s">
        <v>1196</v>
      </c>
      <c r="D50" t="s">
        <v>1197</v>
      </c>
      <c r="E50">
        <v>1</v>
      </c>
      <c r="F50">
        <v>185000</v>
      </c>
      <c r="G50">
        <v>0</v>
      </c>
      <c r="H50">
        <v>185000</v>
      </c>
      <c r="I50" t="s">
        <v>22</v>
      </c>
      <c r="J50" t="s">
        <v>20</v>
      </c>
    </row>
    <row r="51" spans="1:10" x14ac:dyDescent="0.25">
      <c r="A51" t="s">
        <v>83</v>
      </c>
      <c r="B51" t="s">
        <v>1195</v>
      </c>
      <c r="C51" t="s">
        <v>1196</v>
      </c>
      <c r="D51" t="s">
        <v>1203</v>
      </c>
      <c r="E51">
        <v>8</v>
      </c>
      <c r="F51">
        <v>2000000</v>
      </c>
      <c r="G51">
        <v>0</v>
      </c>
      <c r="H51">
        <v>2000000</v>
      </c>
      <c r="I51" t="s">
        <v>84</v>
      </c>
      <c r="J51" t="s">
        <v>5</v>
      </c>
    </row>
    <row r="52" spans="1:10" x14ac:dyDescent="0.25">
      <c r="A52" t="s">
        <v>85</v>
      </c>
      <c r="B52" t="s">
        <v>1195</v>
      </c>
      <c r="C52" t="s">
        <v>1208</v>
      </c>
      <c r="D52" t="s">
        <v>1194</v>
      </c>
      <c r="E52">
        <v>2</v>
      </c>
      <c r="F52">
        <v>90000</v>
      </c>
      <c r="G52">
        <v>5000</v>
      </c>
      <c r="H52">
        <v>85000</v>
      </c>
      <c r="I52" t="s">
        <v>1242</v>
      </c>
      <c r="J52" t="s">
        <v>5</v>
      </c>
    </row>
    <row r="53" spans="1:10" x14ac:dyDescent="0.25">
      <c r="A53" t="s">
        <v>86</v>
      </c>
      <c r="B53" t="s">
        <v>1199</v>
      </c>
      <c r="C53" t="s">
        <v>29</v>
      </c>
      <c r="D53" t="s">
        <v>1203</v>
      </c>
      <c r="E53">
        <v>8</v>
      </c>
      <c r="F53">
        <v>1480000</v>
      </c>
      <c r="G53">
        <v>0</v>
      </c>
      <c r="H53" t="s">
        <v>1243</v>
      </c>
      <c r="I53" t="s">
        <v>1154</v>
      </c>
      <c r="J53" t="s">
        <v>33</v>
      </c>
    </row>
    <row r="54" spans="1:10" x14ac:dyDescent="0.25">
      <c r="A54" t="s">
        <v>87</v>
      </c>
      <c r="B54" t="s">
        <v>1199</v>
      </c>
      <c r="C54" t="s">
        <v>1208</v>
      </c>
      <c r="D54" t="s">
        <v>1210</v>
      </c>
      <c r="E54">
        <v>10</v>
      </c>
      <c r="F54">
        <v>450000</v>
      </c>
      <c r="G54">
        <v>0</v>
      </c>
      <c r="H54">
        <v>450000</v>
      </c>
      <c r="I54" t="s">
        <v>1244</v>
      </c>
      <c r="J54" t="s">
        <v>33</v>
      </c>
    </row>
    <row r="55" spans="1:10" x14ac:dyDescent="0.25">
      <c r="A55" t="s">
        <v>88</v>
      </c>
      <c r="B55" t="s">
        <v>1206</v>
      </c>
      <c r="C55" t="s">
        <v>1204</v>
      </c>
      <c r="D55" t="s">
        <v>1213</v>
      </c>
      <c r="E55">
        <v>6</v>
      </c>
      <c r="F55">
        <v>450000</v>
      </c>
      <c r="G55">
        <v>0</v>
      </c>
      <c r="H55">
        <v>450000</v>
      </c>
      <c r="I55" t="s">
        <v>22</v>
      </c>
      <c r="J55" t="s">
        <v>33</v>
      </c>
    </row>
    <row r="56" spans="1:10" x14ac:dyDescent="0.25">
      <c r="A56" t="s">
        <v>89</v>
      </c>
      <c r="B56" t="s">
        <v>1225</v>
      </c>
      <c r="C56" t="s">
        <v>29</v>
      </c>
      <c r="D56" t="s">
        <v>1213</v>
      </c>
      <c r="E56">
        <v>9</v>
      </c>
      <c r="F56">
        <v>675000</v>
      </c>
      <c r="G56">
        <v>10000</v>
      </c>
      <c r="H56">
        <v>665000</v>
      </c>
      <c r="I56" t="s">
        <v>1139</v>
      </c>
      <c r="J56" t="s">
        <v>33</v>
      </c>
    </row>
    <row r="57" spans="1:10" x14ac:dyDescent="0.25">
      <c r="A57" t="s">
        <v>90</v>
      </c>
      <c r="B57" t="s">
        <v>1206</v>
      </c>
      <c r="C57" t="s">
        <v>1204</v>
      </c>
      <c r="D57" t="s">
        <v>1194</v>
      </c>
      <c r="E57">
        <v>4</v>
      </c>
      <c r="F57">
        <v>740000</v>
      </c>
      <c r="G57">
        <v>0</v>
      </c>
      <c r="H57">
        <v>740000</v>
      </c>
      <c r="I57" t="s">
        <v>1245</v>
      </c>
      <c r="J57" t="s">
        <v>33</v>
      </c>
    </row>
    <row r="58" spans="1:10" x14ac:dyDescent="0.25">
      <c r="A58" t="s">
        <v>91</v>
      </c>
      <c r="B58" t="s">
        <v>1206</v>
      </c>
      <c r="C58" t="s">
        <v>29</v>
      </c>
      <c r="D58" t="s">
        <v>1203</v>
      </c>
      <c r="E58">
        <v>4</v>
      </c>
      <c r="F58">
        <v>180000</v>
      </c>
      <c r="G58">
        <v>0</v>
      </c>
      <c r="H58" t="s">
        <v>92</v>
      </c>
      <c r="I58" t="s">
        <v>93</v>
      </c>
      <c r="J58" t="s">
        <v>10</v>
      </c>
    </row>
    <row r="59" spans="1:10" x14ac:dyDescent="0.25">
      <c r="A59" t="s">
        <v>94</v>
      </c>
      <c r="B59" t="s">
        <v>1199</v>
      </c>
      <c r="C59" t="s">
        <v>1204</v>
      </c>
      <c r="D59" t="s">
        <v>1203</v>
      </c>
      <c r="E59">
        <v>6</v>
      </c>
      <c r="F59">
        <v>720000</v>
      </c>
      <c r="G59">
        <v>10000</v>
      </c>
      <c r="H59">
        <v>710000</v>
      </c>
      <c r="I59" t="s">
        <v>1246</v>
      </c>
      <c r="J59" t="s">
        <v>10</v>
      </c>
    </row>
    <row r="60" spans="1:10" x14ac:dyDescent="0.25">
      <c r="A60" t="s">
        <v>95</v>
      </c>
      <c r="B60" t="s">
        <v>1199</v>
      </c>
      <c r="C60" t="s">
        <v>1200</v>
      </c>
      <c r="D60" t="s">
        <v>1213</v>
      </c>
      <c r="E60">
        <v>9</v>
      </c>
      <c r="F60">
        <v>405000</v>
      </c>
      <c r="G60">
        <v>10000</v>
      </c>
      <c r="H60">
        <v>395000</v>
      </c>
      <c r="I60" t="s">
        <v>93</v>
      </c>
      <c r="J60" t="s">
        <v>10</v>
      </c>
    </row>
    <row r="61" spans="1:10" x14ac:dyDescent="0.25">
      <c r="A61" t="s">
        <v>96</v>
      </c>
      <c r="B61" t="s">
        <v>1206</v>
      </c>
      <c r="C61" t="s">
        <v>1208</v>
      </c>
      <c r="D61" t="s">
        <v>1194</v>
      </c>
      <c r="E61">
        <v>4</v>
      </c>
      <c r="F61">
        <v>180000</v>
      </c>
      <c r="G61">
        <v>0</v>
      </c>
      <c r="H61" t="s">
        <v>1247</v>
      </c>
      <c r="I61" t="s">
        <v>1248</v>
      </c>
      <c r="J61" t="s">
        <v>5</v>
      </c>
    </row>
    <row r="62" spans="1:10" x14ac:dyDescent="0.25">
      <c r="A62" t="s">
        <v>97</v>
      </c>
      <c r="B62" t="s">
        <v>1195</v>
      </c>
      <c r="C62" t="s">
        <v>1193</v>
      </c>
      <c r="D62" t="s">
        <v>1194</v>
      </c>
      <c r="E62">
        <v>7</v>
      </c>
      <c r="F62">
        <v>315000</v>
      </c>
      <c r="G62">
        <v>0</v>
      </c>
      <c r="H62">
        <v>315000</v>
      </c>
      <c r="I62" t="s">
        <v>1128</v>
      </c>
      <c r="J62" t="s">
        <v>5</v>
      </c>
    </row>
    <row r="63" spans="1:10" x14ac:dyDescent="0.25">
      <c r="A63" t="s">
        <v>98</v>
      </c>
      <c r="B63" t="s">
        <v>1192</v>
      </c>
      <c r="C63" t="s">
        <v>1200</v>
      </c>
      <c r="D63" t="s">
        <v>1213</v>
      </c>
      <c r="E63">
        <v>4</v>
      </c>
      <c r="F63">
        <v>740000</v>
      </c>
      <c r="G63">
        <v>0</v>
      </c>
      <c r="H63">
        <v>740000</v>
      </c>
      <c r="I63" t="s">
        <v>1249</v>
      </c>
      <c r="J63" t="s">
        <v>10</v>
      </c>
    </row>
    <row r="64" spans="1:10" x14ac:dyDescent="0.25">
      <c r="A64" t="s">
        <v>99</v>
      </c>
      <c r="B64" t="s">
        <v>1192</v>
      </c>
      <c r="C64" t="s">
        <v>1193</v>
      </c>
      <c r="D64" t="s">
        <v>1194</v>
      </c>
      <c r="E64">
        <v>4</v>
      </c>
      <c r="F64">
        <v>740000</v>
      </c>
      <c r="G64">
        <v>0</v>
      </c>
      <c r="H64" t="s">
        <v>1250</v>
      </c>
      <c r="I64" t="s">
        <v>22</v>
      </c>
      <c r="J64" t="s">
        <v>20</v>
      </c>
    </row>
    <row r="65" spans="1:10" x14ac:dyDescent="0.25">
      <c r="A65" t="s">
        <v>100</v>
      </c>
      <c r="B65" t="s">
        <v>1251</v>
      </c>
      <c r="C65" t="s">
        <v>1204</v>
      </c>
      <c r="D65" t="s">
        <v>1210</v>
      </c>
      <c r="E65">
        <v>7</v>
      </c>
      <c r="F65">
        <v>315000</v>
      </c>
      <c r="G65">
        <v>0</v>
      </c>
      <c r="H65">
        <v>315000</v>
      </c>
      <c r="I65" t="s">
        <v>1252</v>
      </c>
      <c r="J65" t="s">
        <v>33</v>
      </c>
    </row>
    <row r="66" spans="1:10" x14ac:dyDescent="0.25">
      <c r="A66" t="s">
        <v>101</v>
      </c>
      <c r="B66" t="s">
        <v>1206</v>
      </c>
      <c r="C66" t="s">
        <v>1208</v>
      </c>
      <c r="D66" t="s">
        <v>1197</v>
      </c>
      <c r="E66">
        <v>9</v>
      </c>
      <c r="F66">
        <v>2250000</v>
      </c>
      <c r="G66">
        <v>0</v>
      </c>
      <c r="H66">
        <v>2250000</v>
      </c>
      <c r="I66" t="s">
        <v>22</v>
      </c>
      <c r="J66" t="s">
        <v>10</v>
      </c>
    </row>
    <row r="67" spans="1:10" x14ac:dyDescent="0.25">
      <c r="A67" t="s">
        <v>102</v>
      </c>
      <c r="B67" t="s">
        <v>1199</v>
      </c>
      <c r="C67" t="s">
        <v>1204</v>
      </c>
      <c r="D67" t="s">
        <v>1203</v>
      </c>
      <c r="E67">
        <v>4</v>
      </c>
      <c r="F67">
        <v>1000000</v>
      </c>
      <c r="G67">
        <v>0</v>
      </c>
      <c r="H67">
        <v>1000000</v>
      </c>
      <c r="I67" t="s">
        <v>1253</v>
      </c>
      <c r="J67" t="s">
        <v>5</v>
      </c>
    </row>
    <row r="68" spans="1:10" x14ac:dyDescent="0.25">
      <c r="A68" t="s">
        <v>103</v>
      </c>
      <c r="B68" t="s">
        <v>1206</v>
      </c>
      <c r="C68" t="s">
        <v>1208</v>
      </c>
      <c r="D68" t="s">
        <v>1213</v>
      </c>
      <c r="E68">
        <v>7</v>
      </c>
      <c r="F68">
        <v>840000</v>
      </c>
      <c r="G68">
        <v>0</v>
      </c>
      <c r="H68">
        <v>840000</v>
      </c>
      <c r="I68" t="s">
        <v>22</v>
      </c>
      <c r="J68" t="s">
        <v>5</v>
      </c>
    </row>
    <row r="69" spans="1:10" x14ac:dyDescent="0.25">
      <c r="A69" t="s">
        <v>104</v>
      </c>
      <c r="B69" t="s">
        <v>1206</v>
      </c>
      <c r="C69" t="s">
        <v>1202</v>
      </c>
      <c r="D69" t="s">
        <v>1194</v>
      </c>
      <c r="E69">
        <v>1</v>
      </c>
      <c r="F69">
        <v>185000</v>
      </c>
      <c r="G69">
        <v>0</v>
      </c>
      <c r="H69" t="s">
        <v>1254</v>
      </c>
      <c r="I69" t="s">
        <v>1165</v>
      </c>
      <c r="J69" t="s">
        <v>10</v>
      </c>
    </row>
    <row r="70" spans="1:10" x14ac:dyDescent="0.25">
      <c r="A70" t="s">
        <v>105</v>
      </c>
      <c r="B70" t="s">
        <v>1199</v>
      </c>
      <c r="C70" t="s">
        <v>1204</v>
      </c>
      <c r="D70" t="s">
        <v>1197</v>
      </c>
      <c r="E70">
        <v>3</v>
      </c>
      <c r="F70">
        <v>360000</v>
      </c>
      <c r="G70">
        <v>0</v>
      </c>
      <c r="H70">
        <v>360000</v>
      </c>
      <c r="I70" t="s">
        <v>1255</v>
      </c>
      <c r="J70" t="s">
        <v>33</v>
      </c>
    </row>
    <row r="71" spans="1:10" x14ac:dyDescent="0.25">
      <c r="A71" t="s">
        <v>106</v>
      </c>
      <c r="B71" t="s">
        <v>1199</v>
      </c>
      <c r="C71" t="s">
        <v>1200</v>
      </c>
      <c r="D71" t="s">
        <v>1210</v>
      </c>
      <c r="E71">
        <v>5</v>
      </c>
      <c r="F71">
        <v>925000</v>
      </c>
      <c r="G71">
        <v>10000</v>
      </c>
      <c r="H71">
        <v>915000</v>
      </c>
      <c r="I71" t="s">
        <v>1256</v>
      </c>
      <c r="J71" t="s">
        <v>20</v>
      </c>
    </row>
    <row r="72" spans="1:10" x14ac:dyDescent="0.25">
      <c r="A72" t="s">
        <v>107</v>
      </c>
      <c r="B72" t="s">
        <v>1206</v>
      </c>
      <c r="C72" t="s">
        <v>1193</v>
      </c>
      <c r="D72" t="s">
        <v>1194</v>
      </c>
      <c r="E72">
        <v>4</v>
      </c>
      <c r="F72">
        <v>480000</v>
      </c>
      <c r="G72">
        <v>5000</v>
      </c>
      <c r="H72">
        <v>475000</v>
      </c>
      <c r="I72" t="s">
        <v>65</v>
      </c>
      <c r="J72" t="s">
        <v>10</v>
      </c>
    </row>
    <row r="73" spans="1:10" x14ac:dyDescent="0.25">
      <c r="A73" t="s">
        <v>108</v>
      </c>
      <c r="B73" t="s">
        <v>1192</v>
      </c>
      <c r="C73" t="s">
        <v>1196</v>
      </c>
      <c r="D73" t="s">
        <v>1213</v>
      </c>
      <c r="E73">
        <v>5</v>
      </c>
      <c r="F73">
        <v>925000</v>
      </c>
      <c r="G73">
        <v>0</v>
      </c>
      <c r="H73">
        <v>925000</v>
      </c>
      <c r="I73" t="s">
        <v>1257</v>
      </c>
      <c r="J73" t="s">
        <v>10</v>
      </c>
    </row>
    <row r="74" spans="1:10" x14ac:dyDescent="0.25">
      <c r="A74" t="s">
        <v>109</v>
      </c>
      <c r="B74" t="s">
        <v>1239</v>
      </c>
      <c r="C74" t="s">
        <v>1200</v>
      </c>
      <c r="D74" t="s">
        <v>1197</v>
      </c>
      <c r="E74">
        <v>6</v>
      </c>
      <c r="F74">
        <v>270000</v>
      </c>
      <c r="G74">
        <v>0</v>
      </c>
      <c r="H74">
        <v>270000</v>
      </c>
      <c r="I74" t="s">
        <v>1161</v>
      </c>
      <c r="J74" t="s">
        <v>10</v>
      </c>
    </row>
    <row r="75" spans="1:10" x14ac:dyDescent="0.25">
      <c r="A75" t="s">
        <v>110</v>
      </c>
      <c r="B75" t="s">
        <v>1206</v>
      </c>
      <c r="C75" t="s">
        <v>1196</v>
      </c>
      <c r="D75" t="s">
        <v>1194</v>
      </c>
      <c r="E75">
        <v>3</v>
      </c>
      <c r="F75">
        <v>750000</v>
      </c>
      <c r="G75">
        <v>15000</v>
      </c>
      <c r="H75" t="s">
        <v>1258</v>
      </c>
      <c r="I75" t="s">
        <v>1259</v>
      </c>
      <c r="J75" t="s">
        <v>10</v>
      </c>
    </row>
    <row r="76" spans="1:10" x14ac:dyDescent="0.25">
      <c r="A76" t="s">
        <v>111</v>
      </c>
      <c r="B76" t="s">
        <v>1206</v>
      </c>
      <c r="C76" t="s">
        <v>1204</v>
      </c>
      <c r="D76" t="s">
        <v>1210</v>
      </c>
      <c r="E76">
        <v>3</v>
      </c>
      <c r="F76">
        <v>360000</v>
      </c>
      <c r="G76">
        <v>0</v>
      </c>
      <c r="H76" t="s">
        <v>1231</v>
      </c>
      <c r="I76" t="s">
        <v>1227</v>
      </c>
      <c r="J76" t="s">
        <v>10</v>
      </c>
    </row>
    <row r="77" spans="1:10" x14ac:dyDescent="0.25">
      <c r="A77" t="s">
        <v>112</v>
      </c>
      <c r="B77" t="s">
        <v>1192</v>
      </c>
      <c r="C77" t="s">
        <v>1193</v>
      </c>
      <c r="D77" t="s">
        <v>1213</v>
      </c>
      <c r="E77">
        <v>8</v>
      </c>
      <c r="F77">
        <v>2000000</v>
      </c>
      <c r="G77">
        <v>0</v>
      </c>
      <c r="H77">
        <v>2000000</v>
      </c>
      <c r="I77" t="s">
        <v>113</v>
      </c>
      <c r="J77" t="s">
        <v>10</v>
      </c>
    </row>
    <row r="78" spans="1:10" x14ac:dyDescent="0.25">
      <c r="A78" t="s">
        <v>114</v>
      </c>
      <c r="B78" t="s">
        <v>1199</v>
      </c>
      <c r="C78" t="s">
        <v>1200</v>
      </c>
      <c r="D78" t="s">
        <v>1194</v>
      </c>
      <c r="E78">
        <v>10</v>
      </c>
      <c r="F78">
        <v>2500000</v>
      </c>
      <c r="G78">
        <v>0</v>
      </c>
      <c r="H78">
        <v>2500000</v>
      </c>
      <c r="I78" t="s">
        <v>115</v>
      </c>
      <c r="J78" t="s">
        <v>20</v>
      </c>
    </row>
    <row r="79" spans="1:10" x14ac:dyDescent="0.25">
      <c r="A79" t="s">
        <v>116</v>
      </c>
      <c r="B79" t="s">
        <v>1192</v>
      </c>
      <c r="C79" t="s">
        <v>29</v>
      </c>
      <c r="D79" t="s">
        <v>1197</v>
      </c>
      <c r="E79">
        <v>3</v>
      </c>
      <c r="F79">
        <v>750000</v>
      </c>
      <c r="G79">
        <v>0</v>
      </c>
      <c r="H79" t="s">
        <v>1260</v>
      </c>
      <c r="I79" t="s">
        <v>1161</v>
      </c>
      <c r="J79" t="s">
        <v>20</v>
      </c>
    </row>
    <row r="80" spans="1:10" x14ac:dyDescent="0.25">
      <c r="A80" t="s">
        <v>117</v>
      </c>
      <c r="B80" t="s">
        <v>1206</v>
      </c>
      <c r="C80" t="s">
        <v>1196</v>
      </c>
      <c r="D80" t="s">
        <v>1210</v>
      </c>
      <c r="E80">
        <v>4</v>
      </c>
      <c r="F80">
        <v>480000</v>
      </c>
      <c r="G80">
        <v>0</v>
      </c>
      <c r="H80">
        <v>480000</v>
      </c>
      <c r="I80" t="s">
        <v>1242</v>
      </c>
      <c r="J80" t="s">
        <v>33</v>
      </c>
    </row>
    <row r="81" spans="1:10" x14ac:dyDescent="0.25">
      <c r="A81" t="s">
        <v>118</v>
      </c>
      <c r="B81" t="s">
        <v>1239</v>
      </c>
      <c r="C81" t="s">
        <v>29</v>
      </c>
      <c r="D81" t="s">
        <v>1213</v>
      </c>
      <c r="E81">
        <v>5</v>
      </c>
      <c r="F81">
        <v>925000</v>
      </c>
      <c r="G81">
        <v>0</v>
      </c>
      <c r="H81">
        <v>925000</v>
      </c>
      <c r="I81" t="s">
        <v>1261</v>
      </c>
      <c r="J81" t="s">
        <v>5</v>
      </c>
    </row>
    <row r="82" spans="1:10" x14ac:dyDescent="0.25">
      <c r="A82" t="s">
        <v>83</v>
      </c>
      <c r="B82" t="s">
        <v>1192</v>
      </c>
      <c r="C82" t="s">
        <v>1204</v>
      </c>
      <c r="D82" t="s">
        <v>1210</v>
      </c>
      <c r="E82">
        <v>9</v>
      </c>
      <c r="F82">
        <v>405000</v>
      </c>
      <c r="G82">
        <v>15000</v>
      </c>
      <c r="H82">
        <v>390000</v>
      </c>
      <c r="I82" t="s">
        <v>119</v>
      </c>
      <c r="J82" t="s">
        <v>10</v>
      </c>
    </row>
    <row r="83" spans="1:10" x14ac:dyDescent="0.25">
      <c r="A83" t="s">
        <v>120</v>
      </c>
      <c r="B83" t="s">
        <v>1192</v>
      </c>
      <c r="C83" t="s">
        <v>1262</v>
      </c>
      <c r="D83" t="s">
        <v>1197</v>
      </c>
      <c r="E83">
        <v>9</v>
      </c>
      <c r="F83">
        <v>675000</v>
      </c>
      <c r="G83">
        <v>0</v>
      </c>
      <c r="H83">
        <v>675000</v>
      </c>
      <c r="I83" t="s">
        <v>1263</v>
      </c>
      <c r="J83" t="s">
        <v>33</v>
      </c>
    </row>
    <row r="84" spans="1:10" x14ac:dyDescent="0.25">
      <c r="A84" t="s">
        <v>121</v>
      </c>
      <c r="B84" t="s">
        <v>1195</v>
      </c>
      <c r="C84" t="s">
        <v>1226</v>
      </c>
      <c r="D84" t="s">
        <v>1197</v>
      </c>
      <c r="E84">
        <v>4</v>
      </c>
      <c r="F84">
        <v>480000</v>
      </c>
      <c r="G84">
        <v>0</v>
      </c>
      <c r="H84">
        <v>480000</v>
      </c>
      <c r="I84" t="s">
        <v>1257</v>
      </c>
      <c r="J84" t="s">
        <v>10</v>
      </c>
    </row>
    <row r="85" spans="1:10" x14ac:dyDescent="0.25">
      <c r="A85" t="s">
        <v>122</v>
      </c>
      <c r="B85" t="s">
        <v>1199</v>
      </c>
      <c r="C85" t="s">
        <v>29</v>
      </c>
      <c r="D85" t="s">
        <v>1203</v>
      </c>
      <c r="E85">
        <v>3</v>
      </c>
      <c r="F85">
        <v>555000</v>
      </c>
      <c r="G85">
        <v>10000</v>
      </c>
      <c r="H85">
        <v>545000</v>
      </c>
      <c r="I85" t="s">
        <v>1264</v>
      </c>
      <c r="J85" t="s">
        <v>5</v>
      </c>
    </row>
    <row r="86" spans="1:10" x14ac:dyDescent="0.25">
      <c r="A86" t="s">
        <v>123</v>
      </c>
      <c r="B86" t="s">
        <v>1206</v>
      </c>
      <c r="C86" t="s">
        <v>1265</v>
      </c>
      <c r="D86" t="s">
        <v>1194</v>
      </c>
      <c r="E86">
        <v>1</v>
      </c>
      <c r="F86">
        <v>250000</v>
      </c>
      <c r="G86">
        <v>0</v>
      </c>
      <c r="H86" t="s">
        <v>1266</v>
      </c>
      <c r="I86" t="s">
        <v>1267</v>
      </c>
      <c r="J86" t="s">
        <v>10</v>
      </c>
    </row>
    <row r="87" spans="1:10" x14ac:dyDescent="0.25">
      <c r="A87" t="s">
        <v>124</v>
      </c>
      <c r="B87" t="s">
        <v>1206</v>
      </c>
      <c r="C87" t="s">
        <v>1204</v>
      </c>
      <c r="D87" t="s">
        <v>1197</v>
      </c>
      <c r="E87">
        <v>8</v>
      </c>
      <c r="F87">
        <v>360000</v>
      </c>
      <c r="G87">
        <v>15000</v>
      </c>
      <c r="H87">
        <v>345000</v>
      </c>
      <c r="I87" t="s">
        <v>1268</v>
      </c>
      <c r="J87" t="s">
        <v>5</v>
      </c>
    </row>
    <row r="88" spans="1:10" x14ac:dyDescent="0.25">
      <c r="A88" t="s">
        <v>125</v>
      </c>
      <c r="B88" t="s">
        <v>1192</v>
      </c>
      <c r="C88" t="s">
        <v>1193</v>
      </c>
      <c r="D88" t="s">
        <v>1197</v>
      </c>
      <c r="E88">
        <v>9</v>
      </c>
      <c r="F88">
        <v>1665000</v>
      </c>
      <c r="G88">
        <v>0</v>
      </c>
      <c r="H88">
        <v>1665000</v>
      </c>
      <c r="I88" t="s">
        <v>56</v>
      </c>
      <c r="J88" t="s">
        <v>10</v>
      </c>
    </row>
    <row r="89" spans="1:10" x14ac:dyDescent="0.25">
      <c r="A89" t="s">
        <v>126</v>
      </c>
      <c r="B89" t="s">
        <v>1206</v>
      </c>
      <c r="C89" t="s">
        <v>29</v>
      </c>
      <c r="D89" t="s">
        <v>1210</v>
      </c>
      <c r="E89">
        <v>8</v>
      </c>
      <c r="F89">
        <v>960000</v>
      </c>
      <c r="G89">
        <v>0</v>
      </c>
      <c r="H89">
        <v>960000</v>
      </c>
      <c r="I89" t="s">
        <v>1269</v>
      </c>
      <c r="J89" t="s">
        <v>5</v>
      </c>
    </row>
    <row r="90" spans="1:10" x14ac:dyDescent="0.25">
      <c r="A90" t="s">
        <v>127</v>
      </c>
      <c r="B90" t="s">
        <v>1199</v>
      </c>
      <c r="C90" t="s">
        <v>1208</v>
      </c>
      <c r="D90" t="s">
        <v>1213</v>
      </c>
      <c r="E90">
        <v>3</v>
      </c>
      <c r="F90">
        <v>225000</v>
      </c>
      <c r="G90">
        <v>0</v>
      </c>
      <c r="H90">
        <v>225000</v>
      </c>
      <c r="I90" t="s">
        <v>1157</v>
      </c>
      <c r="J90" t="s">
        <v>20</v>
      </c>
    </row>
    <row r="91" spans="1:10" x14ac:dyDescent="0.25">
      <c r="A91" t="s">
        <v>128</v>
      </c>
      <c r="B91" t="s">
        <v>1199</v>
      </c>
      <c r="C91" t="s">
        <v>1193</v>
      </c>
      <c r="D91" t="s">
        <v>1203</v>
      </c>
      <c r="E91">
        <v>6</v>
      </c>
      <c r="F91">
        <v>1500000</v>
      </c>
      <c r="G91">
        <v>0</v>
      </c>
      <c r="H91">
        <v>1500000</v>
      </c>
      <c r="I91" t="s">
        <v>1270</v>
      </c>
      <c r="J91" t="s">
        <v>10</v>
      </c>
    </row>
    <row r="92" spans="1:10" x14ac:dyDescent="0.25">
      <c r="A92" t="s">
        <v>129</v>
      </c>
      <c r="B92" t="s">
        <v>1206</v>
      </c>
      <c r="C92" t="s">
        <v>1204</v>
      </c>
      <c r="D92" t="s">
        <v>1213</v>
      </c>
      <c r="E92">
        <v>10</v>
      </c>
      <c r="F92">
        <v>1200000</v>
      </c>
      <c r="G92">
        <v>0</v>
      </c>
      <c r="H92" t="s">
        <v>1271</v>
      </c>
      <c r="I92" t="s">
        <v>1218</v>
      </c>
      <c r="J92" t="s">
        <v>20</v>
      </c>
    </row>
    <row r="93" spans="1:10" x14ac:dyDescent="0.25">
      <c r="A93" t="s">
        <v>130</v>
      </c>
      <c r="B93" t="s">
        <v>1192</v>
      </c>
      <c r="C93" t="s">
        <v>1193</v>
      </c>
      <c r="D93" t="s">
        <v>1213</v>
      </c>
      <c r="E93">
        <v>9</v>
      </c>
      <c r="F93">
        <v>2250000</v>
      </c>
      <c r="G93">
        <v>0</v>
      </c>
      <c r="H93">
        <v>2250000</v>
      </c>
      <c r="I93" t="s">
        <v>1272</v>
      </c>
      <c r="J93" t="s">
        <v>5</v>
      </c>
    </row>
    <row r="94" spans="1:10" x14ac:dyDescent="0.25">
      <c r="A94" t="s">
        <v>131</v>
      </c>
      <c r="B94" t="s">
        <v>1199</v>
      </c>
      <c r="C94" t="s">
        <v>29</v>
      </c>
      <c r="D94" t="s">
        <v>1210</v>
      </c>
      <c r="E94">
        <v>3</v>
      </c>
      <c r="F94">
        <v>555000</v>
      </c>
      <c r="G94">
        <v>0</v>
      </c>
      <c r="H94">
        <v>555000</v>
      </c>
      <c r="I94" t="s">
        <v>132</v>
      </c>
      <c r="J94" t="s">
        <v>20</v>
      </c>
    </row>
    <row r="95" spans="1:10" x14ac:dyDescent="0.25">
      <c r="A95" t="s">
        <v>133</v>
      </c>
      <c r="B95" t="s">
        <v>1199</v>
      </c>
      <c r="C95" t="s">
        <v>1208</v>
      </c>
      <c r="D95" t="s">
        <v>1203</v>
      </c>
      <c r="E95">
        <v>6</v>
      </c>
      <c r="F95">
        <v>450000</v>
      </c>
      <c r="G95">
        <v>10000</v>
      </c>
      <c r="H95">
        <v>440000</v>
      </c>
      <c r="I95" t="s">
        <v>1273</v>
      </c>
      <c r="J95" t="s">
        <v>33</v>
      </c>
    </row>
    <row r="96" spans="1:10" x14ac:dyDescent="0.25">
      <c r="A96" t="s">
        <v>134</v>
      </c>
      <c r="B96" t="s">
        <v>1199</v>
      </c>
      <c r="C96" t="s">
        <v>29</v>
      </c>
      <c r="D96" t="s">
        <v>1210</v>
      </c>
      <c r="E96">
        <v>4</v>
      </c>
      <c r="F96">
        <v>300000</v>
      </c>
      <c r="G96">
        <v>0</v>
      </c>
      <c r="H96">
        <v>300000</v>
      </c>
      <c r="I96" t="s">
        <v>1274</v>
      </c>
      <c r="J96" t="s">
        <v>33</v>
      </c>
    </row>
    <row r="97" spans="1:10" x14ac:dyDescent="0.25">
      <c r="A97" t="s">
        <v>135</v>
      </c>
      <c r="B97" t="s">
        <v>1206</v>
      </c>
      <c r="C97" t="s">
        <v>29</v>
      </c>
      <c r="D97" t="s">
        <v>1197</v>
      </c>
      <c r="E97">
        <v>7</v>
      </c>
      <c r="F97">
        <v>525000</v>
      </c>
      <c r="G97">
        <v>0</v>
      </c>
      <c r="H97" t="s">
        <v>1275</v>
      </c>
      <c r="I97" t="s">
        <v>1255</v>
      </c>
      <c r="J97" t="s">
        <v>33</v>
      </c>
    </row>
    <row r="98" spans="1:10" x14ac:dyDescent="0.25">
      <c r="A98" t="s">
        <v>136</v>
      </c>
      <c r="B98" t="s">
        <v>1195</v>
      </c>
      <c r="C98" t="s">
        <v>1200</v>
      </c>
      <c r="D98" t="s">
        <v>1213</v>
      </c>
      <c r="E98">
        <v>5</v>
      </c>
      <c r="F98">
        <v>375000</v>
      </c>
      <c r="G98">
        <v>5000</v>
      </c>
      <c r="H98">
        <v>370000</v>
      </c>
      <c r="I98" t="s">
        <v>1276</v>
      </c>
      <c r="J98" t="s">
        <v>5</v>
      </c>
    </row>
    <row r="99" spans="1:10" x14ac:dyDescent="0.25">
      <c r="A99" t="s">
        <v>137</v>
      </c>
      <c r="B99" t="s">
        <v>1199</v>
      </c>
      <c r="C99" t="s">
        <v>1208</v>
      </c>
      <c r="D99" t="s">
        <v>1194</v>
      </c>
      <c r="E99">
        <v>8</v>
      </c>
      <c r="F99">
        <v>960000</v>
      </c>
      <c r="G99">
        <v>0</v>
      </c>
      <c r="H99">
        <v>960000</v>
      </c>
      <c r="I99" t="s">
        <v>138</v>
      </c>
      <c r="J99" t="s">
        <v>5</v>
      </c>
    </row>
    <row r="100" spans="1:10" x14ac:dyDescent="0.25">
      <c r="A100" t="s">
        <v>139</v>
      </c>
      <c r="B100" t="s">
        <v>1199</v>
      </c>
      <c r="C100" t="s">
        <v>29</v>
      </c>
      <c r="D100" t="s">
        <v>1210</v>
      </c>
      <c r="E100">
        <v>4</v>
      </c>
      <c r="F100">
        <v>300000</v>
      </c>
      <c r="G100">
        <v>0</v>
      </c>
      <c r="H100">
        <v>300000</v>
      </c>
      <c r="I100" t="s">
        <v>1241</v>
      </c>
      <c r="J100" t="s">
        <v>5</v>
      </c>
    </row>
    <row r="101" spans="1:10" x14ac:dyDescent="0.25">
      <c r="A101" t="s">
        <v>140</v>
      </c>
      <c r="B101" t="s">
        <v>1199</v>
      </c>
      <c r="C101" t="s">
        <v>1204</v>
      </c>
      <c r="D101" t="s">
        <v>1194</v>
      </c>
      <c r="E101">
        <v>7</v>
      </c>
      <c r="F101">
        <v>840000</v>
      </c>
      <c r="G101">
        <v>15000</v>
      </c>
      <c r="H101">
        <v>825000</v>
      </c>
      <c r="I101" t="s">
        <v>1277</v>
      </c>
      <c r="J101" t="s">
        <v>10</v>
      </c>
    </row>
    <row r="102" spans="1:10" x14ac:dyDescent="0.25">
      <c r="A102" t="s">
        <v>141</v>
      </c>
      <c r="B102" t="s">
        <v>1192</v>
      </c>
      <c r="C102" t="s">
        <v>1204</v>
      </c>
      <c r="D102" t="s">
        <v>1213</v>
      </c>
      <c r="E102">
        <v>4</v>
      </c>
      <c r="F102">
        <v>300000</v>
      </c>
      <c r="G102">
        <v>0</v>
      </c>
      <c r="H102">
        <v>300000</v>
      </c>
      <c r="I102" t="s">
        <v>1278</v>
      </c>
      <c r="J102" t="s">
        <v>20</v>
      </c>
    </row>
    <row r="103" spans="1:10" x14ac:dyDescent="0.25">
      <c r="A103" t="s">
        <v>142</v>
      </c>
      <c r="B103" t="s">
        <v>1192</v>
      </c>
      <c r="C103" t="s">
        <v>1204</v>
      </c>
      <c r="D103" t="s">
        <v>1197</v>
      </c>
      <c r="E103">
        <v>1</v>
      </c>
      <c r="F103">
        <v>250000</v>
      </c>
      <c r="G103">
        <v>0</v>
      </c>
      <c r="H103">
        <v>250000</v>
      </c>
      <c r="I103" t="s">
        <v>1279</v>
      </c>
      <c r="J103" t="s">
        <v>10</v>
      </c>
    </row>
    <row r="104" spans="1:10" x14ac:dyDescent="0.25">
      <c r="A104" t="s">
        <v>143</v>
      </c>
      <c r="B104" t="s">
        <v>1192</v>
      </c>
      <c r="C104" t="s">
        <v>1204</v>
      </c>
      <c r="D104" t="s">
        <v>1213</v>
      </c>
      <c r="E104">
        <v>4</v>
      </c>
      <c r="F104">
        <v>480000</v>
      </c>
      <c r="G104">
        <v>10000</v>
      </c>
      <c r="H104">
        <v>470000</v>
      </c>
      <c r="I104" t="s">
        <v>1156</v>
      </c>
      <c r="J104" t="s">
        <v>10</v>
      </c>
    </row>
    <row r="105" spans="1:10" x14ac:dyDescent="0.25">
      <c r="A105" t="s">
        <v>144</v>
      </c>
      <c r="B105" t="s">
        <v>1195</v>
      </c>
      <c r="C105" t="s">
        <v>1204</v>
      </c>
      <c r="D105" t="s">
        <v>1213</v>
      </c>
      <c r="E105">
        <v>1</v>
      </c>
      <c r="F105">
        <v>45000</v>
      </c>
      <c r="G105">
        <v>0</v>
      </c>
      <c r="H105">
        <v>45000</v>
      </c>
      <c r="I105" t="s">
        <v>1280</v>
      </c>
      <c r="J105" t="s">
        <v>20</v>
      </c>
    </row>
    <row r="106" spans="1:10" x14ac:dyDescent="0.25">
      <c r="A106" t="s">
        <v>145</v>
      </c>
      <c r="B106" t="s">
        <v>1195</v>
      </c>
      <c r="C106" t="s">
        <v>1200</v>
      </c>
      <c r="D106" t="s">
        <v>1203</v>
      </c>
      <c r="E106">
        <v>1</v>
      </c>
      <c r="F106">
        <v>45000</v>
      </c>
      <c r="G106">
        <v>0</v>
      </c>
      <c r="H106">
        <v>45000</v>
      </c>
      <c r="I106" t="s">
        <v>1281</v>
      </c>
      <c r="J106" t="s">
        <v>20</v>
      </c>
    </row>
    <row r="107" spans="1:10" x14ac:dyDescent="0.25">
      <c r="A107" t="s">
        <v>146</v>
      </c>
      <c r="B107" t="s">
        <v>1195</v>
      </c>
      <c r="C107" t="s">
        <v>1204</v>
      </c>
      <c r="D107" t="s">
        <v>1194</v>
      </c>
      <c r="E107">
        <v>9</v>
      </c>
      <c r="F107">
        <v>1665000</v>
      </c>
      <c r="G107">
        <v>0</v>
      </c>
      <c r="H107">
        <v>1665000</v>
      </c>
      <c r="I107" t="s">
        <v>1282</v>
      </c>
      <c r="J107" t="s">
        <v>20</v>
      </c>
    </row>
    <row r="108" spans="1:10" x14ac:dyDescent="0.25">
      <c r="A108" t="s">
        <v>147</v>
      </c>
      <c r="B108" t="s">
        <v>1251</v>
      </c>
      <c r="C108" t="s">
        <v>1208</v>
      </c>
      <c r="D108" t="s">
        <v>1210</v>
      </c>
      <c r="E108">
        <v>3</v>
      </c>
      <c r="F108">
        <v>225000</v>
      </c>
      <c r="G108">
        <v>0</v>
      </c>
      <c r="H108">
        <v>225000</v>
      </c>
      <c r="I108" t="s">
        <v>1283</v>
      </c>
      <c r="J108" t="s">
        <v>10</v>
      </c>
    </row>
    <row r="109" spans="1:10" x14ac:dyDescent="0.25">
      <c r="A109" t="s">
        <v>148</v>
      </c>
      <c r="B109" t="s">
        <v>1206</v>
      </c>
      <c r="C109" t="s">
        <v>1196</v>
      </c>
      <c r="D109" t="s">
        <v>1203</v>
      </c>
      <c r="E109">
        <v>8</v>
      </c>
      <c r="F109">
        <v>360000</v>
      </c>
      <c r="G109">
        <v>0</v>
      </c>
      <c r="H109">
        <v>360000</v>
      </c>
      <c r="I109" t="s">
        <v>1284</v>
      </c>
      <c r="J109" t="s">
        <v>33</v>
      </c>
    </row>
    <row r="110" spans="1:10" x14ac:dyDescent="0.25">
      <c r="A110" t="s">
        <v>149</v>
      </c>
      <c r="B110" t="s">
        <v>1195</v>
      </c>
      <c r="C110" t="s">
        <v>1208</v>
      </c>
      <c r="D110" t="s">
        <v>1210</v>
      </c>
      <c r="E110">
        <v>8</v>
      </c>
      <c r="F110">
        <v>2000000</v>
      </c>
      <c r="G110">
        <v>0</v>
      </c>
      <c r="H110">
        <v>2000000</v>
      </c>
      <c r="I110" t="s">
        <v>1240</v>
      </c>
      <c r="J110" t="s">
        <v>5</v>
      </c>
    </row>
    <row r="111" spans="1:10" x14ac:dyDescent="0.25">
      <c r="A111" t="s">
        <v>150</v>
      </c>
      <c r="B111" t="s">
        <v>1192</v>
      </c>
      <c r="C111" t="s">
        <v>1285</v>
      </c>
      <c r="D111" t="s">
        <v>1210</v>
      </c>
      <c r="E111">
        <v>4</v>
      </c>
      <c r="F111">
        <v>300000</v>
      </c>
      <c r="G111">
        <v>0</v>
      </c>
      <c r="H111" t="s">
        <v>1286</v>
      </c>
      <c r="I111" t="s">
        <v>1287</v>
      </c>
      <c r="J111" t="s">
        <v>33</v>
      </c>
    </row>
    <row r="112" spans="1:10" x14ac:dyDescent="0.25">
      <c r="A112" t="s">
        <v>151</v>
      </c>
      <c r="B112" t="s">
        <v>1199</v>
      </c>
      <c r="C112" t="s">
        <v>1196</v>
      </c>
      <c r="D112" t="s">
        <v>1210</v>
      </c>
      <c r="E112">
        <v>2</v>
      </c>
      <c r="F112">
        <v>240000</v>
      </c>
      <c r="G112">
        <v>0</v>
      </c>
      <c r="H112" t="s">
        <v>92</v>
      </c>
      <c r="I112" t="s">
        <v>152</v>
      </c>
      <c r="J112" t="s">
        <v>20</v>
      </c>
    </row>
    <row r="113" spans="1:10" x14ac:dyDescent="0.25">
      <c r="A113" t="s">
        <v>153</v>
      </c>
      <c r="B113" t="s">
        <v>1199</v>
      </c>
      <c r="C113" t="s">
        <v>29</v>
      </c>
      <c r="D113" t="s">
        <v>1213</v>
      </c>
      <c r="E113">
        <v>8</v>
      </c>
      <c r="F113">
        <v>1480000</v>
      </c>
      <c r="G113">
        <v>0</v>
      </c>
      <c r="H113">
        <v>1480000</v>
      </c>
      <c r="I113" t="s">
        <v>14</v>
      </c>
      <c r="J113" t="s">
        <v>33</v>
      </c>
    </row>
    <row r="114" spans="1:10" x14ac:dyDescent="0.25">
      <c r="A114" t="s">
        <v>154</v>
      </c>
      <c r="B114" t="s">
        <v>1230</v>
      </c>
      <c r="C114" t="s">
        <v>1204</v>
      </c>
      <c r="D114" t="s">
        <v>1203</v>
      </c>
      <c r="E114">
        <v>4</v>
      </c>
      <c r="F114">
        <v>740000</v>
      </c>
      <c r="G114">
        <v>5000</v>
      </c>
      <c r="H114" t="s">
        <v>1258</v>
      </c>
      <c r="I114" t="s">
        <v>1288</v>
      </c>
      <c r="J114" t="s">
        <v>33</v>
      </c>
    </row>
    <row r="115" spans="1:10" x14ac:dyDescent="0.25">
      <c r="A115" t="s">
        <v>155</v>
      </c>
      <c r="B115" t="s">
        <v>1192</v>
      </c>
      <c r="C115" t="s">
        <v>1204</v>
      </c>
      <c r="D115" t="s">
        <v>1194</v>
      </c>
      <c r="E115">
        <v>2</v>
      </c>
      <c r="F115">
        <v>150000</v>
      </c>
      <c r="G115">
        <v>0</v>
      </c>
      <c r="H115" t="s">
        <v>1289</v>
      </c>
      <c r="I115" t="s">
        <v>156</v>
      </c>
      <c r="J115" t="s">
        <v>33</v>
      </c>
    </row>
    <row r="116" spans="1:10" x14ac:dyDescent="0.25">
      <c r="A116" t="s">
        <v>157</v>
      </c>
      <c r="B116" t="s">
        <v>1192</v>
      </c>
      <c r="C116" t="s">
        <v>1204</v>
      </c>
      <c r="D116" t="s">
        <v>1210</v>
      </c>
      <c r="E116">
        <v>10</v>
      </c>
      <c r="F116">
        <v>2500000</v>
      </c>
      <c r="G116">
        <v>10000</v>
      </c>
      <c r="H116">
        <v>2490000</v>
      </c>
      <c r="I116" t="s">
        <v>1290</v>
      </c>
      <c r="J116" t="s">
        <v>10</v>
      </c>
    </row>
    <row r="117" spans="1:10" x14ac:dyDescent="0.25">
      <c r="A117" t="s">
        <v>158</v>
      </c>
      <c r="B117" t="s">
        <v>1199</v>
      </c>
      <c r="C117" t="s">
        <v>1196</v>
      </c>
      <c r="D117" t="s">
        <v>1194</v>
      </c>
      <c r="E117">
        <v>9</v>
      </c>
      <c r="F117">
        <v>675000</v>
      </c>
      <c r="G117">
        <v>0</v>
      </c>
      <c r="H117">
        <v>675000</v>
      </c>
      <c r="I117" t="s">
        <v>1283</v>
      </c>
      <c r="J117" t="s">
        <v>10</v>
      </c>
    </row>
    <row r="118" spans="1:10" x14ac:dyDescent="0.25">
      <c r="A118" t="s">
        <v>159</v>
      </c>
      <c r="B118" t="s">
        <v>1206</v>
      </c>
      <c r="C118" t="s">
        <v>29</v>
      </c>
      <c r="D118" t="s">
        <v>1194</v>
      </c>
      <c r="E118">
        <v>1</v>
      </c>
      <c r="F118">
        <v>45000</v>
      </c>
      <c r="G118">
        <v>0</v>
      </c>
      <c r="H118">
        <v>45000</v>
      </c>
      <c r="I118" t="s">
        <v>22</v>
      </c>
      <c r="J118" t="s">
        <v>33</v>
      </c>
    </row>
    <row r="119" spans="1:10" x14ac:dyDescent="0.25">
      <c r="A119" t="s">
        <v>160</v>
      </c>
      <c r="B119" t="s">
        <v>1206</v>
      </c>
      <c r="C119" t="s">
        <v>1208</v>
      </c>
      <c r="D119" t="s">
        <v>1203</v>
      </c>
      <c r="E119">
        <v>5</v>
      </c>
      <c r="F119">
        <v>925000</v>
      </c>
      <c r="G119">
        <v>0</v>
      </c>
      <c r="H119" t="s">
        <v>1291</v>
      </c>
      <c r="I119" t="s">
        <v>1124</v>
      </c>
      <c r="J119" t="s">
        <v>10</v>
      </c>
    </row>
    <row r="120" spans="1:10" x14ac:dyDescent="0.25">
      <c r="A120" t="s">
        <v>60</v>
      </c>
      <c r="B120" t="s">
        <v>1199</v>
      </c>
      <c r="C120" t="s">
        <v>1200</v>
      </c>
      <c r="D120" t="s">
        <v>1203</v>
      </c>
      <c r="E120">
        <v>8</v>
      </c>
      <c r="F120">
        <v>1480000</v>
      </c>
      <c r="G120">
        <v>0</v>
      </c>
      <c r="H120">
        <v>1480000</v>
      </c>
      <c r="I120" t="s">
        <v>113</v>
      </c>
      <c r="J120" t="s">
        <v>10</v>
      </c>
    </row>
    <row r="121" spans="1:10" x14ac:dyDescent="0.25">
      <c r="A121" t="s">
        <v>161</v>
      </c>
      <c r="B121" t="s">
        <v>1225</v>
      </c>
      <c r="C121" t="s">
        <v>1204</v>
      </c>
      <c r="D121" t="s">
        <v>1197</v>
      </c>
      <c r="E121">
        <v>6</v>
      </c>
      <c r="F121">
        <v>1500000</v>
      </c>
      <c r="G121">
        <v>0</v>
      </c>
      <c r="H121">
        <v>1500000</v>
      </c>
      <c r="I121" t="s">
        <v>1292</v>
      </c>
      <c r="J121" t="s">
        <v>5</v>
      </c>
    </row>
    <row r="122" spans="1:10" x14ac:dyDescent="0.25">
      <c r="A122" t="s">
        <v>162</v>
      </c>
      <c r="B122" t="s">
        <v>1192</v>
      </c>
      <c r="C122" t="s">
        <v>1202</v>
      </c>
      <c r="D122" t="s">
        <v>1194</v>
      </c>
      <c r="E122">
        <v>7</v>
      </c>
      <c r="F122">
        <v>840000</v>
      </c>
      <c r="G122">
        <v>0</v>
      </c>
      <c r="H122">
        <v>840000</v>
      </c>
      <c r="I122" t="s">
        <v>1283</v>
      </c>
      <c r="J122" t="s">
        <v>33</v>
      </c>
    </row>
    <row r="123" spans="1:10" x14ac:dyDescent="0.25">
      <c r="A123" t="s">
        <v>163</v>
      </c>
      <c r="B123" t="s">
        <v>1206</v>
      </c>
      <c r="C123" t="s">
        <v>1208</v>
      </c>
      <c r="D123" t="s">
        <v>1210</v>
      </c>
      <c r="E123">
        <v>7</v>
      </c>
      <c r="F123">
        <v>525000</v>
      </c>
      <c r="G123">
        <v>0</v>
      </c>
      <c r="H123">
        <v>-525000</v>
      </c>
      <c r="I123" t="s">
        <v>1121</v>
      </c>
      <c r="J123" t="s">
        <v>5</v>
      </c>
    </row>
    <row r="124" spans="1:10" x14ac:dyDescent="0.25">
      <c r="A124" t="s">
        <v>164</v>
      </c>
      <c r="B124" t="s">
        <v>1239</v>
      </c>
      <c r="C124" t="s">
        <v>1193</v>
      </c>
      <c r="D124" t="s">
        <v>1213</v>
      </c>
      <c r="E124">
        <v>8</v>
      </c>
      <c r="F124">
        <v>960000</v>
      </c>
      <c r="G124">
        <v>10000</v>
      </c>
      <c r="H124">
        <v>950000</v>
      </c>
      <c r="I124" t="s">
        <v>1293</v>
      </c>
      <c r="J124" t="s">
        <v>20</v>
      </c>
    </row>
    <row r="125" spans="1:10" x14ac:dyDescent="0.25">
      <c r="A125" t="s">
        <v>165</v>
      </c>
      <c r="B125" t="s">
        <v>1251</v>
      </c>
      <c r="C125" t="s">
        <v>1202</v>
      </c>
      <c r="D125" t="s">
        <v>1197</v>
      </c>
      <c r="E125">
        <v>9</v>
      </c>
      <c r="F125">
        <v>1665000</v>
      </c>
      <c r="G125">
        <v>0</v>
      </c>
      <c r="H125">
        <v>1665000</v>
      </c>
      <c r="I125" t="s">
        <v>1148</v>
      </c>
      <c r="J125" t="s">
        <v>5</v>
      </c>
    </row>
    <row r="126" spans="1:10" x14ac:dyDescent="0.25">
      <c r="A126" t="s">
        <v>166</v>
      </c>
      <c r="B126" t="s">
        <v>1206</v>
      </c>
      <c r="C126" t="s">
        <v>1226</v>
      </c>
      <c r="D126" t="s">
        <v>1194</v>
      </c>
      <c r="E126">
        <v>10</v>
      </c>
      <c r="F126">
        <v>2500000</v>
      </c>
      <c r="G126">
        <v>15000</v>
      </c>
      <c r="H126">
        <v>2485000</v>
      </c>
      <c r="I126" t="s">
        <v>1279</v>
      </c>
      <c r="J126" t="s">
        <v>20</v>
      </c>
    </row>
    <row r="127" spans="1:10" x14ac:dyDescent="0.25">
      <c r="A127" t="s">
        <v>167</v>
      </c>
      <c r="B127" t="s">
        <v>1192</v>
      </c>
      <c r="C127" t="s">
        <v>1193</v>
      </c>
      <c r="D127" t="s">
        <v>1194</v>
      </c>
      <c r="E127">
        <v>2</v>
      </c>
      <c r="F127">
        <v>240000</v>
      </c>
      <c r="G127">
        <v>0</v>
      </c>
      <c r="H127">
        <v>240000</v>
      </c>
      <c r="I127" t="s">
        <v>1294</v>
      </c>
      <c r="J127" t="s">
        <v>10</v>
      </c>
    </row>
    <row r="128" spans="1:10" x14ac:dyDescent="0.25">
      <c r="A128" t="s">
        <v>168</v>
      </c>
      <c r="B128" t="s">
        <v>1195</v>
      </c>
      <c r="C128" t="s">
        <v>1196</v>
      </c>
      <c r="D128" t="s">
        <v>1203</v>
      </c>
      <c r="E128">
        <v>6</v>
      </c>
      <c r="F128">
        <v>720000</v>
      </c>
      <c r="G128">
        <v>0</v>
      </c>
      <c r="H128">
        <v>720000</v>
      </c>
      <c r="I128" t="s">
        <v>1295</v>
      </c>
      <c r="J128" t="s">
        <v>10</v>
      </c>
    </row>
    <row r="129" spans="1:10" x14ac:dyDescent="0.25">
      <c r="A129" t="s">
        <v>169</v>
      </c>
      <c r="B129" t="s">
        <v>1195</v>
      </c>
      <c r="C129" t="s">
        <v>1204</v>
      </c>
      <c r="D129" t="s">
        <v>1203</v>
      </c>
      <c r="E129">
        <v>10</v>
      </c>
      <c r="F129">
        <v>450000</v>
      </c>
      <c r="G129">
        <v>10000</v>
      </c>
      <c r="H129">
        <v>440000</v>
      </c>
      <c r="I129" t="s">
        <v>1292</v>
      </c>
      <c r="J129" t="s">
        <v>20</v>
      </c>
    </row>
    <row r="130" spans="1:10" x14ac:dyDescent="0.25">
      <c r="A130" t="s">
        <v>170</v>
      </c>
      <c r="B130" t="s">
        <v>1195</v>
      </c>
      <c r="C130" t="s">
        <v>1200</v>
      </c>
      <c r="D130" t="s">
        <v>1210</v>
      </c>
      <c r="E130">
        <v>2</v>
      </c>
      <c r="F130">
        <v>150000</v>
      </c>
      <c r="G130">
        <v>0</v>
      </c>
      <c r="H130">
        <v>150000</v>
      </c>
      <c r="I130" t="s">
        <v>1296</v>
      </c>
      <c r="J130" t="s">
        <v>20</v>
      </c>
    </row>
    <row r="131" spans="1:10" x14ac:dyDescent="0.25">
      <c r="A131" t="s">
        <v>171</v>
      </c>
      <c r="B131" t="s">
        <v>1192</v>
      </c>
      <c r="C131" t="s">
        <v>1204</v>
      </c>
      <c r="D131" t="s">
        <v>1194</v>
      </c>
      <c r="E131">
        <v>6</v>
      </c>
      <c r="F131">
        <v>1110000</v>
      </c>
      <c r="G131">
        <v>0</v>
      </c>
      <c r="H131">
        <v>1110000</v>
      </c>
      <c r="I131" t="s">
        <v>1297</v>
      </c>
      <c r="J131" t="s">
        <v>20</v>
      </c>
    </row>
    <row r="132" spans="1:10" x14ac:dyDescent="0.25">
      <c r="A132" t="s">
        <v>172</v>
      </c>
      <c r="B132" t="s">
        <v>1192</v>
      </c>
      <c r="C132" t="s">
        <v>1200</v>
      </c>
      <c r="D132" t="s">
        <v>1213</v>
      </c>
      <c r="E132">
        <v>5</v>
      </c>
      <c r="F132">
        <v>925000</v>
      </c>
      <c r="G132">
        <v>0</v>
      </c>
      <c r="H132">
        <v>925000</v>
      </c>
      <c r="I132" t="s">
        <v>1263</v>
      </c>
      <c r="J132" t="s">
        <v>20</v>
      </c>
    </row>
    <row r="133" spans="1:10" x14ac:dyDescent="0.25">
      <c r="B133" t="s">
        <v>1192</v>
      </c>
      <c r="C133" t="s">
        <v>1200</v>
      </c>
      <c r="D133" t="s">
        <v>1194</v>
      </c>
      <c r="E133">
        <v>3</v>
      </c>
      <c r="F133">
        <v>360000</v>
      </c>
      <c r="G133">
        <v>0</v>
      </c>
      <c r="H133">
        <v>360000</v>
      </c>
      <c r="I133" t="s">
        <v>76</v>
      </c>
      <c r="J133" t="s">
        <v>10</v>
      </c>
    </row>
    <row r="134" spans="1:10" x14ac:dyDescent="0.25">
      <c r="A134" t="s">
        <v>173</v>
      </c>
      <c r="B134" t="s">
        <v>1199</v>
      </c>
      <c r="C134" t="s">
        <v>1200</v>
      </c>
      <c r="D134" t="s">
        <v>1203</v>
      </c>
      <c r="E134">
        <v>2</v>
      </c>
      <c r="F134">
        <v>240000</v>
      </c>
      <c r="G134">
        <v>0</v>
      </c>
      <c r="H134">
        <v>240000</v>
      </c>
      <c r="I134" t="s">
        <v>1298</v>
      </c>
      <c r="J134" t="s">
        <v>20</v>
      </c>
    </row>
    <row r="135" spans="1:10" x14ac:dyDescent="0.25">
      <c r="A135" t="s">
        <v>174</v>
      </c>
      <c r="B135" t="s">
        <v>1195</v>
      </c>
      <c r="C135" t="s">
        <v>29</v>
      </c>
      <c r="D135" t="s">
        <v>1213</v>
      </c>
      <c r="E135">
        <v>4</v>
      </c>
      <c r="F135">
        <v>740000</v>
      </c>
      <c r="G135">
        <v>5000</v>
      </c>
      <c r="H135" t="s">
        <v>1258</v>
      </c>
      <c r="I135" t="s">
        <v>1207</v>
      </c>
      <c r="J135" t="s">
        <v>10</v>
      </c>
    </row>
    <row r="136" spans="1:10" x14ac:dyDescent="0.25">
      <c r="A136" t="s">
        <v>175</v>
      </c>
      <c r="B136" t="s">
        <v>1199</v>
      </c>
      <c r="C136" t="s">
        <v>1193</v>
      </c>
      <c r="D136" t="s">
        <v>1194</v>
      </c>
      <c r="E136">
        <v>3</v>
      </c>
      <c r="F136">
        <v>225000</v>
      </c>
      <c r="G136">
        <v>0</v>
      </c>
      <c r="H136">
        <v>225000</v>
      </c>
      <c r="I136" t="s">
        <v>84</v>
      </c>
      <c r="J136" t="s">
        <v>5</v>
      </c>
    </row>
    <row r="137" spans="1:10" x14ac:dyDescent="0.25">
      <c r="A137" t="s">
        <v>176</v>
      </c>
      <c r="B137" t="s">
        <v>1199</v>
      </c>
      <c r="C137" t="s">
        <v>1193</v>
      </c>
      <c r="D137" t="s">
        <v>1194</v>
      </c>
      <c r="E137">
        <v>7</v>
      </c>
      <c r="F137">
        <v>840000</v>
      </c>
      <c r="G137">
        <v>0</v>
      </c>
      <c r="H137">
        <v>840000</v>
      </c>
      <c r="I137" t="s">
        <v>138</v>
      </c>
      <c r="J137" t="s">
        <v>33</v>
      </c>
    </row>
    <row r="138" spans="1:10" x14ac:dyDescent="0.25">
      <c r="A138" t="s">
        <v>177</v>
      </c>
      <c r="B138" t="s">
        <v>1195</v>
      </c>
      <c r="C138" t="s">
        <v>1208</v>
      </c>
      <c r="D138" t="s">
        <v>1194</v>
      </c>
      <c r="E138">
        <v>8</v>
      </c>
      <c r="F138">
        <v>960000</v>
      </c>
      <c r="G138">
        <v>5000</v>
      </c>
      <c r="H138">
        <v>955000</v>
      </c>
      <c r="I138" t="s">
        <v>1299</v>
      </c>
      <c r="J138" t="s">
        <v>33</v>
      </c>
    </row>
    <row r="139" spans="1:10" x14ac:dyDescent="0.25">
      <c r="A139" t="s">
        <v>178</v>
      </c>
      <c r="B139" t="s">
        <v>1199</v>
      </c>
      <c r="C139" t="s">
        <v>29</v>
      </c>
      <c r="D139" t="s">
        <v>1203</v>
      </c>
      <c r="E139">
        <v>6</v>
      </c>
      <c r="F139">
        <v>1110000</v>
      </c>
      <c r="G139">
        <v>0</v>
      </c>
      <c r="H139">
        <v>1110000</v>
      </c>
      <c r="I139" t="s">
        <v>1273</v>
      </c>
      <c r="J139" t="s">
        <v>20</v>
      </c>
    </row>
    <row r="140" spans="1:10" x14ac:dyDescent="0.25">
      <c r="A140" t="s">
        <v>179</v>
      </c>
      <c r="B140" t="s">
        <v>1206</v>
      </c>
      <c r="C140" t="s">
        <v>1265</v>
      </c>
      <c r="D140" t="s">
        <v>1210</v>
      </c>
      <c r="E140">
        <v>2</v>
      </c>
      <c r="F140">
        <v>240000</v>
      </c>
      <c r="G140">
        <v>0</v>
      </c>
      <c r="H140">
        <v>240000</v>
      </c>
      <c r="I140" t="s">
        <v>1207</v>
      </c>
      <c r="J140" t="s">
        <v>10</v>
      </c>
    </row>
    <row r="141" spans="1:10" x14ac:dyDescent="0.25">
      <c r="A141" t="s">
        <v>180</v>
      </c>
      <c r="B141" t="s">
        <v>1192</v>
      </c>
      <c r="C141" t="s">
        <v>1193</v>
      </c>
      <c r="D141" t="s">
        <v>1197</v>
      </c>
      <c r="E141">
        <v>9</v>
      </c>
      <c r="F141">
        <v>675000</v>
      </c>
      <c r="G141">
        <v>0</v>
      </c>
      <c r="H141">
        <v>675000</v>
      </c>
      <c r="I141" t="s">
        <v>39</v>
      </c>
      <c r="J141" t="s">
        <v>33</v>
      </c>
    </row>
    <row r="142" spans="1:10" x14ac:dyDescent="0.25">
      <c r="A142" t="s">
        <v>181</v>
      </c>
      <c r="B142" t="s">
        <v>1192</v>
      </c>
      <c r="C142" t="s">
        <v>1202</v>
      </c>
      <c r="D142" t="s">
        <v>1203</v>
      </c>
      <c r="E142">
        <v>8</v>
      </c>
      <c r="F142">
        <v>960000</v>
      </c>
      <c r="G142">
        <v>15000</v>
      </c>
      <c r="H142">
        <v>945000</v>
      </c>
      <c r="I142" t="s">
        <v>1242</v>
      </c>
      <c r="J142" t="s">
        <v>10</v>
      </c>
    </row>
    <row r="143" spans="1:10" x14ac:dyDescent="0.25">
      <c r="A143" t="s">
        <v>182</v>
      </c>
      <c r="B143" t="s">
        <v>1195</v>
      </c>
      <c r="C143" t="s">
        <v>29</v>
      </c>
      <c r="D143" t="s">
        <v>1197</v>
      </c>
      <c r="E143">
        <v>7</v>
      </c>
      <c r="F143">
        <v>1295000</v>
      </c>
      <c r="G143">
        <v>10000</v>
      </c>
      <c r="H143">
        <v>1285000</v>
      </c>
      <c r="I143" t="s">
        <v>183</v>
      </c>
      <c r="J143" t="s">
        <v>20</v>
      </c>
    </row>
    <row r="144" spans="1:10" x14ac:dyDescent="0.25">
      <c r="A144" t="s">
        <v>184</v>
      </c>
      <c r="B144" t="s">
        <v>1199</v>
      </c>
      <c r="C144" t="s">
        <v>1202</v>
      </c>
      <c r="D144" t="s">
        <v>1213</v>
      </c>
      <c r="E144">
        <v>4</v>
      </c>
      <c r="F144">
        <v>300000</v>
      </c>
      <c r="G144">
        <v>0</v>
      </c>
      <c r="H144">
        <v>300000</v>
      </c>
      <c r="I144" t="s">
        <v>1300</v>
      </c>
      <c r="J144" t="s">
        <v>5</v>
      </c>
    </row>
    <row r="145" spans="1:10" x14ac:dyDescent="0.25">
      <c r="A145" t="s">
        <v>185</v>
      </c>
      <c r="B145" t="s">
        <v>1195</v>
      </c>
      <c r="C145" t="s">
        <v>1204</v>
      </c>
      <c r="D145" t="s">
        <v>1197</v>
      </c>
      <c r="E145">
        <v>2</v>
      </c>
      <c r="F145">
        <v>500000</v>
      </c>
      <c r="G145">
        <v>0</v>
      </c>
      <c r="H145">
        <v>500000</v>
      </c>
      <c r="I145" t="s">
        <v>1301</v>
      </c>
      <c r="J145" t="s">
        <v>10</v>
      </c>
    </row>
    <row r="146" spans="1:10" x14ac:dyDescent="0.25">
      <c r="A146" t="s">
        <v>186</v>
      </c>
      <c r="B146" t="s">
        <v>1192</v>
      </c>
      <c r="C146" t="s">
        <v>1196</v>
      </c>
      <c r="D146" t="s">
        <v>1203</v>
      </c>
      <c r="E146">
        <v>5</v>
      </c>
      <c r="F146">
        <v>1250000</v>
      </c>
      <c r="G146">
        <v>5000</v>
      </c>
      <c r="H146">
        <v>1245000</v>
      </c>
      <c r="I146" t="s">
        <v>1302</v>
      </c>
      <c r="J146" t="s">
        <v>10</v>
      </c>
    </row>
    <row r="147" spans="1:10" x14ac:dyDescent="0.25">
      <c r="A147" t="s">
        <v>187</v>
      </c>
      <c r="B147" t="s">
        <v>1195</v>
      </c>
      <c r="C147" t="s">
        <v>1208</v>
      </c>
      <c r="D147" t="s">
        <v>1197</v>
      </c>
      <c r="E147">
        <v>1</v>
      </c>
      <c r="F147">
        <v>120000</v>
      </c>
      <c r="G147">
        <v>0</v>
      </c>
      <c r="H147" t="s">
        <v>1303</v>
      </c>
      <c r="I147" t="s">
        <v>1304</v>
      </c>
      <c r="J147" t="s">
        <v>10</v>
      </c>
    </row>
    <row r="148" spans="1:10" x14ac:dyDescent="0.25">
      <c r="A148" t="s">
        <v>188</v>
      </c>
      <c r="B148" t="s">
        <v>1192</v>
      </c>
      <c r="C148" t="s">
        <v>1200</v>
      </c>
      <c r="D148" t="s">
        <v>1197</v>
      </c>
      <c r="E148">
        <v>9</v>
      </c>
      <c r="F148">
        <v>405000</v>
      </c>
      <c r="G148">
        <v>0</v>
      </c>
      <c r="H148">
        <v>405000</v>
      </c>
      <c r="I148" t="s">
        <v>1305</v>
      </c>
      <c r="J148" t="s">
        <v>20</v>
      </c>
    </row>
    <row r="149" spans="1:10" x14ac:dyDescent="0.25">
      <c r="A149" t="s">
        <v>189</v>
      </c>
      <c r="B149" t="s">
        <v>1195</v>
      </c>
      <c r="C149" t="s">
        <v>1193</v>
      </c>
      <c r="D149" t="s">
        <v>1197</v>
      </c>
      <c r="E149">
        <v>9</v>
      </c>
      <c r="F149">
        <v>1665000</v>
      </c>
      <c r="G149">
        <v>0</v>
      </c>
      <c r="H149">
        <v>1665000</v>
      </c>
      <c r="I149" t="s">
        <v>22</v>
      </c>
      <c r="J149" t="s">
        <v>5</v>
      </c>
    </row>
    <row r="150" spans="1:10" x14ac:dyDescent="0.25">
      <c r="A150" t="s">
        <v>190</v>
      </c>
      <c r="B150" t="s">
        <v>1195</v>
      </c>
      <c r="C150" t="s">
        <v>1208</v>
      </c>
      <c r="D150" t="s">
        <v>1213</v>
      </c>
      <c r="E150">
        <v>3</v>
      </c>
      <c r="F150">
        <v>555000</v>
      </c>
      <c r="G150">
        <v>0</v>
      </c>
      <c r="H150" t="s">
        <v>1306</v>
      </c>
      <c r="I150" t="s">
        <v>1307</v>
      </c>
      <c r="J150" t="s">
        <v>10</v>
      </c>
    </row>
    <row r="151" spans="1:10" x14ac:dyDescent="0.25">
      <c r="A151" t="s">
        <v>191</v>
      </c>
      <c r="B151" t="s">
        <v>1192</v>
      </c>
      <c r="C151" t="s">
        <v>1204</v>
      </c>
      <c r="D151" t="s">
        <v>1210</v>
      </c>
      <c r="E151">
        <v>3</v>
      </c>
      <c r="F151">
        <v>225000</v>
      </c>
      <c r="G151">
        <v>0</v>
      </c>
      <c r="H151">
        <v>225000</v>
      </c>
      <c r="I151" t="s">
        <v>1209</v>
      </c>
      <c r="J151" t="s">
        <v>20</v>
      </c>
    </row>
    <row r="152" spans="1:10" x14ac:dyDescent="0.25">
      <c r="A152" t="s">
        <v>192</v>
      </c>
      <c r="B152" t="s">
        <v>1230</v>
      </c>
      <c r="C152" t="s">
        <v>1193</v>
      </c>
      <c r="D152" t="s">
        <v>1213</v>
      </c>
      <c r="E152">
        <v>9</v>
      </c>
      <c r="F152">
        <v>1665000</v>
      </c>
      <c r="G152">
        <v>0</v>
      </c>
      <c r="H152">
        <v>-1665000</v>
      </c>
      <c r="I152" t="s">
        <v>113</v>
      </c>
      <c r="J152" t="s">
        <v>5</v>
      </c>
    </row>
    <row r="153" spans="1:10" x14ac:dyDescent="0.25">
      <c r="A153" t="s">
        <v>193</v>
      </c>
      <c r="B153" t="s">
        <v>1192</v>
      </c>
      <c r="C153" t="s">
        <v>1200</v>
      </c>
      <c r="D153" t="s">
        <v>1197</v>
      </c>
      <c r="E153">
        <v>2</v>
      </c>
      <c r="F153">
        <v>90000</v>
      </c>
      <c r="G153">
        <v>0</v>
      </c>
      <c r="H153" t="s">
        <v>1308</v>
      </c>
      <c r="I153" t="s">
        <v>1124</v>
      </c>
      <c r="J153" t="s">
        <v>5</v>
      </c>
    </row>
    <row r="154" spans="1:10" x14ac:dyDescent="0.25">
      <c r="A154" t="s">
        <v>194</v>
      </c>
      <c r="B154" t="s">
        <v>1206</v>
      </c>
      <c r="C154" t="s">
        <v>29</v>
      </c>
      <c r="D154" t="s">
        <v>1213</v>
      </c>
      <c r="E154">
        <v>6</v>
      </c>
      <c r="F154">
        <v>1110000</v>
      </c>
      <c r="G154">
        <v>0</v>
      </c>
      <c r="H154">
        <v>1110000</v>
      </c>
      <c r="I154" t="s">
        <v>195</v>
      </c>
      <c r="J154" t="s">
        <v>10</v>
      </c>
    </row>
    <row r="155" spans="1:10" x14ac:dyDescent="0.25">
      <c r="A155" t="s">
        <v>196</v>
      </c>
      <c r="B155" t="s">
        <v>1230</v>
      </c>
      <c r="C155" t="s">
        <v>29</v>
      </c>
      <c r="D155" t="s">
        <v>1213</v>
      </c>
      <c r="E155">
        <v>1</v>
      </c>
      <c r="F155">
        <v>75000</v>
      </c>
      <c r="G155">
        <v>15000</v>
      </c>
      <c r="H155">
        <v>60000</v>
      </c>
      <c r="I155" t="s">
        <v>1309</v>
      </c>
      <c r="J155" t="s">
        <v>10</v>
      </c>
    </row>
    <row r="156" spans="1:10" x14ac:dyDescent="0.25">
      <c r="A156" t="s">
        <v>197</v>
      </c>
      <c r="B156" t="s">
        <v>1192</v>
      </c>
      <c r="C156" t="s">
        <v>1219</v>
      </c>
      <c r="D156" t="s">
        <v>1194</v>
      </c>
      <c r="E156">
        <v>6</v>
      </c>
      <c r="F156">
        <v>450000</v>
      </c>
      <c r="G156">
        <v>0</v>
      </c>
      <c r="H156">
        <v>450000</v>
      </c>
      <c r="I156" t="s">
        <v>39</v>
      </c>
      <c r="J156" t="s">
        <v>20</v>
      </c>
    </row>
    <row r="157" spans="1:10" x14ac:dyDescent="0.25">
      <c r="A157" t="s">
        <v>198</v>
      </c>
      <c r="B157" t="s">
        <v>1206</v>
      </c>
      <c r="C157" t="s">
        <v>1200</v>
      </c>
      <c r="D157" t="s">
        <v>1213</v>
      </c>
      <c r="E157">
        <v>4</v>
      </c>
      <c r="F157">
        <v>740000</v>
      </c>
      <c r="G157">
        <v>0</v>
      </c>
      <c r="H157" t="s">
        <v>1250</v>
      </c>
      <c r="I157" t="s">
        <v>1166</v>
      </c>
      <c r="J157" t="s">
        <v>20</v>
      </c>
    </row>
    <row r="158" spans="1:10" x14ac:dyDescent="0.25">
      <c r="A158" t="s">
        <v>199</v>
      </c>
      <c r="B158" t="s">
        <v>1225</v>
      </c>
      <c r="C158" t="s">
        <v>1285</v>
      </c>
      <c r="D158" t="s">
        <v>1210</v>
      </c>
      <c r="E158">
        <v>8</v>
      </c>
      <c r="F158">
        <v>2000000</v>
      </c>
      <c r="G158">
        <v>0</v>
      </c>
      <c r="H158">
        <v>2000000</v>
      </c>
      <c r="I158" t="s">
        <v>1140</v>
      </c>
      <c r="J158" t="s">
        <v>20</v>
      </c>
    </row>
    <row r="159" spans="1:10" x14ac:dyDescent="0.25">
      <c r="A159" t="s">
        <v>200</v>
      </c>
      <c r="B159" t="s">
        <v>1239</v>
      </c>
      <c r="C159" t="s">
        <v>29</v>
      </c>
      <c r="D159" t="s">
        <v>1197</v>
      </c>
      <c r="E159">
        <v>1</v>
      </c>
      <c r="F159">
        <v>120000</v>
      </c>
      <c r="G159">
        <v>15000</v>
      </c>
      <c r="H159">
        <v>105000</v>
      </c>
      <c r="I159" t="s">
        <v>1310</v>
      </c>
      <c r="J159" t="s">
        <v>33</v>
      </c>
    </row>
    <row r="160" spans="1:10" x14ac:dyDescent="0.25">
      <c r="A160" t="s">
        <v>201</v>
      </c>
      <c r="B160" t="s">
        <v>1199</v>
      </c>
      <c r="C160" t="s">
        <v>29</v>
      </c>
      <c r="D160" t="s">
        <v>1213</v>
      </c>
      <c r="E160">
        <v>4</v>
      </c>
      <c r="F160">
        <v>740000</v>
      </c>
      <c r="G160">
        <v>10000</v>
      </c>
      <c r="H160">
        <v>730000</v>
      </c>
      <c r="I160" t="s">
        <v>1241</v>
      </c>
      <c r="J160" t="s">
        <v>20</v>
      </c>
    </row>
    <row r="161" spans="1:10" x14ac:dyDescent="0.25">
      <c r="A161" t="s">
        <v>202</v>
      </c>
      <c r="B161" t="s">
        <v>1192</v>
      </c>
      <c r="C161" t="s">
        <v>1193</v>
      </c>
      <c r="D161" t="s">
        <v>1194</v>
      </c>
      <c r="E161">
        <v>10</v>
      </c>
      <c r="F161">
        <v>750000</v>
      </c>
      <c r="G161">
        <v>15000</v>
      </c>
      <c r="H161">
        <v>735000</v>
      </c>
      <c r="I161" t="s">
        <v>203</v>
      </c>
      <c r="J161" t="s">
        <v>10</v>
      </c>
    </row>
    <row r="162" spans="1:10" x14ac:dyDescent="0.25">
      <c r="A162" t="s">
        <v>204</v>
      </c>
      <c r="B162" t="s">
        <v>1195</v>
      </c>
      <c r="C162" t="s">
        <v>1204</v>
      </c>
      <c r="D162" t="s">
        <v>1210</v>
      </c>
      <c r="E162">
        <v>9</v>
      </c>
      <c r="F162">
        <v>1080000</v>
      </c>
      <c r="G162">
        <v>0</v>
      </c>
      <c r="H162" t="s">
        <v>1311</v>
      </c>
      <c r="I162" t="s">
        <v>1223</v>
      </c>
      <c r="J162" t="s">
        <v>20</v>
      </c>
    </row>
    <row r="163" spans="1:10" x14ac:dyDescent="0.25">
      <c r="A163" t="s">
        <v>205</v>
      </c>
      <c r="B163" t="s">
        <v>1199</v>
      </c>
      <c r="C163" t="s">
        <v>1208</v>
      </c>
      <c r="D163" t="s">
        <v>1194</v>
      </c>
      <c r="E163">
        <v>2</v>
      </c>
      <c r="F163">
        <v>90000</v>
      </c>
      <c r="G163">
        <v>15000</v>
      </c>
      <c r="H163">
        <v>75000</v>
      </c>
      <c r="I163" t="s">
        <v>1312</v>
      </c>
      <c r="J163" t="s">
        <v>10</v>
      </c>
    </row>
    <row r="164" spans="1:10" x14ac:dyDescent="0.25">
      <c r="A164" t="s">
        <v>206</v>
      </c>
      <c r="B164" t="s">
        <v>1206</v>
      </c>
      <c r="C164" t="s">
        <v>1196</v>
      </c>
      <c r="D164" t="s">
        <v>1194</v>
      </c>
      <c r="E164">
        <v>3</v>
      </c>
      <c r="F164">
        <v>225000</v>
      </c>
      <c r="G164">
        <v>0</v>
      </c>
      <c r="H164">
        <v>225000</v>
      </c>
      <c r="I164" t="s">
        <v>22</v>
      </c>
      <c r="J164" t="s">
        <v>5</v>
      </c>
    </row>
    <row r="165" spans="1:10" x14ac:dyDescent="0.25">
      <c r="A165" t="s">
        <v>207</v>
      </c>
      <c r="B165" t="s">
        <v>1206</v>
      </c>
      <c r="C165" t="s">
        <v>1208</v>
      </c>
      <c r="D165" t="s">
        <v>1197</v>
      </c>
      <c r="E165">
        <v>5</v>
      </c>
      <c r="F165">
        <v>375000</v>
      </c>
      <c r="G165">
        <v>0</v>
      </c>
      <c r="H165">
        <v>375000</v>
      </c>
      <c r="I165" t="s">
        <v>1150</v>
      </c>
      <c r="J165" t="s">
        <v>5</v>
      </c>
    </row>
    <row r="166" spans="1:10" x14ac:dyDescent="0.25">
      <c r="A166" t="s">
        <v>208</v>
      </c>
      <c r="B166" t="s">
        <v>1206</v>
      </c>
      <c r="C166" t="s">
        <v>29</v>
      </c>
      <c r="D166" t="s">
        <v>1203</v>
      </c>
      <c r="E166">
        <v>3</v>
      </c>
      <c r="F166">
        <v>225000</v>
      </c>
      <c r="G166">
        <v>0</v>
      </c>
      <c r="H166">
        <v>225000</v>
      </c>
      <c r="I166" t="s">
        <v>1309</v>
      </c>
      <c r="J166" t="s">
        <v>10</v>
      </c>
    </row>
    <row r="167" spans="1:10" x14ac:dyDescent="0.25">
      <c r="A167" t="s">
        <v>209</v>
      </c>
      <c r="B167" t="s">
        <v>1192</v>
      </c>
      <c r="C167" t="s">
        <v>1208</v>
      </c>
      <c r="D167" t="s">
        <v>1197</v>
      </c>
      <c r="E167">
        <v>2</v>
      </c>
      <c r="F167">
        <v>240000</v>
      </c>
      <c r="G167">
        <v>0</v>
      </c>
      <c r="H167">
        <v>-240000</v>
      </c>
      <c r="I167" t="s">
        <v>1124</v>
      </c>
      <c r="J167" t="s">
        <v>10</v>
      </c>
    </row>
    <row r="168" spans="1:10" x14ac:dyDescent="0.25">
      <c r="A168" t="s">
        <v>210</v>
      </c>
      <c r="B168" t="s">
        <v>1239</v>
      </c>
      <c r="C168" t="s">
        <v>1196</v>
      </c>
      <c r="D168" t="s">
        <v>1210</v>
      </c>
      <c r="E168">
        <v>6</v>
      </c>
      <c r="F168">
        <v>270000</v>
      </c>
      <c r="G168">
        <v>0</v>
      </c>
      <c r="H168">
        <v>270000</v>
      </c>
      <c r="I168" t="s">
        <v>1148</v>
      </c>
      <c r="J168" t="s">
        <v>33</v>
      </c>
    </row>
    <row r="169" spans="1:10" x14ac:dyDescent="0.25">
      <c r="A169" t="s">
        <v>211</v>
      </c>
      <c r="B169" t="s">
        <v>1206</v>
      </c>
      <c r="C169" t="s">
        <v>1200</v>
      </c>
      <c r="D169" t="s">
        <v>1213</v>
      </c>
      <c r="E169">
        <v>10</v>
      </c>
      <c r="F169">
        <v>1850000</v>
      </c>
      <c r="G169">
        <v>0</v>
      </c>
      <c r="H169">
        <v>1850000</v>
      </c>
      <c r="I169" t="s">
        <v>1313</v>
      </c>
      <c r="J169" t="s">
        <v>5</v>
      </c>
    </row>
    <row r="170" spans="1:10" x14ac:dyDescent="0.25">
      <c r="A170" t="s">
        <v>212</v>
      </c>
      <c r="B170" t="s">
        <v>1192</v>
      </c>
      <c r="C170" t="s">
        <v>1208</v>
      </c>
      <c r="D170" t="s">
        <v>1203</v>
      </c>
      <c r="E170">
        <v>6</v>
      </c>
      <c r="F170">
        <v>1110000</v>
      </c>
      <c r="G170">
        <v>15000</v>
      </c>
      <c r="H170">
        <v>1095000</v>
      </c>
      <c r="I170" t="s">
        <v>1156</v>
      </c>
      <c r="J170" t="s">
        <v>20</v>
      </c>
    </row>
    <row r="171" spans="1:10" x14ac:dyDescent="0.25">
      <c r="A171" t="s">
        <v>213</v>
      </c>
      <c r="B171" t="s">
        <v>1199</v>
      </c>
      <c r="C171" t="s">
        <v>1204</v>
      </c>
      <c r="D171" t="s">
        <v>1203</v>
      </c>
      <c r="E171">
        <v>8</v>
      </c>
      <c r="F171">
        <v>1480000</v>
      </c>
      <c r="G171">
        <v>0</v>
      </c>
      <c r="H171">
        <v>1480000</v>
      </c>
      <c r="I171" t="s">
        <v>1207</v>
      </c>
      <c r="J171" t="s">
        <v>10</v>
      </c>
    </row>
    <row r="172" spans="1:10" x14ac:dyDescent="0.25">
      <c r="A172" t="s">
        <v>214</v>
      </c>
      <c r="B172" t="s">
        <v>1251</v>
      </c>
      <c r="C172" t="s">
        <v>1208</v>
      </c>
      <c r="D172" t="s">
        <v>1203</v>
      </c>
      <c r="E172">
        <v>7</v>
      </c>
      <c r="F172">
        <v>840000</v>
      </c>
      <c r="G172">
        <v>0</v>
      </c>
      <c r="H172">
        <v>840000</v>
      </c>
      <c r="I172" t="s">
        <v>1293</v>
      </c>
      <c r="J172" t="s">
        <v>10</v>
      </c>
    </row>
    <row r="173" spans="1:10" x14ac:dyDescent="0.25">
      <c r="A173" t="s">
        <v>215</v>
      </c>
      <c r="B173" t="s">
        <v>1195</v>
      </c>
      <c r="C173" t="s">
        <v>1196</v>
      </c>
      <c r="D173" t="s">
        <v>1210</v>
      </c>
      <c r="E173">
        <v>3</v>
      </c>
      <c r="F173">
        <v>135000</v>
      </c>
      <c r="G173">
        <v>0</v>
      </c>
      <c r="H173">
        <v>135000</v>
      </c>
      <c r="I173" t="s">
        <v>1314</v>
      </c>
      <c r="J173" t="s">
        <v>10</v>
      </c>
    </row>
    <row r="174" spans="1:10" x14ac:dyDescent="0.25">
      <c r="A174" t="s">
        <v>216</v>
      </c>
      <c r="B174" t="s">
        <v>1192</v>
      </c>
      <c r="C174" t="s">
        <v>1200</v>
      </c>
      <c r="D174" t="s">
        <v>1203</v>
      </c>
      <c r="E174">
        <v>5</v>
      </c>
      <c r="F174">
        <v>375000</v>
      </c>
      <c r="G174">
        <v>0</v>
      </c>
      <c r="H174">
        <v>375000</v>
      </c>
      <c r="I174" t="s">
        <v>1315</v>
      </c>
      <c r="J174" t="s">
        <v>20</v>
      </c>
    </row>
    <row r="175" spans="1:10" x14ac:dyDescent="0.25">
      <c r="A175" t="s">
        <v>217</v>
      </c>
      <c r="B175" t="s">
        <v>1206</v>
      </c>
      <c r="C175" t="s">
        <v>1208</v>
      </c>
      <c r="D175" t="s">
        <v>1210</v>
      </c>
      <c r="E175">
        <v>8</v>
      </c>
      <c r="F175">
        <v>2000000</v>
      </c>
      <c r="G175">
        <v>0</v>
      </c>
      <c r="H175">
        <v>2000000</v>
      </c>
      <c r="I175" t="s">
        <v>1276</v>
      </c>
      <c r="J175" t="s">
        <v>5</v>
      </c>
    </row>
    <row r="176" spans="1:10" x14ac:dyDescent="0.25">
      <c r="A176" t="s">
        <v>16</v>
      </c>
      <c r="B176" t="s">
        <v>1192</v>
      </c>
      <c r="C176" t="s">
        <v>29</v>
      </c>
      <c r="D176" t="s">
        <v>1197</v>
      </c>
      <c r="E176">
        <v>4</v>
      </c>
      <c r="F176">
        <v>480000</v>
      </c>
      <c r="G176">
        <v>10000</v>
      </c>
      <c r="H176">
        <v>470000</v>
      </c>
      <c r="I176" t="s">
        <v>218</v>
      </c>
      <c r="J176" t="s">
        <v>33</v>
      </c>
    </row>
    <row r="177" spans="1:10" x14ac:dyDescent="0.25">
      <c r="A177" t="s">
        <v>219</v>
      </c>
      <c r="B177" t="s">
        <v>1192</v>
      </c>
      <c r="C177" t="s">
        <v>29</v>
      </c>
      <c r="D177" t="s">
        <v>1194</v>
      </c>
      <c r="E177">
        <v>2</v>
      </c>
      <c r="F177">
        <v>240000</v>
      </c>
      <c r="G177">
        <v>0</v>
      </c>
      <c r="H177">
        <v>240000</v>
      </c>
      <c r="I177" t="s">
        <v>220</v>
      </c>
      <c r="J177" t="s">
        <v>5</v>
      </c>
    </row>
    <row r="178" spans="1:10" x14ac:dyDescent="0.25">
      <c r="A178" t="s">
        <v>221</v>
      </c>
      <c r="B178" t="s">
        <v>1206</v>
      </c>
      <c r="C178" t="s">
        <v>1193</v>
      </c>
      <c r="D178" t="s">
        <v>1210</v>
      </c>
      <c r="E178">
        <v>9</v>
      </c>
      <c r="F178">
        <v>405000</v>
      </c>
      <c r="G178">
        <v>5000</v>
      </c>
      <c r="H178">
        <v>400000</v>
      </c>
      <c r="I178" t="s">
        <v>1316</v>
      </c>
      <c r="J178" t="s">
        <v>5</v>
      </c>
    </row>
    <row r="179" spans="1:10" x14ac:dyDescent="0.25">
      <c r="A179" t="s">
        <v>222</v>
      </c>
      <c r="B179" t="s">
        <v>1192</v>
      </c>
      <c r="C179" t="s">
        <v>1193</v>
      </c>
      <c r="D179" t="s">
        <v>1197</v>
      </c>
      <c r="E179">
        <v>4</v>
      </c>
      <c r="F179">
        <v>740000</v>
      </c>
      <c r="G179">
        <v>10000</v>
      </c>
      <c r="H179">
        <v>730000</v>
      </c>
      <c r="I179" t="s">
        <v>1317</v>
      </c>
      <c r="J179" t="s">
        <v>5</v>
      </c>
    </row>
    <row r="180" spans="1:10" x14ac:dyDescent="0.25">
      <c r="A180" t="s">
        <v>223</v>
      </c>
      <c r="B180" t="s">
        <v>1199</v>
      </c>
      <c r="C180" t="s">
        <v>1196</v>
      </c>
      <c r="D180" t="s">
        <v>1197</v>
      </c>
      <c r="E180">
        <v>9</v>
      </c>
      <c r="F180">
        <v>2250000</v>
      </c>
      <c r="G180">
        <v>0</v>
      </c>
      <c r="H180">
        <v>2250000</v>
      </c>
      <c r="I180" t="s">
        <v>1161</v>
      </c>
      <c r="J180" t="s">
        <v>10</v>
      </c>
    </row>
    <row r="181" spans="1:10" x14ac:dyDescent="0.25">
      <c r="A181" t="s">
        <v>224</v>
      </c>
      <c r="B181" t="s">
        <v>1199</v>
      </c>
      <c r="C181" t="s">
        <v>1193</v>
      </c>
      <c r="D181" t="s">
        <v>1213</v>
      </c>
      <c r="E181">
        <v>3</v>
      </c>
      <c r="F181">
        <v>360000</v>
      </c>
      <c r="G181">
        <v>0</v>
      </c>
      <c r="H181">
        <v>360000</v>
      </c>
      <c r="I181" t="s">
        <v>1318</v>
      </c>
      <c r="J181" t="s">
        <v>33</v>
      </c>
    </row>
    <row r="182" spans="1:10" x14ac:dyDescent="0.25">
      <c r="A182" t="s">
        <v>225</v>
      </c>
      <c r="B182" t="s">
        <v>1206</v>
      </c>
      <c r="C182" t="s">
        <v>1208</v>
      </c>
      <c r="D182" t="s">
        <v>1194</v>
      </c>
      <c r="E182">
        <v>7</v>
      </c>
      <c r="F182">
        <v>1750000</v>
      </c>
      <c r="G182">
        <v>10000</v>
      </c>
      <c r="H182">
        <v>1740000</v>
      </c>
      <c r="I182" t="s">
        <v>1319</v>
      </c>
      <c r="J182" t="s">
        <v>20</v>
      </c>
    </row>
    <row r="183" spans="1:10" x14ac:dyDescent="0.25">
      <c r="A183" t="s">
        <v>226</v>
      </c>
      <c r="B183" t="s">
        <v>1192</v>
      </c>
      <c r="C183" t="s">
        <v>1208</v>
      </c>
      <c r="D183" t="s">
        <v>1203</v>
      </c>
      <c r="E183">
        <v>7</v>
      </c>
      <c r="F183">
        <v>525000</v>
      </c>
      <c r="G183">
        <v>0</v>
      </c>
      <c r="H183">
        <v>525000</v>
      </c>
      <c r="I183" t="s">
        <v>1305</v>
      </c>
      <c r="J183" t="s">
        <v>33</v>
      </c>
    </row>
    <row r="184" spans="1:10" x14ac:dyDescent="0.25">
      <c r="A184" t="s">
        <v>227</v>
      </c>
      <c r="B184" t="s">
        <v>1206</v>
      </c>
      <c r="C184" t="s">
        <v>1208</v>
      </c>
      <c r="D184" t="s">
        <v>1197</v>
      </c>
      <c r="E184">
        <v>10</v>
      </c>
      <c r="F184">
        <v>1200000</v>
      </c>
      <c r="G184">
        <v>0</v>
      </c>
      <c r="H184">
        <v>1200000</v>
      </c>
      <c r="I184" t="s">
        <v>1292</v>
      </c>
      <c r="J184" t="s">
        <v>10</v>
      </c>
    </row>
    <row r="185" spans="1:10" x14ac:dyDescent="0.25">
      <c r="A185" t="s">
        <v>228</v>
      </c>
      <c r="B185" t="s">
        <v>1199</v>
      </c>
      <c r="C185" t="s">
        <v>1208</v>
      </c>
      <c r="D185" t="s">
        <v>1203</v>
      </c>
      <c r="E185">
        <v>6</v>
      </c>
      <c r="F185">
        <v>450000</v>
      </c>
      <c r="G185">
        <v>0</v>
      </c>
      <c r="H185">
        <v>450000</v>
      </c>
      <c r="I185" t="s">
        <v>1145</v>
      </c>
      <c r="J185" t="s">
        <v>5</v>
      </c>
    </row>
    <row r="186" spans="1:10" x14ac:dyDescent="0.25">
      <c r="A186" t="s">
        <v>229</v>
      </c>
      <c r="B186" t="s">
        <v>1199</v>
      </c>
      <c r="C186" t="s">
        <v>1208</v>
      </c>
      <c r="D186" t="s">
        <v>1213</v>
      </c>
      <c r="E186">
        <v>8</v>
      </c>
      <c r="F186">
        <v>1480000</v>
      </c>
      <c r="G186">
        <v>0</v>
      </c>
      <c r="H186">
        <v>1480000</v>
      </c>
      <c r="I186" t="s">
        <v>1274</v>
      </c>
      <c r="J186" t="s">
        <v>10</v>
      </c>
    </row>
    <row r="187" spans="1:10" x14ac:dyDescent="0.25">
      <c r="A187" t="s">
        <v>230</v>
      </c>
      <c r="B187" t="s">
        <v>1195</v>
      </c>
      <c r="C187" t="s">
        <v>1193</v>
      </c>
      <c r="D187" t="s">
        <v>1210</v>
      </c>
      <c r="E187">
        <v>8</v>
      </c>
      <c r="F187">
        <v>2000000</v>
      </c>
      <c r="G187">
        <v>0</v>
      </c>
      <c r="H187">
        <v>2000000</v>
      </c>
      <c r="I187" t="s">
        <v>1320</v>
      </c>
      <c r="J187" t="s">
        <v>33</v>
      </c>
    </row>
    <row r="188" spans="1:10" x14ac:dyDescent="0.25">
      <c r="A188" t="s">
        <v>231</v>
      </c>
      <c r="B188" t="s">
        <v>1192</v>
      </c>
      <c r="C188" t="s">
        <v>1204</v>
      </c>
      <c r="D188" t="s">
        <v>1194</v>
      </c>
      <c r="E188">
        <v>9</v>
      </c>
      <c r="F188">
        <v>2250000</v>
      </c>
      <c r="G188">
        <v>0</v>
      </c>
      <c r="H188" t="s">
        <v>1321</v>
      </c>
      <c r="I188" t="s">
        <v>1157</v>
      </c>
      <c r="J188" t="s">
        <v>10</v>
      </c>
    </row>
    <row r="189" spans="1:10" x14ac:dyDescent="0.25">
      <c r="A189" t="s">
        <v>232</v>
      </c>
      <c r="B189" t="s">
        <v>1195</v>
      </c>
      <c r="C189" t="s">
        <v>29</v>
      </c>
      <c r="D189" t="s">
        <v>1213</v>
      </c>
      <c r="E189">
        <v>2</v>
      </c>
      <c r="F189">
        <v>500000</v>
      </c>
      <c r="G189">
        <v>0</v>
      </c>
      <c r="H189">
        <v>500000</v>
      </c>
      <c r="I189" t="s">
        <v>1322</v>
      </c>
      <c r="J189" t="s">
        <v>5</v>
      </c>
    </row>
    <row r="190" spans="1:10" x14ac:dyDescent="0.25">
      <c r="A190" t="s">
        <v>233</v>
      </c>
      <c r="B190" t="s">
        <v>1195</v>
      </c>
      <c r="C190" t="s">
        <v>1193</v>
      </c>
      <c r="D190" t="s">
        <v>1213</v>
      </c>
      <c r="E190">
        <v>8</v>
      </c>
      <c r="F190">
        <v>2000000</v>
      </c>
      <c r="G190">
        <v>0</v>
      </c>
      <c r="H190">
        <v>2000000</v>
      </c>
      <c r="I190" t="s">
        <v>56</v>
      </c>
      <c r="J190" t="s">
        <v>20</v>
      </c>
    </row>
    <row r="191" spans="1:10" x14ac:dyDescent="0.25">
      <c r="A191" t="s">
        <v>234</v>
      </c>
      <c r="B191" t="s">
        <v>1230</v>
      </c>
      <c r="C191" t="s">
        <v>1208</v>
      </c>
      <c r="D191" t="s">
        <v>1210</v>
      </c>
      <c r="E191">
        <v>5</v>
      </c>
      <c r="F191">
        <v>1250000</v>
      </c>
      <c r="G191">
        <v>0</v>
      </c>
      <c r="H191">
        <v>1250000</v>
      </c>
      <c r="I191" t="s">
        <v>1323</v>
      </c>
      <c r="J191" t="s">
        <v>5</v>
      </c>
    </row>
    <row r="192" spans="1:10" x14ac:dyDescent="0.25">
      <c r="A192" t="s">
        <v>235</v>
      </c>
      <c r="B192" t="s">
        <v>1195</v>
      </c>
      <c r="C192" t="s">
        <v>1200</v>
      </c>
      <c r="D192" t="s">
        <v>1210</v>
      </c>
      <c r="E192">
        <v>5</v>
      </c>
      <c r="F192">
        <v>600000</v>
      </c>
      <c r="G192">
        <v>0</v>
      </c>
      <c r="H192" t="s">
        <v>1324</v>
      </c>
      <c r="I192" t="s">
        <v>156</v>
      </c>
      <c r="J192" t="s">
        <v>10</v>
      </c>
    </row>
    <row r="193" spans="1:10" x14ac:dyDescent="0.25">
      <c r="A193" t="s">
        <v>236</v>
      </c>
      <c r="B193" t="s">
        <v>1199</v>
      </c>
      <c r="C193" t="s">
        <v>1265</v>
      </c>
      <c r="D193" t="s">
        <v>1197</v>
      </c>
      <c r="E193">
        <v>2</v>
      </c>
      <c r="F193">
        <v>370000</v>
      </c>
      <c r="G193">
        <v>0</v>
      </c>
      <c r="H193">
        <v>370000</v>
      </c>
      <c r="I193" t="s">
        <v>218</v>
      </c>
      <c r="J193" t="s">
        <v>33</v>
      </c>
    </row>
    <row r="194" spans="1:10" x14ac:dyDescent="0.25">
      <c r="A194" t="s">
        <v>237</v>
      </c>
      <c r="B194" t="s">
        <v>1206</v>
      </c>
      <c r="C194" t="s">
        <v>1196</v>
      </c>
      <c r="D194" t="s">
        <v>1213</v>
      </c>
      <c r="E194">
        <v>6</v>
      </c>
      <c r="F194">
        <v>720000</v>
      </c>
      <c r="G194">
        <v>0</v>
      </c>
      <c r="H194">
        <v>720000</v>
      </c>
      <c r="I194" t="s">
        <v>1126</v>
      </c>
      <c r="J194" t="s">
        <v>10</v>
      </c>
    </row>
    <row r="195" spans="1:10" x14ac:dyDescent="0.25">
      <c r="B195" t="s">
        <v>1206</v>
      </c>
      <c r="C195" t="s">
        <v>1196</v>
      </c>
      <c r="D195" t="s">
        <v>1213</v>
      </c>
      <c r="E195">
        <v>9</v>
      </c>
      <c r="F195">
        <v>405000</v>
      </c>
      <c r="G195">
        <v>0</v>
      </c>
      <c r="H195">
        <v>405000</v>
      </c>
      <c r="I195" t="s">
        <v>238</v>
      </c>
      <c r="J195" t="s">
        <v>10</v>
      </c>
    </row>
    <row r="196" spans="1:10" x14ac:dyDescent="0.25">
      <c r="A196" t="s">
        <v>239</v>
      </c>
      <c r="B196" t="s">
        <v>1192</v>
      </c>
      <c r="C196" t="s">
        <v>1196</v>
      </c>
      <c r="D196" t="s">
        <v>1213</v>
      </c>
      <c r="E196">
        <v>4</v>
      </c>
      <c r="F196">
        <v>480000</v>
      </c>
      <c r="G196">
        <v>0</v>
      </c>
      <c r="H196">
        <v>480000</v>
      </c>
      <c r="I196" t="s">
        <v>22</v>
      </c>
      <c r="J196" t="s">
        <v>33</v>
      </c>
    </row>
    <row r="197" spans="1:10" x14ac:dyDescent="0.25">
      <c r="A197" t="s">
        <v>240</v>
      </c>
      <c r="B197" t="s">
        <v>1225</v>
      </c>
      <c r="C197" t="s">
        <v>1204</v>
      </c>
      <c r="D197" t="s">
        <v>1210</v>
      </c>
      <c r="E197">
        <v>1</v>
      </c>
      <c r="F197">
        <v>45000</v>
      </c>
      <c r="G197">
        <v>0</v>
      </c>
      <c r="H197">
        <v>-45000</v>
      </c>
      <c r="I197" t="s">
        <v>1126</v>
      </c>
      <c r="J197" t="s">
        <v>33</v>
      </c>
    </row>
    <row r="198" spans="1:10" x14ac:dyDescent="0.25">
      <c r="A198" t="s">
        <v>241</v>
      </c>
      <c r="B198" t="s">
        <v>1192</v>
      </c>
      <c r="C198" t="s">
        <v>1196</v>
      </c>
      <c r="D198" t="s">
        <v>1210</v>
      </c>
      <c r="E198">
        <v>1</v>
      </c>
      <c r="F198">
        <v>120000</v>
      </c>
      <c r="G198">
        <v>0</v>
      </c>
      <c r="H198" t="s">
        <v>1303</v>
      </c>
      <c r="I198" t="s">
        <v>1304</v>
      </c>
      <c r="J198" t="s">
        <v>33</v>
      </c>
    </row>
    <row r="199" spans="1:10" x14ac:dyDescent="0.25">
      <c r="A199" t="s">
        <v>242</v>
      </c>
      <c r="B199" t="s">
        <v>1206</v>
      </c>
      <c r="C199" t="s">
        <v>1219</v>
      </c>
      <c r="D199" t="s">
        <v>1213</v>
      </c>
      <c r="E199">
        <v>1</v>
      </c>
      <c r="F199">
        <v>75000</v>
      </c>
      <c r="G199">
        <v>0</v>
      </c>
      <c r="H199">
        <v>75000</v>
      </c>
      <c r="I199" t="s">
        <v>1287</v>
      </c>
      <c r="J199" t="s">
        <v>20</v>
      </c>
    </row>
    <row r="200" spans="1:10" x14ac:dyDescent="0.25">
      <c r="A200" t="s">
        <v>243</v>
      </c>
      <c r="B200" t="s">
        <v>1195</v>
      </c>
      <c r="C200" t="s">
        <v>1193</v>
      </c>
      <c r="D200" t="s">
        <v>1210</v>
      </c>
      <c r="E200">
        <v>7</v>
      </c>
      <c r="F200">
        <v>1750000</v>
      </c>
      <c r="G200">
        <v>0</v>
      </c>
      <c r="H200">
        <v>1750000</v>
      </c>
      <c r="I200" t="s">
        <v>1137</v>
      </c>
      <c r="J200" t="s">
        <v>10</v>
      </c>
    </row>
    <row r="201" spans="1:10" x14ac:dyDescent="0.25">
      <c r="A201" t="s">
        <v>244</v>
      </c>
      <c r="B201" t="s">
        <v>1199</v>
      </c>
      <c r="C201" t="s">
        <v>1196</v>
      </c>
      <c r="D201" t="s">
        <v>1203</v>
      </c>
      <c r="E201">
        <v>8</v>
      </c>
      <c r="F201">
        <v>960000</v>
      </c>
      <c r="G201">
        <v>0</v>
      </c>
      <c r="H201">
        <v>960000</v>
      </c>
      <c r="I201" t="s">
        <v>1325</v>
      </c>
      <c r="J201" t="s">
        <v>33</v>
      </c>
    </row>
    <row r="202" spans="1:10" x14ac:dyDescent="0.25">
      <c r="A202" t="s">
        <v>245</v>
      </c>
      <c r="B202" t="s">
        <v>1199</v>
      </c>
      <c r="C202" t="s">
        <v>1200</v>
      </c>
      <c r="D202" t="s">
        <v>1197</v>
      </c>
      <c r="E202">
        <v>3</v>
      </c>
      <c r="F202">
        <v>750000</v>
      </c>
      <c r="G202">
        <v>10000</v>
      </c>
      <c r="H202">
        <v>740000</v>
      </c>
      <c r="I202" t="s">
        <v>61</v>
      </c>
      <c r="J202" t="s">
        <v>5</v>
      </c>
    </row>
    <row r="203" spans="1:10" x14ac:dyDescent="0.25">
      <c r="A203" t="s">
        <v>246</v>
      </c>
      <c r="B203" t="s">
        <v>1195</v>
      </c>
      <c r="C203" t="s">
        <v>1204</v>
      </c>
      <c r="D203" t="s">
        <v>1197</v>
      </c>
      <c r="E203">
        <v>6</v>
      </c>
      <c r="F203">
        <v>720000</v>
      </c>
      <c r="G203">
        <v>0</v>
      </c>
      <c r="H203">
        <v>720000</v>
      </c>
      <c r="I203" t="s">
        <v>22</v>
      </c>
      <c r="J203" t="s">
        <v>5</v>
      </c>
    </row>
    <row r="204" spans="1:10" x14ac:dyDescent="0.25">
      <c r="A204" t="s">
        <v>247</v>
      </c>
      <c r="B204" t="s">
        <v>1195</v>
      </c>
      <c r="C204" t="s">
        <v>1200</v>
      </c>
      <c r="D204" t="s">
        <v>1213</v>
      </c>
      <c r="E204">
        <v>7</v>
      </c>
      <c r="F204">
        <v>525000</v>
      </c>
      <c r="G204">
        <v>0</v>
      </c>
      <c r="H204">
        <v>525000</v>
      </c>
      <c r="I204" t="s">
        <v>1326</v>
      </c>
      <c r="J204" t="s">
        <v>33</v>
      </c>
    </row>
    <row r="205" spans="1:10" x14ac:dyDescent="0.25">
      <c r="A205" t="s">
        <v>248</v>
      </c>
      <c r="B205" t="s">
        <v>1195</v>
      </c>
      <c r="C205" t="s">
        <v>1219</v>
      </c>
      <c r="D205" t="s">
        <v>1194</v>
      </c>
      <c r="E205">
        <v>5</v>
      </c>
      <c r="F205">
        <v>600000</v>
      </c>
      <c r="G205">
        <v>0</v>
      </c>
      <c r="H205">
        <v>600000</v>
      </c>
      <c r="I205" t="s">
        <v>203</v>
      </c>
      <c r="J205" t="s">
        <v>10</v>
      </c>
    </row>
    <row r="206" spans="1:10" x14ac:dyDescent="0.25">
      <c r="A206" t="s">
        <v>249</v>
      </c>
      <c r="B206" t="s">
        <v>1195</v>
      </c>
      <c r="C206" t="s">
        <v>1200</v>
      </c>
      <c r="D206" t="s">
        <v>1194</v>
      </c>
      <c r="E206">
        <v>2</v>
      </c>
      <c r="F206">
        <v>150000</v>
      </c>
      <c r="G206">
        <v>0</v>
      </c>
      <c r="H206">
        <v>150000</v>
      </c>
      <c r="I206" t="s">
        <v>1327</v>
      </c>
      <c r="J206" t="s">
        <v>20</v>
      </c>
    </row>
    <row r="207" spans="1:10" x14ac:dyDescent="0.25">
      <c r="A207" t="s">
        <v>250</v>
      </c>
      <c r="B207" t="s">
        <v>1195</v>
      </c>
      <c r="C207" t="s">
        <v>1193</v>
      </c>
      <c r="D207" t="s">
        <v>1194</v>
      </c>
      <c r="E207">
        <v>6</v>
      </c>
      <c r="F207">
        <v>1110000</v>
      </c>
      <c r="G207">
        <v>0</v>
      </c>
      <c r="H207">
        <v>1110000</v>
      </c>
      <c r="I207" t="s">
        <v>1328</v>
      </c>
      <c r="J207" t="s">
        <v>33</v>
      </c>
    </row>
    <row r="208" spans="1:10" x14ac:dyDescent="0.25">
      <c r="A208" t="s">
        <v>251</v>
      </c>
      <c r="B208" t="s">
        <v>1206</v>
      </c>
      <c r="C208" t="s">
        <v>1196</v>
      </c>
      <c r="D208" t="s">
        <v>1213</v>
      </c>
      <c r="E208">
        <v>3</v>
      </c>
      <c r="F208">
        <v>555000</v>
      </c>
      <c r="G208">
        <v>0</v>
      </c>
      <c r="H208">
        <v>555000</v>
      </c>
      <c r="I208" t="s">
        <v>1329</v>
      </c>
      <c r="J208" t="s">
        <v>33</v>
      </c>
    </row>
    <row r="209" spans="1:10" x14ac:dyDescent="0.25">
      <c r="A209" t="s">
        <v>252</v>
      </c>
      <c r="B209" t="s">
        <v>1195</v>
      </c>
      <c r="C209" t="s">
        <v>1200</v>
      </c>
      <c r="D209" t="s">
        <v>1197</v>
      </c>
      <c r="E209">
        <v>8</v>
      </c>
      <c r="F209">
        <v>600000</v>
      </c>
      <c r="G209">
        <v>0</v>
      </c>
      <c r="H209">
        <v>600000</v>
      </c>
      <c r="I209" t="s">
        <v>1316</v>
      </c>
      <c r="J209" t="s">
        <v>5</v>
      </c>
    </row>
    <row r="210" spans="1:10" x14ac:dyDescent="0.25">
      <c r="A210" t="s">
        <v>253</v>
      </c>
      <c r="B210" t="s">
        <v>1195</v>
      </c>
      <c r="C210" t="s">
        <v>1196</v>
      </c>
      <c r="D210" t="s">
        <v>1197</v>
      </c>
      <c r="E210">
        <v>9</v>
      </c>
      <c r="F210">
        <v>405000</v>
      </c>
      <c r="G210">
        <v>0</v>
      </c>
      <c r="H210">
        <v>405000</v>
      </c>
      <c r="I210" t="s">
        <v>1330</v>
      </c>
      <c r="J210" t="s">
        <v>20</v>
      </c>
    </row>
    <row r="211" spans="1:10" x14ac:dyDescent="0.25">
      <c r="A211" t="s">
        <v>254</v>
      </c>
      <c r="B211" t="s">
        <v>1195</v>
      </c>
      <c r="C211" t="s">
        <v>1193</v>
      </c>
      <c r="D211" t="s">
        <v>1194</v>
      </c>
      <c r="E211">
        <v>6</v>
      </c>
      <c r="F211">
        <v>1500000</v>
      </c>
      <c r="G211">
        <v>0</v>
      </c>
      <c r="H211">
        <v>1500000</v>
      </c>
      <c r="I211" t="s">
        <v>1331</v>
      </c>
      <c r="J211" t="s">
        <v>5</v>
      </c>
    </row>
    <row r="212" spans="1:10" x14ac:dyDescent="0.25">
      <c r="A212" t="s">
        <v>255</v>
      </c>
      <c r="B212" t="s">
        <v>1199</v>
      </c>
      <c r="C212" t="s">
        <v>1196</v>
      </c>
      <c r="D212" t="s">
        <v>1203</v>
      </c>
      <c r="E212">
        <v>7</v>
      </c>
      <c r="F212">
        <v>525000</v>
      </c>
      <c r="G212">
        <v>15000</v>
      </c>
      <c r="H212">
        <v>510000</v>
      </c>
      <c r="I212" t="s">
        <v>22</v>
      </c>
      <c r="J212" t="s">
        <v>5</v>
      </c>
    </row>
    <row r="213" spans="1:10" x14ac:dyDescent="0.25">
      <c r="A213" t="s">
        <v>256</v>
      </c>
      <c r="B213" t="s">
        <v>1206</v>
      </c>
      <c r="C213" t="s">
        <v>1200</v>
      </c>
      <c r="D213" t="s">
        <v>1213</v>
      </c>
      <c r="E213">
        <v>3</v>
      </c>
      <c r="F213">
        <v>225000</v>
      </c>
      <c r="G213">
        <v>5000</v>
      </c>
      <c r="H213">
        <v>220000</v>
      </c>
      <c r="I213" t="s">
        <v>1177</v>
      </c>
      <c r="J213" t="s">
        <v>10</v>
      </c>
    </row>
    <row r="214" spans="1:10" x14ac:dyDescent="0.25">
      <c r="A214" t="s">
        <v>257</v>
      </c>
      <c r="B214" t="s">
        <v>1199</v>
      </c>
      <c r="C214" t="s">
        <v>1193</v>
      </c>
      <c r="D214" t="s">
        <v>1210</v>
      </c>
      <c r="E214">
        <v>7</v>
      </c>
      <c r="F214">
        <v>315000</v>
      </c>
      <c r="G214">
        <v>0</v>
      </c>
      <c r="H214">
        <v>315000</v>
      </c>
      <c r="I214" t="s">
        <v>1332</v>
      </c>
      <c r="J214" t="s">
        <v>33</v>
      </c>
    </row>
    <row r="215" spans="1:10" x14ac:dyDescent="0.25">
      <c r="A215" t="s">
        <v>258</v>
      </c>
      <c r="B215" t="s">
        <v>1192</v>
      </c>
      <c r="C215" t="s">
        <v>1285</v>
      </c>
      <c r="D215" t="s">
        <v>1197</v>
      </c>
      <c r="E215">
        <v>9</v>
      </c>
      <c r="F215">
        <v>1665000</v>
      </c>
      <c r="G215">
        <v>0</v>
      </c>
      <c r="H215">
        <v>1665000</v>
      </c>
      <c r="I215" t="s">
        <v>1333</v>
      </c>
      <c r="J215" t="s">
        <v>10</v>
      </c>
    </row>
    <row r="216" spans="1:10" x14ac:dyDescent="0.25">
      <c r="A216" t="s">
        <v>259</v>
      </c>
      <c r="B216" t="s">
        <v>1192</v>
      </c>
      <c r="C216" t="s">
        <v>1262</v>
      </c>
      <c r="D216" t="s">
        <v>1203</v>
      </c>
      <c r="E216">
        <v>6</v>
      </c>
      <c r="F216">
        <v>1110000</v>
      </c>
      <c r="G216">
        <v>5000</v>
      </c>
      <c r="H216">
        <v>1105000</v>
      </c>
      <c r="I216" t="s">
        <v>1229</v>
      </c>
      <c r="J216" t="s">
        <v>20</v>
      </c>
    </row>
    <row r="217" spans="1:10" x14ac:dyDescent="0.25">
      <c r="A217" t="s">
        <v>260</v>
      </c>
      <c r="B217" t="s">
        <v>1192</v>
      </c>
      <c r="C217" t="s">
        <v>1200</v>
      </c>
      <c r="D217" t="s">
        <v>1203</v>
      </c>
      <c r="E217">
        <v>9</v>
      </c>
      <c r="F217">
        <v>1080000</v>
      </c>
      <c r="G217">
        <v>0</v>
      </c>
      <c r="H217">
        <v>1080000</v>
      </c>
      <c r="I217" t="s">
        <v>261</v>
      </c>
      <c r="J217" t="s">
        <v>33</v>
      </c>
    </row>
    <row r="218" spans="1:10" x14ac:dyDescent="0.25">
      <c r="A218" t="s">
        <v>262</v>
      </c>
      <c r="B218" t="s">
        <v>1199</v>
      </c>
      <c r="C218" t="s">
        <v>1200</v>
      </c>
      <c r="D218" t="s">
        <v>1213</v>
      </c>
      <c r="E218">
        <v>8</v>
      </c>
      <c r="F218">
        <v>2000000</v>
      </c>
      <c r="G218">
        <v>0</v>
      </c>
      <c r="H218" t="s">
        <v>92</v>
      </c>
      <c r="I218" t="s">
        <v>263</v>
      </c>
      <c r="J218" t="s">
        <v>5</v>
      </c>
    </row>
    <row r="219" spans="1:10" x14ac:dyDescent="0.25">
      <c r="A219" t="s">
        <v>264</v>
      </c>
      <c r="B219" t="s">
        <v>1206</v>
      </c>
      <c r="C219" t="s">
        <v>29</v>
      </c>
      <c r="D219" t="s">
        <v>1213</v>
      </c>
      <c r="E219">
        <v>3</v>
      </c>
      <c r="F219">
        <v>225000</v>
      </c>
      <c r="G219">
        <v>0</v>
      </c>
      <c r="H219">
        <v>225000</v>
      </c>
      <c r="I219" t="s">
        <v>1334</v>
      </c>
      <c r="J219" t="s">
        <v>33</v>
      </c>
    </row>
    <row r="220" spans="1:10" x14ac:dyDescent="0.25">
      <c r="A220" t="s">
        <v>265</v>
      </c>
      <c r="B220" t="s">
        <v>1192</v>
      </c>
      <c r="C220" t="s">
        <v>1204</v>
      </c>
      <c r="D220" t="s">
        <v>1213</v>
      </c>
      <c r="E220">
        <v>2</v>
      </c>
      <c r="F220">
        <v>150000</v>
      </c>
      <c r="G220">
        <v>15000</v>
      </c>
      <c r="H220">
        <v>135000</v>
      </c>
      <c r="I220" t="s">
        <v>1335</v>
      </c>
      <c r="J220" t="s">
        <v>5</v>
      </c>
    </row>
    <row r="221" spans="1:10" x14ac:dyDescent="0.25">
      <c r="A221" t="s">
        <v>266</v>
      </c>
      <c r="B221" t="s">
        <v>1192</v>
      </c>
      <c r="C221" t="s">
        <v>1204</v>
      </c>
      <c r="D221" t="s">
        <v>1197</v>
      </c>
      <c r="E221">
        <v>6</v>
      </c>
      <c r="F221">
        <v>720000</v>
      </c>
      <c r="G221">
        <v>0</v>
      </c>
      <c r="H221">
        <v>720000</v>
      </c>
      <c r="I221" t="s">
        <v>267</v>
      </c>
      <c r="J221" t="s">
        <v>20</v>
      </c>
    </row>
    <row r="222" spans="1:10" x14ac:dyDescent="0.25">
      <c r="A222" t="s">
        <v>268</v>
      </c>
      <c r="B222" t="s">
        <v>1199</v>
      </c>
      <c r="C222" t="s">
        <v>1196</v>
      </c>
      <c r="D222" t="s">
        <v>1194</v>
      </c>
      <c r="E222">
        <v>9</v>
      </c>
      <c r="F222">
        <v>405000</v>
      </c>
      <c r="G222">
        <v>0</v>
      </c>
      <c r="H222">
        <v>405000</v>
      </c>
      <c r="I222" t="s">
        <v>1150</v>
      </c>
      <c r="J222" t="s">
        <v>10</v>
      </c>
    </row>
    <row r="223" spans="1:10" x14ac:dyDescent="0.25">
      <c r="A223" t="s">
        <v>269</v>
      </c>
      <c r="B223" t="s">
        <v>1195</v>
      </c>
      <c r="C223" t="s">
        <v>1196</v>
      </c>
      <c r="D223" t="s">
        <v>1213</v>
      </c>
      <c r="E223">
        <v>8</v>
      </c>
      <c r="F223">
        <v>960000</v>
      </c>
      <c r="G223">
        <v>15000</v>
      </c>
      <c r="H223" t="s">
        <v>1336</v>
      </c>
      <c r="I223" t="s">
        <v>1277</v>
      </c>
      <c r="J223" t="s">
        <v>10</v>
      </c>
    </row>
    <row r="224" spans="1:10" x14ac:dyDescent="0.25">
      <c r="A224" t="s">
        <v>270</v>
      </c>
      <c r="B224" t="s">
        <v>1206</v>
      </c>
      <c r="C224" t="s">
        <v>1204</v>
      </c>
      <c r="D224" t="s">
        <v>1213</v>
      </c>
      <c r="E224">
        <v>7</v>
      </c>
      <c r="F224">
        <v>315000</v>
      </c>
      <c r="G224">
        <v>0</v>
      </c>
      <c r="H224">
        <v>315000</v>
      </c>
      <c r="I224" t="s">
        <v>271</v>
      </c>
      <c r="J224" t="s">
        <v>33</v>
      </c>
    </row>
    <row r="225" spans="1:10" x14ac:dyDescent="0.25">
      <c r="A225" t="s">
        <v>272</v>
      </c>
      <c r="B225" t="s">
        <v>1206</v>
      </c>
      <c r="C225" t="s">
        <v>1196</v>
      </c>
      <c r="D225" t="s">
        <v>1197</v>
      </c>
      <c r="E225">
        <v>7</v>
      </c>
      <c r="F225">
        <v>1750000</v>
      </c>
      <c r="G225">
        <v>0</v>
      </c>
      <c r="H225">
        <v>1750000</v>
      </c>
      <c r="I225" t="s">
        <v>1337</v>
      </c>
      <c r="J225" t="s">
        <v>10</v>
      </c>
    </row>
    <row r="226" spans="1:10" x14ac:dyDescent="0.25">
      <c r="A226" t="s">
        <v>273</v>
      </c>
      <c r="B226" t="s">
        <v>1192</v>
      </c>
      <c r="C226" t="s">
        <v>1193</v>
      </c>
      <c r="D226" t="s">
        <v>1210</v>
      </c>
      <c r="E226">
        <v>2</v>
      </c>
      <c r="F226">
        <v>500000</v>
      </c>
      <c r="G226">
        <v>0</v>
      </c>
      <c r="H226">
        <v>500000</v>
      </c>
      <c r="I226" t="s">
        <v>1338</v>
      </c>
      <c r="J226" t="s">
        <v>33</v>
      </c>
    </row>
    <row r="227" spans="1:10" x14ac:dyDescent="0.25">
      <c r="A227" t="s">
        <v>274</v>
      </c>
      <c r="B227" t="s">
        <v>1192</v>
      </c>
      <c r="C227" t="s">
        <v>1208</v>
      </c>
      <c r="D227" t="s">
        <v>1194</v>
      </c>
      <c r="E227">
        <v>3</v>
      </c>
      <c r="F227">
        <v>750000</v>
      </c>
      <c r="G227">
        <v>0</v>
      </c>
      <c r="H227">
        <v>750000</v>
      </c>
      <c r="I227" t="s">
        <v>84</v>
      </c>
      <c r="J227" t="s">
        <v>10</v>
      </c>
    </row>
    <row r="228" spans="1:10" x14ac:dyDescent="0.25">
      <c r="A228" t="s">
        <v>275</v>
      </c>
      <c r="B228" t="s">
        <v>1206</v>
      </c>
      <c r="C228" t="s">
        <v>29</v>
      </c>
      <c r="D228" t="s">
        <v>1213</v>
      </c>
      <c r="E228">
        <v>7</v>
      </c>
      <c r="F228">
        <v>525000</v>
      </c>
      <c r="G228">
        <v>0</v>
      </c>
      <c r="H228">
        <v>525000</v>
      </c>
      <c r="I228" t="s">
        <v>1227</v>
      </c>
      <c r="J228" t="s">
        <v>33</v>
      </c>
    </row>
    <row r="229" spans="1:10" x14ac:dyDescent="0.25">
      <c r="A229" t="s">
        <v>55</v>
      </c>
      <c r="B229" t="s">
        <v>1199</v>
      </c>
      <c r="C229" t="s">
        <v>1200</v>
      </c>
      <c r="D229" t="s">
        <v>1203</v>
      </c>
      <c r="E229">
        <v>7</v>
      </c>
      <c r="F229">
        <v>315000</v>
      </c>
      <c r="G229">
        <v>15000</v>
      </c>
      <c r="H229">
        <v>300000</v>
      </c>
      <c r="I229" t="s">
        <v>276</v>
      </c>
      <c r="J229" t="s">
        <v>5</v>
      </c>
    </row>
    <row r="230" spans="1:10" x14ac:dyDescent="0.25">
      <c r="A230" t="s">
        <v>277</v>
      </c>
      <c r="B230" t="s">
        <v>1206</v>
      </c>
      <c r="C230" t="s">
        <v>1208</v>
      </c>
      <c r="D230" t="s">
        <v>1197</v>
      </c>
      <c r="E230">
        <v>10</v>
      </c>
      <c r="F230">
        <v>450000</v>
      </c>
      <c r="G230">
        <v>0</v>
      </c>
      <c r="H230">
        <v>450000</v>
      </c>
      <c r="I230" t="s">
        <v>1257</v>
      </c>
      <c r="J230" t="s">
        <v>5</v>
      </c>
    </row>
    <row r="231" spans="1:10" x14ac:dyDescent="0.25">
      <c r="A231" t="s">
        <v>278</v>
      </c>
      <c r="B231" t="s">
        <v>1199</v>
      </c>
      <c r="C231" t="s">
        <v>1204</v>
      </c>
      <c r="D231" t="s">
        <v>1194</v>
      </c>
      <c r="E231">
        <v>10</v>
      </c>
      <c r="F231">
        <v>2500000</v>
      </c>
      <c r="G231">
        <v>0</v>
      </c>
      <c r="H231">
        <v>2500000</v>
      </c>
      <c r="I231" t="s">
        <v>1293</v>
      </c>
      <c r="J231" t="s">
        <v>5</v>
      </c>
    </row>
    <row r="232" spans="1:10" x14ac:dyDescent="0.25">
      <c r="A232" t="s">
        <v>279</v>
      </c>
      <c r="B232" t="s">
        <v>1199</v>
      </c>
      <c r="C232" t="s">
        <v>1200</v>
      </c>
      <c r="D232" t="s">
        <v>1194</v>
      </c>
      <c r="E232">
        <v>3</v>
      </c>
      <c r="F232">
        <v>360000</v>
      </c>
      <c r="G232">
        <v>0</v>
      </c>
      <c r="H232">
        <v>360000</v>
      </c>
      <c r="I232" t="s">
        <v>1339</v>
      </c>
      <c r="J232" t="s">
        <v>20</v>
      </c>
    </row>
    <row r="233" spans="1:10" x14ac:dyDescent="0.25">
      <c r="A233" t="s">
        <v>280</v>
      </c>
      <c r="B233" t="s">
        <v>1192</v>
      </c>
      <c r="C233" t="s">
        <v>1193</v>
      </c>
      <c r="D233" t="s">
        <v>1203</v>
      </c>
      <c r="E233">
        <v>3</v>
      </c>
      <c r="F233">
        <v>360000</v>
      </c>
      <c r="G233">
        <v>0</v>
      </c>
      <c r="H233">
        <v>360000</v>
      </c>
      <c r="I233" t="s">
        <v>195</v>
      </c>
      <c r="J233" t="s">
        <v>33</v>
      </c>
    </row>
    <row r="234" spans="1:10" x14ac:dyDescent="0.25">
      <c r="A234" t="s">
        <v>281</v>
      </c>
      <c r="B234" t="s">
        <v>1195</v>
      </c>
      <c r="C234" t="s">
        <v>1208</v>
      </c>
      <c r="D234" t="s">
        <v>1213</v>
      </c>
      <c r="E234">
        <v>3</v>
      </c>
      <c r="F234">
        <v>135000</v>
      </c>
      <c r="G234">
        <v>0</v>
      </c>
      <c r="H234">
        <v>135000</v>
      </c>
      <c r="I234" t="s">
        <v>1152</v>
      </c>
      <c r="J234" t="s">
        <v>10</v>
      </c>
    </row>
    <row r="235" spans="1:10" x14ac:dyDescent="0.25">
      <c r="A235" t="s">
        <v>282</v>
      </c>
      <c r="B235" t="s">
        <v>1195</v>
      </c>
      <c r="C235" t="s">
        <v>1208</v>
      </c>
      <c r="D235" t="s">
        <v>1213</v>
      </c>
      <c r="E235">
        <v>7</v>
      </c>
      <c r="F235">
        <v>840000</v>
      </c>
      <c r="G235">
        <v>10000</v>
      </c>
      <c r="H235">
        <v>830000</v>
      </c>
      <c r="I235" t="s">
        <v>73</v>
      </c>
      <c r="J235" t="s">
        <v>20</v>
      </c>
    </row>
    <row r="236" spans="1:10" x14ac:dyDescent="0.25">
      <c r="A236" t="s">
        <v>283</v>
      </c>
      <c r="B236" t="s">
        <v>1206</v>
      </c>
      <c r="C236" t="s">
        <v>1208</v>
      </c>
      <c r="D236" t="s">
        <v>1194</v>
      </c>
      <c r="E236">
        <v>3</v>
      </c>
      <c r="F236">
        <v>225000</v>
      </c>
      <c r="G236">
        <v>10000</v>
      </c>
      <c r="H236">
        <v>215000</v>
      </c>
      <c r="I236" t="s">
        <v>1340</v>
      </c>
      <c r="J236" t="s">
        <v>5</v>
      </c>
    </row>
    <row r="237" spans="1:10" x14ac:dyDescent="0.25">
      <c r="A237" t="s">
        <v>284</v>
      </c>
      <c r="B237" t="s">
        <v>1199</v>
      </c>
      <c r="C237" t="s">
        <v>1193</v>
      </c>
      <c r="D237" t="s">
        <v>1197</v>
      </c>
      <c r="E237">
        <v>4</v>
      </c>
      <c r="F237">
        <v>1000000</v>
      </c>
      <c r="G237">
        <v>0</v>
      </c>
      <c r="H237">
        <v>1000000</v>
      </c>
      <c r="I237" t="s">
        <v>1148</v>
      </c>
      <c r="J237" t="s">
        <v>20</v>
      </c>
    </row>
    <row r="238" spans="1:10" x14ac:dyDescent="0.25">
      <c r="A238" t="s">
        <v>285</v>
      </c>
      <c r="B238" t="s">
        <v>1230</v>
      </c>
      <c r="C238" t="s">
        <v>1193</v>
      </c>
      <c r="D238" t="s">
        <v>1194</v>
      </c>
      <c r="E238">
        <v>1</v>
      </c>
      <c r="F238">
        <v>185000</v>
      </c>
      <c r="G238">
        <v>0</v>
      </c>
      <c r="H238">
        <v>185000</v>
      </c>
      <c r="I238" t="s">
        <v>22</v>
      </c>
      <c r="J238" t="s">
        <v>10</v>
      </c>
    </row>
    <row r="239" spans="1:10" x14ac:dyDescent="0.25">
      <c r="A239" t="s">
        <v>286</v>
      </c>
      <c r="B239" t="s">
        <v>1199</v>
      </c>
      <c r="C239" t="s">
        <v>1200</v>
      </c>
      <c r="D239" t="s">
        <v>1197</v>
      </c>
      <c r="E239">
        <v>1</v>
      </c>
      <c r="F239">
        <v>75000</v>
      </c>
      <c r="G239">
        <v>5000</v>
      </c>
      <c r="H239">
        <v>70000</v>
      </c>
      <c r="I239" t="s">
        <v>1217</v>
      </c>
      <c r="J239" t="s">
        <v>20</v>
      </c>
    </row>
    <row r="240" spans="1:10" x14ac:dyDescent="0.25">
      <c r="A240" t="s">
        <v>287</v>
      </c>
      <c r="B240" t="s">
        <v>1199</v>
      </c>
      <c r="C240" t="s">
        <v>1196</v>
      </c>
      <c r="D240" t="s">
        <v>1210</v>
      </c>
      <c r="E240">
        <v>4</v>
      </c>
      <c r="F240">
        <v>180000</v>
      </c>
      <c r="G240">
        <v>0</v>
      </c>
      <c r="H240">
        <v>180000</v>
      </c>
      <c r="I240" t="s">
        <v>1297</v>
      </c>
      <c r="J240" t="s">
        <v>10</v>
      </c>
    </row>
    <row r="241" spans="1:10" x14ac:dyDescent="0.25">
      <c r="A241" t="s">
        <v>288</v>
      </c>
      <c r="B241" t="s">
        <v>1206</v>
      </c>
      <c r="C241" t="s">
        <v>29</v>
      </c>
      <c r="D241" t="s">
        <v>1194</v>
      </c>
      <c r="E241">
        <v>7</v>
      </c>
      <c r="F241">
        <v>840000</v>
      </c>
      <c r="G241">
        <v>0</v>
      </c>
      <c r="H241">
        <v>840000</v>
      </c>
      <c r="I241" t="s">
        <v>1341</v>
      </c>
      <c r="J241" t="s">
        <v>20</v>
      </c>
    </row>
    <row r="242" spans="1:10" x14ac:dyDescent="0.25">
      <c r="A242" t="s">
        <v>289</v>
      </c>
      <c r="B242" t="s">
        <v>1195</v>
      </c>
      <c r="C242" t="s">
        <v>29</v>
      </c>
      <c r="D242" t="s">
        <v>1194</v>
      </c>
      <c r="E242">
        <v>1</v>
      </c>
      <c r="F242">
        <v>185000</v>
      </c>
      <c r="G242">
        <v>0</v>
      </c>
      <c r="H242">
        <v>185000</v>
      </c>
      <c r="I242" t="s">
        <v>1342</v>
      </c>
      <c r="J242" t="s">
        <v>10</v>
      </c>
    </row>
    <row r="243" spans="1:10" x14ac:dyDescent="0.25">
      <c r="A243" t="s">
        <v>290</v>
      </c>
      <c r="B243" t="s">
        <v>1199</v>
      </c>
      <c r="C243" t="s">
        <v>29</v>
      </c>
      <c r="D243" t="s">
        <v>1213</v>
      </c>
      <c r="E243">
        <v>1</v>
      </c>
      <c r="F243">
        <v>75000</v>
      </c>
      <c r="G243">
        <v>0</v>
      </c>
      <c r="H243">
        <v>75000</v>
      </c>
      <c r="I243" t="s">
        <v>22</v>
      </c>
      <c r="J243" t="s">
        <v>33</v>
      </c>
    </row>
    <row r="244" spans="1:10" x14ac:dyDescent="0.25">
      <c r="A244" t="s">
        <v>291</v>
      </c>
      <c r="B244" t="s">
        <v>1192</v>
      </c>
      <c r="C244" t="s">
        <v>1204</v>
      </c>
      <c r="D244" t="s">
        <v>1194</v>
      </c>
      <c r="E244">
        <v>2</v>
      </c>
      <c r="F244">
        <v>500000</v>
      </c>
      <c r="G244">
        <v>0</v>
      </c>
      <c r="H244" t="s">
        <v>1343</v>
      </c>
      <c r="I244" t="s">
        <v>1217</v>
      </c>
      <c r="J244" t="s">
        <v>10</v>
      </c>
    </row>
    <row r="245" spans="1:10" x14ac:dyDescent="0.25">
      <c r="A245" t="s">
        <v>292</v>
      </c>
      <c r="B245" t="s">
        <v>1206</v>
      </c>
      <c r="C245" t="s">
        <v>1208</v>
      </c>
      <c r="D245" t="s">
        <v>1213</v>
      </c>
      <c r="E245">
        <v>10</v>
      </c>
      <c r="F245">
        <v>2500000</v>
      </c>
      <c r="G245">
        <v>0</v>
      </c>
      <c r="H245">
        <v>2500000</v>
      </c>
      <c r="I245" t="s">
        <v>1344</v>
      </c>
      <c r="J245" t="s">
        <v>33</v>
      </c>
    </row>
    <row r="246" spans="1:10" x14ac:dyDescent="0.25">
      <c r="A246" t="s">
        <v>293</v>
      </c>
      <c r="B246" t="s">
        <v>1199</v>
      </c>
      <c r="C246" t="s">
        <v>29</v>
      </c>
      <c r="D246" t="s">
        <v>1194</v>
      </c>
      <c r="E246">
        <v>9</v>
      </c>
      <c r="F246">
        <v>675000</v>
      </c>
      <c r="G246">
        <v>0</v>
      </c>
      <c r="H246">
        <v>675000</v>
      </c>
      <c r="I246" t="s">
        <v>1345</v>
      </c>
      <c r="J246" t="s">
        <v>10</v>
      </c>
    </row>
    <row r="247" spans="1:10" x14ac:dyDescent="0.25">
      <c r="A247" t="s">
        <v>294</v>
      </c>
      <c r="B247" t="s">
        <v>1199</v>
      </c>
      <c r="C247" t="s">
        <v>29</v>
      </c>
      <c r="D247" t="s">
        <v>1213</v>
      </c>
      <c r="E247">
        <v>3</v>
      </c>
      <c r="F247">
        <v>750000</v>
      </c>
      <c r="G247">
        <v>0</v>
      </c>
      <c r="H247">
        <v>750000</v>
      </c>
      <c r="I247" t="s">
        <v>14</v>
      </c>
      <c r="J247" t="s">
        <v>20</v>
      </c>
    </row>
    <row r="248" spans="1:10" x14ac:dyDescent="0.25">
      <c r="A248" t="s">
        <v>295</v>
      </c>
      <c r="B248" t="s">
        <v>1199</v>
      </c>
      <c r="C248" t="s">
        <v>1285</v>
      </c>
      <c r="D248" t="s">
        <v>1197</v>
      </c>
      <c r="E248">
        <v>2</v>
      </c>
      <c r="F248">
        <v>370000</v>
      </c>
      <c r="G248">
        <v>10000</v>
      </c>
      <c r="H248">
        <v>360000</v>
      </c>
      <c r="I248" t="s">
        <v>1256</v>
      </c>
      <c r="J248" t="s">
        <v>5</v>
      </c>
    </row>
    <row r="249" spans="1:10" x14ac:dyDescent="0.25">
      <c r="A249" t="s">
        <v>296</v>
      </c>
      <c r="B249" t="s">
        <v>1199</v>
      </c>
      <c r="C249" t="s">
        <v>1200</v>
      </c>
      <c r="D249" t="s">
        <v>1197</v>
      </c>
      <c r="E249">
        <v>2</v>
      </c>
      <c r="F249">
        <v>240000</v>
      </c>
      <c r="G249">
        <v>0</v>
      </c>
      <c r="H249">
        <v>240000</v>
      </c>
      <c r="I249" t="s">
        <v>297</v>
      </c>
      <c r="J249" t="s">
        <v>10</v>
      </c>
    </row>
    <row r="250" spans="1:10" x14ac:dyDescent="0.25">
      <c r="A250" t="s">
        <v>298</v>
      </c>
      <c r="B250" t="s">
        <v>1195</v>
      </c>
      <c r="C250" t="s">
        <v>1208</v>
      </c>
      <c r="D250" t="s">
        <v>1203</v>
      </c>
      <c r="E250">
        <v>3</v>
      </c>
      <c r="F250">
        <v>750000</v>
      </c>
      <c r="G250">
        <v>0</v>
      </c>
      <c r="H250">
        <v>750000</v>
      </c>
      <c r="I250" t="s">
        <v>1297</v>
      </c>
      <c r="J250" t="s">
        <v>20</v>
      </c>
    </row>
    <row r="251" spans="1:10" x14ac:dyDescent="0.25">
      <c r="A251" t="s">
        <v>299</v>
      </c>
      <c r="B251" t="s">
        <v>1206</v>
      </c>
      <c r="C251" t="s">
        <v>1204</v>
      </c>
      <c r="D251" t="s">
        <v>1194</v>
      </c>
      <c r="E251">
        <v>8</v>
      </c>
      <c r="F251">
        <v>360000</v>
      </c>
      <c r="G251">
        <v>0</v>
      </c>
      <c r="H251">
        <v>360000</v>
      </c>
      <c r="I251" t="s">
        <v>300</v>
      </c>
      <c r="J251" t="s">
        <v>33</v>
      </c>
    </row>
    <row r="252" spans="1:10" x14ac:dyDescent="0.25">
      <c r="A252" t="s">
        <v>301</v>
      </c>
      <c r="B252" t="s">
        <v>1199</v>
      </c>
      <c r="C252" t="s">
        <v>1208</v>
      </c>
      <c r="D252" t="s">
        <v>1194</v>
      </c>
      <c r="E252">
        <v>4</v>
      </c>
      <c r="F252">
        <v>180000</v>
      </c>
      <c r="G252">
        <v>0</v>
      </c>
      <c r="H252">
        <v>-180000</v>
      </c>
      <c r="I252" t="s">
        <v>132</v>
      </c>
      <c r="J252" t="s">
        <v>20</v>
      </c>
    </row>
    <row r="253" spans="1:10" x14ac:dyDescent="0.25">
      <c r="A253" t="s">
        <v>302</v>
      </c>
      <c r="B253" t="s">
        <v>1206</v>
      </c>
      <c r="C253" t="s">
        <v>1204</v>
      </c>
      <c r="D253" t="s">
        <v>1194</v>
      </c>
      <c r="E253">
        <v>7</v>
      </c>
      <c r="F253">
        <v>525000</v>
      </c>
      <c r="G253">
        <v>0</v>
      </c>
      <c r="H253">
        <v>525000</v>
      </c>
      <c r="I253" t="s">
        <v>1346</v>
      </c>
      <c r="J253" t="s">
        <v>20</v>
      </c>
    </row>
    <row r="254" spans="1:10" x14ac:dyDescent="0.25">
      <c r="A254" t="s">
        <v>303</v>
      </c>
      <c r="B254" t="s">
        <v>1199</v>
      </c>
      <c r="C254" t="s">
        <v>1200</v>
      </c>
      <c r="D254" t="s">
        <v>1213</v>
      </c>
      <c r="E254">
        <v>1</v>
      </c>
      <c r="F254">
        <v>45000</v>
      </c>
      <c r="G254">
        <v>0</v>
      </c>
      <c r="H254">
        <v>45000</v>
      </c>
      <c r="I254" t="s">
        <v>1281</v>
      </c>
      <c r="J254" t="s">
        <v>20</v>
      </c>
    </row>
    <row r="255" spans="1:10" x14ac:dyDescent="0.25">
      <c r="A255" t="s">
        <v>304</v>
      </c>
      <c r="B255" t="s">
        <v>1192</v>
      </c>
      <c r="C255" t="s">
        <v>1196</v>
      </c>
      <c r="D255" t="s">
        <v>1194</v>
      </c>
      <c r="E255">
        <v>4</v>
      </c>
      <c r="F255">
        <v>1000000</v>
      </c>
      <c r="G255">
        <v>15000</v>
      </c>
      <c r="H255">
        <v>985000</v>
      </c>
      <c r="I255" t="s">
        <v>1347</v>
      </c>
      <c r="J255" t="s">
        <v>5</v>
      </c>
    </row>
    <row r="256" spans="1:10" x14ac:dyDescent="0.25">
      <c r="A256" t="s">
        <v>305</v>
      </c>
      <c r="B256" t="s">
        <v>1192</v>
      </c>
      <c r="C256" t="s">
        <v>1200</v>
      </c>
      <c r="D256" t="s">
        <v>1213</v>
      </c>
      <c r="E256">
        <v>9</v>
      </c>
      <c r="F256">
        <v>2250000</v>
      </c>
      <c r="G256">
        <v>10000</v>
      </c>
      <c r="H256">
        <v>2240000</v>
      </c>
      <c r="I256" t="s">
        <v>1348</v>
      </c>
      <c r="J256" t="s">
        <v>20</v>
      </c>
    </row>
    <row r="257" spans="1:10" x14ac:dyDescent="0.25">
      <c r="A257" t="s">
        <v>306</v>
      </c>
      <c r="B257" t="s">
        <v>1195</v>
      </c>
      <c r="C257" t="s">
        <v>1196</v>
      </c>
      <c r="D257" t="s">
        <v>1203</v>
      </c>
      <c r="E257">
        <v>6</v>
      </c>
      <c r="F257">
        <v>1110000</v>
      </c>
      <c r="G257">
        <v>0</v>
      </c>
      <c r="H257">
        <v>1110000</v>
      </c>
      <c r="I257" t="s">
        <v>1259</v>
      </c>
      <c r="J257" t="s">
        <v>5</v>
      </c>
    </row>
    <row r="258" spans="1:10" x14ac:dyDescent="0.25">
      <c r="A258" t="s">
        <v>307</v>
      </c>
      <c r="B258" t="s">
        <v>1195</v>
      </c>
      <c r="C258" t="s">
        <v>1200</v>
      </c>
      <c r="D258" t="s">
        <v>1210</v>
      </c>
      <c r="E258">
        <v>3</v>
      </c>
      <c r="F258">
        <v>225000</v>
      </c>
      <c r="G258">
        <v>0</v>
      </c>
      <c r="H258">
        <v>225000</v>
      </c>
      <c r="I258" t="s">
        <v>1240</v>
      </c>
      <c r="J258" t="s">
        <v>33</v>
      </c>
    </row>
    <row r="259" spans="1:10" x14ac:dyDescent="0.25">
      <c r="A259" t="s">
        <v>308</v>
      </c>
      <c r="B259" t="s">
        <v>1199</v>
      </c>
      <c r="C259" t="s">
        <v>1200</v>
      </c>
      <c r="D259" t="s">
        <v>1213</v>
      </c>
      <c r="E259">
        <v>5</v>
      </c>
      <c r="F259">
        <v>925000</v>
      </c>
      <c r="G259">
        <v>0</v>
      </c>
      <c r="H259">
        <v>925000</v>
      </c>
      <c r="I259" t="s">
        <v>1249</v>
      </c>
      <c r="J259" t="s">
        <v>5</v>
      </c>
    </row>
    <row r="260" spans="1:10" x14ac:dyDescent="0.25">
      <c r="A260" t="s">
        <v>309</v>
      </c>
      <c r="B260" t="s">
        <v>1199</v>
      </c>
      <c r="C260" t="s">
        <v>29</v>
      </c>
      <c r="D260" t="s">
        <v>1213</v>
      </c>
      <c r="E260">
        <v>7</v>
      </c>
      <c r="F260">
        <v>315000</v>
      </c>
      <c r="G260">
        <v>0</v>
      </c>
      <c r="H260">
        <v>315000</v>
      </c>
      <c r="I260" t="s">
        <v>1348</v>
      </c>
      <c r="J260" t="s">
        <v>10</v>
      </c>
    </row>
    <row r="261" spans="1:10" x14ac:dyDescent="0.25">
      <c r="A261" t="s">
        <v>310</v>
      </c>
      <c r="B261" t="s">
        <v>1192</v>
      </c>
      <c r="C261" t="s">
        <v>1204</v>
      </c>
      <c r="D261" t="s">
        <v>1203</v>
      </c>
      <c r="E261">
        <v>9</v>
      </c>
      <c r="F261">
        <v>405000</v>
      </c>
      <c r="G261">
        <v>0</v>
      </c>
      <c r="H261">
        <v>405000</v>
      </c>
      <c r="I261" t="s">
        <v>22</v>
      </c>
      <c r="J261" t="s">
        <v>20</v>
      </c>
    </row>
    <row r="262" spans="1:10" x14ac:dyDescent="0.25">
      <c r="A262" t="s">
        <v>311</v>
      </c>
      <c r="B262" t="s">
        <v>1206</v>
      </c>
      <c r="C262" t="s">
        <v>1200</v>
      </c>
      <c r="D262" t="s">
        <v>1210</v>
      </c>
      <c r="E262">
        <v>5</v>
      </c>
      <c r="F262">
        <v>375000</v>
      </c>
      <c r="G262">
        <v>0</v>
      </c>
      <c r="H262">
        <v>375000</v>
      </c>
      <c r="I262" t="s">
        <v>312</v>
      </c>
      <c r="J262" t="s">
        <v>33</v>
      </c>
    </row>
    <row r="263" spans="1:10" x14ac:dyDescent="0.25">
      <c r="A263" t="s">
        <v>313</v>
      </c>
      <c r="B263" t="s">
        <v>1199</v>
      </c>
      <c r="C263" t="s">
        <v>1208</v>
      </c>
      <c r="D263" t="s">
        <v>1197</v>
      </c>
      <c r="E263">
        <v>7</v>
      </c>
      <c r="F263">
        <v>1295000</v>
      </c>
      <c r="G263">
        <v>0</v>
      </c>
      <c r="H263">
        <v>1295000</v>
      </c>
      <c r="I263" t="s">
        <v>1346</v>
      </c>
      <c r="J263" t="s">
        <v>20</v>
      </c>
    </row>
    <row r="264" spans="1:10" x14ac:dyDescent="0.25">
      <c r="A264" t="s">
        <v>314</v>
      </c>
      <c r="B264" t="s">
        <v>1206</v>
      </c>
      <c r="C264" t="s">
        <v>1208</v>
      </c>
      <c r="D264" t="s">
        <v>1203</v>
      </c>
      <c r="E264">
        <v>9</v>
      </c>
      <c r="F264">
        <v>2250000</v>
      </c>
      <c r="G264">
        <v>0</v>
      </c>
      <c r="H264">
        <v>2250000</v>
      </c>
      <c r="I264" t="s">
        <v>1212</v>
      </c>
      <c r="J264" t="s">
        <v>5</v>
      </c>
    </row>
    <row r="265" spans="1:10" x14ac:dyDescent="0.25">
      <c r="A265" t="s">
        <v>315</v>
      </c>
      <c r="B265" t="s">
        <v>1192</v>
      </c>
      <c r="C265" t="s">
        <v>1200</v>
      </c>
      <c r="D265" t="s">
        <v>1197</v>
      </c>
      <c r="E265">
        <v>2</v>
      </c>
      <c r="F265">
        <v>370000</v>
      </c>
      <c r="G265">
        <v>5000</v>
      </c>
      <c r="H265">
        <v>365000</v>
      </c>
      <c r="I265" t="s">
        <v>1349</v>
      </c>
      <c r="J265" t="s">
        <v>10</v>
      </c>
    </row>
    <row r="266" spans="1:10" x14ac:dyDescent="0.25">
      <c r="A266" t="s">
        <v>316</v>
      </c>
      <c r="B266" t="s">
        <v>1199</v>
      </c>
      <c r="C266" t="s">
        <v>1200</v>
      </c>
      <c r="D266" t="s">
        <v>1213</v>
      </c>
      <c r="E266">
        <v>3</v>
      </c>
      <c r="F266">
        <v>750000</v>
      </c>
      <c r="G266">
        <v>0</v>
      </c>
      <c r="H266">
        <v>750000</v>
      </c>
      <c r="I266" t="s">
        <v>1320</v>
      </c>
      <c r="J266" t="s">
        <v>10</v>
      </c>
    </row>
    <row r="267" spans="1:10" x14ac:dyDescent="0.25">
      <c r="A267" t="s">
        <v>317</v>
      </c>
      <c r="B267" t="s">
        <v>1195</v>
      </c>
      <c r="C267" t="s">
        <v>1208</v>
      </c>
      <c r="D267" t="s">
        <v>1194</v>
      </c>
      <c r="E267">
        <v>9</v>
      </c>
      <c r="F267">
        <v>405000</v>
      </c>
      <c r="G267">
        <v>0</v>
      </c>
      <c r="H267" t="s">
        <v>1350</v>
      </c>
      <c r="I267" t="s">
        <v>1214</v>
      </c>
      <c r="J267" t="s">
        <v>5</v>
      </c>
    </row>
    <row r="268" spans="1:10" x14ac:dyDescent="0.25">
      <c r="A268" t="s">
        <v>318</v>
      </c>
      <c r="B268" t="s">
        <v>1206</v>
      </c>
      <c r="C268" t="s">
        <v>1193</v>
      </c>
      <c r="D268" t="s">
        <v>1210</v>
      </c>
      <c r="E268">
        <v>3</v>
      </c>
      <c r="F268">
        <v>135000</v>
      </c>
      <c r="G268">
        <v>0</v>
      </c>
      <c r="H268">
        <v>135000</v>
      </c>
      <c r="I268" t="s">
        <v>1351</v>
      </c>
      <c r="J268" t="s">
        <v>5</v>
      </c>
    </row>
    <row r="269" spans="1:10" x14ac:dyDescent="0.25">
      <c r="A269" t="s">
        <v>319</v>
      </c>
      <c r="B269" t="s">
        <v>1195</v>
      </c>
      <c r="C269" t="s">
        <v>1193</v>
      </c>
      <c r="D269" t="s">
        <v>1213</v>
      </c>
      <c r="E269">
        <v>2</v>
      </c>
      <c r="F269">
        <v>500000</v>
      </c>
      <c r="G269">
        <v>0</v>
      </c>
      <c r="H269">
        <v>500000</v>
      </c>
      <c r="I269" t="s">
        <v>1352</v>
      </c>
      <c r="J269" t="s">
        <v>20</v>
      </c>
    </row>
    <row r="270" spans="1:10" x14ac:dyDescent="0.25">
      <c r="A270" t="s">
        <v>320</v>
      </c>
      <c r="B270" t="s">
        <v>1199</v>
      </c>
      <c r="C270" t="s">
        <v>1202</v>
      </c>
      <c r="D270" t="s">
        <v>1210</v>
      </c>
      <c r="E270">
        <v>10</v>
      </c>
      <c r="F270">
        <v>750000</v>
      </c>
      <c r="G270">
        <v>0</v>
      </c>
      <c r="H270">
        <v>750000</v>
      </c>
      <c r="I270" t="s">
        <v>1353</v>
      </c>
      <c r="J270" t="s">
        <v>5</v>
      </c>
    </row>
    <row r="271" spans="1:10" x14ac:dyDescent="0.25">
      <c r="A271" t="s">
        <v>321</v>
      </c>
      <c r="B271" t="s">
        <v>1195</v>
      </c>
      <c r="C271" t="s">
        <v>1208</v>
      </c>
      <c r="D271" t="s">
        <v>1203</v>
      </c>
      <c r="E271">
        <v>9</v>
      </c>
      <c r="F271">
        <v>1665000</v>
      </c>
      <c r="G271">
        <v>0</v>
      </c>
      <c r="H271">
        <v>-1665000</v>
      </c>
      <c r="I271" t="s">
        <v>1128</v>
      </c>
      <c r="J271" t="s">
        <v>20</v>
      </c>
    </row>
    <row r="272" spans="1:10" x14ac:dyDescent="0.25">
      <c r="A272" t="s">
        <v>322</v>
      </c>
      <c r="B272" t="s">
        <v>1192</v>
      </c>
      <c r="C272" t="s">
        <v>1200</v>
      </c>
      <c r="D272" t="s">
        <v>1213</v>
      </c>
      <c r="E272">
        <v>2</v>
      </c>
      <c r="F272">
        <v>240000</v>
      </c>
      <c r="G272">
        <v>5000</v>
      </c>
      <c r="H272">
        <v>-235000</v>
      </c>
      <c r="I272" t="s">
        <v>1130</v>
      </c>
      <c r="J272" t="s">
        <v>10</v>
      </c>
    </row>
    <row r="273" spans="1:10" x14ac:dyDescent="0.25">
      <c r="A273" t="s">
        <v>323</v>
      </c>
      <c r="B273" t="s">
        <v>1192</v>
      </c>
      <c r="C273" t="s">
        <v>1265</v>
      </c>
      <c r="D273" t="s">
        <v>1210</v>
      </c>
      <c r="E273">
        <v>10</v>
      </c>
      <c r="F273">
        <v>1850000</v>
      </c>
      <c r="G273">
        <v>0</v>
      </c>
      <c r="H273" t="s">
        <v>92</v>
      </c>
      <c r="I273" t="s">
        <v>267</v>
      </c>
      <c r="J273" t="s">
        <v>20</v>
      </c>
    </row>
    <row r="274" spans="1:10" x14ac:dyDescent="0.25">
      <c r="A274" t="s">
        <v>324</v>
      </c>
      <c r="B274" t="s">
        <v>1192</v>
      </c>
      <c r="C274" t="s">
        <v>1193</v>
      </c>
      <c r="D274" t="s">
        <v>1210</v>
      </c>
      <c r="E274">
        <v>7</v>
      </c>
      <c r="F274">
        <v>840000</v>
      </c>
      <c r="G274">
        <v>0</v>
      </c>
      <c r="H274">
        <v>840000</v>
      </c>
      <c r="I274" t="s">
        <v>1304</v>
      </c>
      <c r="J274" t="s">
        <v>20</v>
      </c>
    </row>
    <row r="275" spans="1:10" x14ac:dyDescent="0.25">
      <c r="A275" t="s">
        <v>325</v>
      </c>
      <c r="B275" t="s">
        <v>1192</v>
      </c>
      <c r="C275" t="s">
        <v>1200</v>
      </c>
      <c r="D275" t="s">
        <v>1197</v>
      </c>
      <c r="E275">
        <v>1</v>
      </c>
      <c r="F275">
        <v>120000</v>
      </c>
      <c r="G275">
        <v>0</v>
      </c>
      <c r="H275">
        <v>120000</v>
      </c>
      <c r="I275" t="s">
        <v>1354</v>
      </c>
      <c r="J275" t="s">
        <v>33</v>
      </c>
    </row>
    <row r="276" spans="1:10" x14ac:dyDescent="0.25">
      <c r="A276" t="s">
        <v>326</v>
      </c>
      <c r="B276" t="s">
        <v>1206</v>
      </c>
      <c r="C276" t="s">
        <v>1196</v>
      </c>
      <c r="D276" t="s">
        <v>1210</v>
      </c>
      <c r="E276">
        <v>4</v>
      </c>
      <c r="F276">
        <v>1000000</v>
      </c>
      <c r="G276">
        <v>0</v>
      </c>
      <c r="H276">
        <v>1000000</v>
      </c>
      <c r="I276" t="s">
        <v>1310</v>
      </c>
      <c r="J276" t="s">
        <v>10</v>
      </c>
    </row>
    <row r="277" spans="1:10" x14ac:dyDescent="0.25">
      <c r="A277" t="s">
        <v>327</v>
      </c>
      <c r="B277" t="s">
        <v>1199</v>
      </c>
      <c r="C277" t="s">
        <v>1200</v>
      </c>
      <c r="D277" t="s">
        <v>1210</v>
      </c>
      <c r="E277">
        <v>5</v>
      </c>
      <c r="F277">
        <v>375000</v>
      </c>
      <c r="G277">
        <v>0</v>
      </c>
      <c r="H277">
        <v>375000</v>
      </c>
      <c r="I277" t="s">
        <v>1355</v>
      </c>
      <c r="J277" t="s">
        <v>5</v>
      </c>
    </row>
    <row r="278" spans="1:10" x14ac:dyDescent="0.25">
      <c r="A278" t="s">
        <v>328</v>
      </c>
      <c r="B278" t="s">
        <v>1192</v>
      </c>
      <c r="C278" t="s">
        <v>1196</v>
      </c>
      <c r="D278" t="s">
        <v>1210</v>
      </c>
      <c r="E278">
        <v>4</v>
      </c>
      <c r="F278">
        <v>480000</v>
      </c>
      <c r="G278">
        <v>0</v>
      </c>
      <c r="H278">
        <v>480000</v>
      </c>
      <c r="I278" t="s">
        <v>1157</v>
      </c>
      <c r="J278" t="s">
        <v>10</v>
      </c>
    </row>
    <row r="279" spans="1:10" x14ac:dyDescent="0.25">
      <c r="A279" t="s">
        <v>329</v>
      </c>
      <c r="B279" t="s">
        <v>1199</v>
      </c>
      <c r="C279" t="s">
        <v>1193</v>
      </c>
      <c r="D279" t="s">
        <v>1194</v>
      </c>
      <c r="E279">
        <v>4</v>
      </c>
      <c r="F279">
        <v>480000</v>
      </c>
      <c r="G279">
        <v>0</v>
      </c>
      <c r="H279">
        <v>480000</v>
      </c>
      <c r="I279" t="s">
        <v>1356</v>
      </c>
      <c r="J279" t="s">
        <v>20</v>
      </c>
    </row>
    <row r="280" spans="1:10" x14ac:dyDescent="0.25">
      <c r="A280" t="s">
        <v>330</v>
      </c>
      <c r="B280" t="s">
        <v>1199</v>
      </c>
      <c r="C280" t="s">
        <v>1219</v>
      </c>
      <c r="D280" t="s">
        <v>1194</v>
      </c>
      <c r="E280">
        <v>10</v>
      </c>
      <c r="F280">
        <v>1200000</v>
      </c>
      <c r="G280">
        <v>0</v>
      </c>
      <c r="H280">
        <v>1200000</v>
      </c>
      <c r="I280" t="s">
        <v>331</v>
      </c>
      <c r="J280" t="s">
        <v>20</v>
      </c>
    </row>
    <row r="281" spans="1:10" x14ac:dyDescent="0.25">
      <c r="A281" t="s">
        <v>332</v>
      </c>
      <c r="B281" t="s">
        <v>1199</v>
      </c>
      <c r="C281" t="s">
        <v>1196</v>
      </c>
      <c r="D281" t="s">
        <v>1203</v>
      </c>
      <c r="E281">
        <v>10</v>
      </c>
      <c r="F281">
        <v>750000</v>
      </c>
      <c r="G281">
        <v>0</v>
      </c>
      <c r="H281">
        <v>750000</v>
      </c>
      <c r="I281" t="s">
        <v>152</v>
      </c>
      <c r="J281" t="s">
        <v>20</v>
      </c>
    </row>
    <row r="282" spans="1:10" x14ac:dyDescent="0.25">
      <c r="A282" t="s">
        <v>333</v>
      </c>
      <c r="B282" t="s">
        <v>1192</v>
      </c>
      <c r="C282" t="s">
        <v>1208</v>
      </c>
      <c r="D282" t="s">
        <v>1203</v>
      </c>
      <c r="E282">
        <v>1</v>
      </c>
      <c r="F282">
        <v>75000</v>
      </c>
      <c r="G282">
        <v>5000</v>
      </c>
      <c r="H282">
        <v>70000</v>
      </c>
      <c r="I282" t="s">
        <v>1281</v>
      </c>
      <c r="J282" t="s">
        <v>20</v>
      </c>
    </row>
    <row r="283" spans="1:10" x14ac:dyDescent="0.25">
      <c r="A283" t="s">
        <v>334</v>
      </c>
      <c r="B283" t="s">
        <v>1199</v>
      </c>
      <c r="C283" t="s">
        <v>1219</v>
      </c>
      <c r="D283" t="s">
        <v>1197</v>
      </c>
      <c r="E283">
        <v>6</v>
      </c>
      <c r="F283">
        <v>720000</v>
      </c>
      <c r="G283">
        <v>0</v>
      </c>
      <c r="H283">
        <v>720000</v>
      </c>
      <c r="I283" t="s">
        <v>22</v>
      </c>
      <c r="J283" t="s">
        <v>33</v>
      </c>
    </row>
    <row r="284" spans="1:10" x14ac:dyDescent="0.25">
      <c r="A284" t="s">
        <v>335</v>
      </c>
      <c r="B284" t="s">
        <v>1206</v>
      </c>
      <c r="C284" t="s">
        <v>1193</v>
      </c>
      <c r="D284" t="s">
        <v>1197</v>
      </c>
      <c r="E284">
        <v>6</v>
      </c>
      <c r="F284">
        <v>450000</v>
      </c>
      <c r="G284">
        <v>0</v>
      </c>
      <c r="H284">
        <v>450000</v>
      </c>
      <c r="I284" t="s">
        <v>1357</v>
      </c>
      <c r="J284" t="s">
        <v>33</v>
      </c>
    </row>
    <row r="285" spans="1:10" x14ac:dyDescent="0.25">
      <c r="A285" t="s">
        <v>336</v>
      </c>
      <c r="B285" t="s">
        <v>1195</v>
      </c>
      <c r="C285" t="s">
        <v>1200</v>
      </c>
      <c r="D285" t="s">
        <v>1197</v>
      </c>
      <c r="E285">
        <v>6</v>
      </c>
      <c r="F285">
        <v>270000</v>
      </c>
      <c r="G285">
        <v>0</v>
      </c>
      <c r="H285" t="s">
        <v>1221</v>
      </c>
      <c r="I285" t="s">
        <v>1296</v>
      </c>
      <c r="J285" t="s">
        <v>20</v>
      </c>
    </row>
    <row r="286" spans="1:10" x14ac:dyDescent="0.25">
      <c r="A286" t="s">
        <v>337</v>
      </c>
      <c r="B286" t="s">
        <v>1206</v>
      </c>
      <c r="C286" t="s">
        <v>1204</v>
      </c>
      <c r="D286" t="s">
        <v>1210</v>
      </c>
      <c r="E286">
        <v>4</v>
      </c>
      <c r="F286">
        <v>740000</v>
      </c>
      <c r="G286">
        <v>0</v>
      </c>
      <c r="H286">
        <v>740000</v>
      </c>
      <c r="I286" t="s">
        <v>14</v>
      </c>
      <c r="J286" t="s">
        <v>20</v>
      </c>
    </row>
    <row r="287" spans="1:10" x14ac:dyDescent="0.25">
      <c r="A287" t="s">
        <v>47</v>
      </c>
      <c r="B287" t="s">
        <v>1230</v>
      </c>
      <c r="C287" t="s">
        <v>1193</v>
      </c>
      <c r="D287" t="s">
        <v>1194</v>
      </c>
      <c r="E287">
        <v>6</v>
      </c>
      <c r="F287">
        <v>720000</v>
      </c>
      <c r="G287">
        <v>0</v>
      </c>
      <c r="H287">
        <v>-720000</v>
      </c>
      <c r="I287" t="s">
        <v>338</v>
      </c>
      <c r="J287" t="s">
        <v>10</v>
      </c>
    </row>
    <row r="288" spans="1:10" x14ac:dyDescent="0.25">
      <c r="A288" t="s">
        <v>339</v>
      </c>
      <c r="B288" t="s">
        <v>1195</v>
      </c>
      <c r="C288" t="s">
        <v>1200</v>
      </c>
      <c r="D288" t="s">
        <v>1213</v>
      </c>
      <c r="E288">
        <v>9</v>
      </c>
      <c r="F288">
        <v>675000</v>
      </c>
      <c r="G288">
        <v>0</v>
      </c>
      <c r="H288">
        <v>675000</v>
      </c>
      <c r="I288" t="s">
        <v>1352</v>
      </c>
      <c r="J288" t="s">
        <v>5</v>
      </c>
    </row>
    <row r="289" spans="1:10" x14ac:dyDescent="0.25">
      <c r="A289" t="s">
        <v>340</v>
      </c>
      <c r="B289" t="s">
        <v>1195</v>
      </c>
      <c r="C289" t="s">
        <v>1202</v>
      </c>
      <c r="D289" t="s">
        <v>1203</v>
      </c>
      <c r="E289">
        <v>2</v>
      </c>
      <c r="F289">
        <v>500000</v>
      </c>
      <c r="G289">
        <v>0</v>
      </c>
      <c r="H289">
        <v>500000</v>
      </c>
      <c r="I289" t="s">
        <v>1358</v>
      </c>
      <c r="J289" t="s">
        <v>20</v>
      </c>
    </row>
    <row r="290" spans="1:10" x14ac:dyDescent="0.25">
      <c r="A290" t="s">
        <v>341</v>
      </c>
      <c r="B290" t="s">
        <v>1195</v>
      </c>
      <c r="C290" t="s">
        <v>29</v>
      </c>
      <c r="D290" t="s">
        <v>1203</v>
      </c>
      <c r="E290">
        <v>2</v>
      </c>
      <c r="F290">
        <v>150000</v>
      </c>
      <c r="G290">
        <v>0</v>
      </c>
      <c r="H290">
        <v>-150000</v>
      </c>
      <c r="I290" t="s">
        <v>1132</v>
      </c>
      <c r="J290" t="s">
        <v>33</v>
      </c>
    </row>
    <row r="291" spans="1:10" x14ac:dyDescent="0.25">
      <c r="A291" t="s">
        <v>342</v>
      </c>
      <c r="B291" t="s">
        <v>1195</v>
      </c>
      <c r="C291" t="s">
        <v>1204</v>
      </c>
      <c r="D291" t="s">
        <v>1194</v>
      </c>
      <c r="E291">
        <v>2</v>
      </c>
      <c r="F291">
        <v>150000</v>
      </c>
      <c r="G291">
        <v>0</v>
      </c>
      <c r="H291">
        <v>150000</v>
      </c>
      <c r="I291" t="s">
        <v>22</v>
      </c>
      <c r="J291" t="s">
        <v>33</v>
      </c>
    </row>
    <row r="292" spans="1:10" x14ac:dyDescent="0.25">
      <c r="A292" t="s">
        <v>343</v>
      </c>
      <c r="B292" t="s">
        <v>1192</v>
      </c>
      <c r="C292" t="s">
        <v>1193</v>
      </c>
      <c r="D292" t="s">
        <v>1194</v>
      </c>
      <c r="E292">
        <v>8</v>
      </c>
      <c r="F292">
        <v>2000000</v>
      </c>
      <c r="G292">
        <v>0</v>
      </c>
      <c r="H292">
        <v>2000000</v>
      </c>
      <c r="I292" t="s">
        <v>1359</v>
      </c>
      <c r="J292" t="s">
        <v>10</v>
      </c>
    </row>
    <row r="293" spans="1:10" x14ac:dyDescent="0.25">
      <c r="A293" t="s">
        <v>344</v>
      </c>
      <c r="B293" t="s">
        <v>1199</v>
      </c>
      <c r="C293" t="s">
        <v>1193</v>
      </c>
      <c r="D293" t="s">
        <v>1194</v>
      </c>
      <c r="E293">
        <v>3</v>
      </c>
      <c r="F293">
        <v>225000</v>
      </c>
      <c r="G293">
        <v>0</v>
      </c>
      <c r="H293">
        <v>225000</v>
      </c>
      <c r="I293" t="s">
        <v>1360</v>
      </c>
      <c r="J293" t="s">
        <v>10</v>
      </c>
    </row>
    <row r="294" spans="1:10" x14ac:dyDescent="0.25">
      <c r="A294" t="s">
        <v>345</v>
      </c>
      <c r="B294" t="s">
        <v>1206</v>
      </c>
      <c r="C294" t="s">
        <v>1193</v>
      </c>
      <c r="D294" t="s">
        <v>1213</v>
      </c>
      <c r="E294">
        <v>10</v>
      </c>
      <c r="F294">
        <v>750000</v>
      </c>
      <c r="G294">
        <v>0</v>
      </c>
      <c r="H294" t="s">
        <v>92</v>
      </c>
      <c r="I294" t="s">
        <v>203</v>
      </c>
      <c r="J294" t="s">
        <v>33</v>
      </c>
    </row>
    <row r="295" spans="1:10" x14ac:dyDescent="0.25">
      <c r="A295" t="s">
        <v>346</v>
      </c>
      <c r="B295" t="s">
        <v>1199</v>
      </c>
      <c r="C295" t="s">
        <v>1208</v>
      </c>
      <c r="D295" t="s">
        <v>1197</v>
      </c>
      <c r="E295">
        <v>6</v>
      </c>
      <c r="F295">
        <v>1500000</v>
      </c>
      <c r="G295">
        <v>10000</v>
      </c>
      <c r="H295">
        <v>1490000</v>
      </c>
      <c r="I295" t="s">
        <v>1361</v>
      </c>
      <c r="J295" t="s">
        <v>5</v>
      </c>
    </row>
    <row r="296" spans="1:10" x14ac:dyDescent="0.25">
      <c r="A296" t="s">
        <v>347</v>
      </c>
      <c r="B296" t="s">
        <v>1199</v>
      </c>
      <c r="C296" t="s">
        <v>1202</v>
      </c>
      <c r="D296" t="s">
        <v>1203</v>
      </c>
      <c r="E296">
        <v>10</v>
      </c>
      <c r="F296">
        <v>2500000</v>
      </c>
      <c r="G296">
        <v>0</v>
      </c>
      <c r="H296">
        <v>2500000</v>
      </c>
      <c r="I296" t="s">
        <v>113</v>
      </c>
      <c r="J296" t="s">
        <v>20</v>
      </c>
    </row>
    <row r="297" spans="1:10" x14ac:dyDescent="0.25">
      <c r="A297" t="s">
        <v>348</v>
      </c>
      <c r="B297" t="s">
        <v>1192</v>
      </c>
      <c r="C297" t="s">
        <v>29</v>
      </c>
      <c r="D297" t="s">
        <v>1203</v>
      </c>
      <c r="E297">
        <v>4</v>
      </c>
      <c r="F297">
        <v>480000</v>
      </c>
      <c r="G297">
        <v>0</v>
      </c>
      <c r="H297">
        <v>480000</v>
      </c>
      <c r="I297" t="s">
        <v>297</v>
      </c>
      <c r="J297" t="s">
        <v>10</v>
      </c>
    </row>
    <row r="298" spans="1:10" x14ac:dyDescent="0.25">
      <c r="A298" t="s">
        <v>349</v>
      </c>
      <c r="B298" t="s">
        <v>1206</v>
      </c>
      <c r="C298" t="s">
        <v>1200</v>
      </c>
      <c r="D298" t="s">
        <v>1203</v>
      </c>
      <c r="E298">
        <v>3</v>
      </c>
      <c r="F298">
        <v>225000</v>
      </c>
      <c r="G298">
        <v>0</v>
      </c>
      <c r="H298">
        <v>225000</v>
      </c>
      <c r="I298" t="s">
        <v>1137</v>
      </c>
      <c r="J298" t="s">
        <v>10</v>
      </c>
    </row>
    <row r="299" spans="1:10" x14ac:dyDescent="0.25">
      <c r="A299" t="s">
        <v>350</v>
      </c>
      <c r="B299" t="s">
        <v>1199</v>
      </c>
      <c r="C299" t="s">
        <v>1200</v>
      </c>
      <c r="D299" t="s">
        <v>1194</v>
      </c>
      <c r="E299">
        <v>9</v>
      </c>
      <c r="F299">
        <v>675000</v>
      </c>
      <c r="G299">
        <v>0</v>
      </c>
      <c r="H299">
        <v>675000</v>
      </c>
      <c r="I299" t="s">
        <v>1236</v>
      </c>
      <c r="J299" t="s">
        <v>33</v>
      </c>
    </row>
    <row r="300" spans="1:10" x14ac:dyDescent="0.25">
      <c r="A300" t="s">
        <v>351</v>
      </c>
      <c r="B300" t="s">
        <v>1206</v>
      </c>
      <c r="C300" t="s">
        <v>1204</v>
      </c>
      <c r="D300" t="s">
        <v>1203</v>
      </c>
      <c r="E300">
        <v>1</v>
      </c>
      <c r="F300">
        <v>185000</v>
      </c>
      <c r="G300">
        <v>0</v>
      </c>
      <c r="H300">
        <v>185000</v>
      </c>
      <c r="I300" t="s">
        <v>1362</v>
      </c>
      <c r="J300" t="s">
        <v>10</v>
      </c>
    </row>
    <row r="301" spans="1:10" x14ac:dyDescent="0.25">
      <c r="A301" t="s">
        <v>352</v>
      </c>
      <c r="B301" t="s">
        <v>1199</v>
      </c>
      <c r="C301" t="s">
        <v>1262</v>
      </c>
      <c r="D301" t="s">
        <v>1213</v>
      </c>
      <c r="E301">
        <v>6</v>
      </c>
      <c r="F301">
        <v>270000</v>
      </c>
      <c r="G301">
        <v>0</v>
      </c>
      <c r="H301" t="s">
        <v>1221</v>
      </c>
      <c r="I301" t="s">
        <v>1170</v>
      </c>
      <c r="J301" t="s">
        <v>5</v>
      </c>
    </row>
    <row r="302" spans="1:10" x14ac:dyDescent="0.25">
      <c r="A302" t="s">
        <v>353</v>
      </c>
      <c r="B302" t="s">
        <v>1251</v>
      </c>
      <c r="C302" t="s">
        <v>29</v>
      </c>
      <c r="D302" t="s">
        <v>1203</v>
      </c>
      <c r="E302">
        <v>10</v>
      </c>
      <c r="F302">
        <v>450000</v>
      </c>
      <c r="G302">
        <v>15000</v>
      </c>
      <c r="H302">
        <v>435000</v>
      </c>
      <c r="I302" t="s">
        <v>1363</v>
      </c>
      <c r="J302" t="s">
        <v>5</v>
      </c>
    </row>
    <row r="303" spans="1:10" x14ac:dyDescent="0.25">
      <c r="A303" t="s">
        <v>57</v>
      </c>
      <c r="B303" t="s">
        <v>1199</v>
      </c>
      <c r="C303" t="s">
        <v>1204</v>
      </c>
      <c r="D303" t="s">
        <v>1203</v>
      </c>
      <c r="E303">
        <v>2</v>
      </c>
      <c r="F303">
        <v>240000</v>
      </c>
      <c r="G303">
        <v>0</v>
      </c>
      <c r="H303">
        <v>240000</v>
      </c>
      <c r="I303" t="s">
        <v>354</v>
      </c>
      <c r="J303" t="s">
        <v>20</v>
      </c>
    </row>
    <row r="304" spans="1:10" x14ac:dyDescent="0.25">
      <c r="A304" t="s">
        <v>355</v>
      </c>
      <c r="B304" t="s">
        <v>1192</v>
      </c>
      <c r="C304" t="s">
        <v>1208</v>
      </c>
      <c r="D304" t="s">
        <v>1213</v>
      </c>
      <c r="E304">
        <v>5</v>
      </c>
      <c r="F304">
        <v>375000</v>
      </c>
      <c r="G304">
        <v>0</v>
      </c>
      <c r="H304">
        <v>375000</v>
      </c>
      <c r="I304" t="s">
        <v>1364</v>
      </c>
      <c r="J304" t="s">
        <v>5</v>
      </c>
    </row>
    <row r="305" spans="1:10" x14ac:dyDescent="0.25">
      <c r="A305" t="s">
        <v>356</v>
      </c>
      <c r="B305" t="s">
        <v>1206</v>
      </c>
      <c r="C305" t="s">
        <v>1193</v>
      </c>
      <c r="D305" t="s">
        <v>1194</v>
      </c>
      <c r="E305">
        <v>1</v>
      </c>
      <c r="F305">
        <v>120000</v>
      </c>
      <c r="G305">
        <v>0</v>
      </c>
      <c r="H305">
        <v>120000</v>
      </c>
      <c r="I305" t="s">
        <v>1365</v>
      </c>
      <c r="J305" t="s">
        <v>20</v>
      </c>
    </row>
    <row r="306" spans="1:10" x14ac:dyDescent="0.25">
      <c r="A306" t="s">
        <v>357</v>
      </c>
      <c r="B306" t="s">
        <v>1199</v>
      </c>
      <c r="C306" t="s">
        <v>1208</v>
      </c>
      <c r="D306" t="s">
        <v>1194</v>
      </c>
      <c r="E306">
        <v>2</v>
      </c>
      <c r="F306">
        <v>370000</v>
      </c>
      <c r="G306">
        <v>0</v>
      </c>
      <c r="H306">
        <v>370000</v>
      </c>
      <c r="I306" t="s">
        <v>1366</v>
      </c>
      <c r="J306" t="s">
        <v>20</v>
      </c>
    </row>
    <row r="307" spans="1:10" x14ac:dyDescent="0.25">
      <c r="A307" t="s">
        <v>358</v>
      </c>
      <c r="B307" t="s">
        <v>1195</v>
      </c>
      <c r="C307" t="s">
        <v>1208</v>
      </c>
      <c r="D307" t="s">
        <v>1210</v>
      </c>
      <c r="E307">
        <v>3</v>
      </c>
      <c r="F307">
        <v>135000</v>
      </c>
      <c r="G307">
        <v>0</v>
      </c>
      <c r="H307">
        <v>135000</v>
      </c>
      <c r="I307" t="s">
        <v>1332</v>
      </c>
      <c r="J307" t="s">
        <v>20</v>
      </c>
    </row>
    <row r="308" spans="1:10" x14ac:dyDescent="0.25">
      <c r="A308" t="s">
        <v>359</v>
      </c>
      <c r="B308" t="s">
        <v>1192</v>
      </c>
      <c r="C308" t="s">
        <v>1262</v>
      </c>
      <c r="D308" t="s">
        <v>1213</v>
      </c>
      <c r="E308">
        <v>5</v>
      </c>
      <c r="F308">
        <v>225000</v>
      </c>
      <c r="G308">
        <v>0</v>
      </c>
      <c r="H308">
        <v>225000</v>
      </c>
      <c r="I308" t="s">
        <v>1312</v>
      </c>
      <c r="J308" t="s">
        <v>5</v>
      </c>
    </row>
    <row r="309" spans="1:10" x14ac:dyDescent="0.25">
      <c r="A309" t="s">
        <v>360</v>
      </c>
      <c r="B309" t="s">
        <v>1206</v>
      </c>
      <c r="C309" t="s">
        <v>1219</v>
      </c>
      <c r="D309" t="s">
        <v>1213</v>
      </c>
      <c r="E309">
        <v>1</v>
      </c>
      <c r="F309">
        <v>185000</v>
      </c>
      <c r="G309">
        <v>0</v>
      </c>
      <c r="H309">
        <v>185000</v>
      </c>
      <c r="I309" t="s">
        <v>1300</v>
      </c>
      <c r="J309" t="s">
        <v>10</v>
      </c>
    </row>
    <row r="310" spans="1:10" x14ac:dyDescent="0.25">
      <c r="A310" t="s">
        <v>361</v>
      </c>
      <c r="B310" t="s">
        <v>1251</v>
      </c>
      <c r="C310" t="s">
        <v>1196</v>
      </c>
      <c r="D310" t="s">
        <v>1203</v>
      </c>
      <c r="E310">
        <v>5</v>
      </c>
      <c r="F310">
        <v>1250000</v>
      </c>
      <c r="G310">
        <v>15000</v>
      </c>
      <c r="H310">
        <v>1235000</v>
      </c>
      <c r="I310" t="s">
        <v>1294</v>
      </c>
      <c r="J310" t="s">
        <v>33</v>
      </c>
    </row>
    <row r="311" spans="1:10" x14ac:dyDescent="0.25">
      <c r="A311" t="s">
        <v>362</v>
      </c>
      <c r="B311" t="s">
        <v>1195</v>
      </c>
      <c r="C311" t="s">
        <v>1204</v>
      </c>
      <c r="D311" t="s">
        <v>1210</v>
      </c>
      <c r="E311">
        <v>4</v>
      </c>
      <c r="F311">
        <v>300000</v>
      </c>
      <c r="G311">
        <v>0</v>
      </c>
      <c r="H311">
        <v>-300000</v>
      </c>
      <c r="I311" t="s">
        <v>80</v>
      </c>
      <c r="J311" t="s">
        <v>5</v>
      </c>
    </row>
    <row r="312" spans="1:10" x14ac:dyDescent="0.25">
      <c r="A312" t="s">
        <v>363</v>
      </c>
      <c r="B312" t="s">
        <v>1195</v>
      </c>
      <c r="C312" t="s">
        <v>1204</v>
      </c>
      <c r="D312" t="s">
        <v>1203</v>
      </c>
      <c r="E312">
        <v>5</v>
      </c>
      <c r="F312">
        <v>1250000</v>
      </c>
      <c r="G312">
        <v>0</v>
      </c>
      <c r="H312">
        <v>1250000</v>
      </c>
      <c r="I312" t="s">
        <v>1276</v>
      </c>
      <c r="J312" t="s">
        <v>20</v>
      </c>
    </row>
    <row r="313" spans="1:10" x14ac:dyDescent="0.25">
      <c r="A313" t="s">
        <v>364</v>
      </c>
      <c r="B313" t="s">
        <v>1192</v>
      </c>
      <c r="C313" t="s">
        <v>1196</v>
      </c>
      <c r="D313" t="s">
        <v>1213</v>
      </c>
      <c r="E313">
        <v>10</v>
      </c>
      <c r="F313">
        <v>1200000</v>
      </c>
      <c r="G313">
        <v>15000</v>
      </c>
      <c r="H313" t="s">
        <v>92</v>
      </c>
      <c r="I313" t="s">
        <v>51</v>
      </c>
      <c r="J313" t="s">
        <v>10</v>
      </c>
    </row>
    <row r="314" spans="1:10" x14ac:dyDescent="0.25">
      <c r="A314" t="s">
        <v>365</v>
      </c>
      <c r="B314" t="s">
        <v>1195</v>
      </c>
      <c r="C314" t="s">
        <v>1200</v>
      </c>
      <c r="D314" t="s">
        <v>1197</v>
      </c>
      <c r="E314">
        <v>10</v>
      </c>
      <c r="F314">
        <v>1200000</v>
      </c>
      <c r="G314">
        <v>5000</v>
      </c>
      <c r="H314">
        <v>1195000</v>
      </c>
      <c r="I314" t="s">
        <v>1214</v>
      </c>
      <c r="J314" t="s">
        <v>33</v>
      </c>
    </row>
    <row r="315" spans="1:10" x14ac:dyDescent="0.25">
      <c r="A315" t="s">
        <v>366</v>
      </c>
      <c r="B315" t="s">
        <v>1206</v>
      </c>
      <c r="C315" t="s">
        <v>1200</v>
      </c>
      <c r="D315" t="s">
        <v>1194</v>
      </c>
      <c r="E315">
        <v>3</v>
      </c>
      <c r="F315">
        <v>135000</v>
      </c>
      <c r="G315">
        <v>10000</v>
      </c>
      <c r="H315">
        <v>125000</v>
      </c>
      <c r="I315" t="s">
        <v>76</v>
      </c>
      <c r="J315" t="s">
        <v>33</v>
      </c>
    </row>
    <row r="316" spans="1:10" x14ac:dyDescent="0.25">
      <c r="A316" t="s">
        <v>367</v>
      </c>
      <c r="B316" t="s">
        <v>1199</v>
      </c>
      <c r="C316" t="s">
        <v>1193</v>
      </c>
      <c r="D316" t="s">
        <v>1194</v>
      </c>
      <c r="E316">
        <v>7</v>
      </c>
      <c r="F316">
        <v>1750000</v>
      </c>
      <c r="G316">
        <v>0</v>
      </c>
      <c r="H316">
        <v>1750000</v>
      </c>
      <c r="I316" t="s">
        <v>1367</v>
      </c>
      <c r="J316" t="s">
        <v>20</v>
      </c>
    </row>
    <row r="317" spans="1:10" x14ac:dyDescent="0.25">
      <c r="A317" t="s">
        <v>368</v>
      </c>
      <c r="B317" t="s">
        <v>1192</v>
      </c>
      <c r="C317" t="s">
        <v>1226</v>
      </c>
      <c r="D317" t="s">
        <v>1210</v>
      </c>
      <c r="E317">
        <v>1</v>
      </c>
      <c r="F317">
        <v>75000</v>
      </c>
      <c r="G317">
        <v>0</v>
      </c>
      <c r="H317">
        <v>75000</v>
      </c>
      <c r="I317" t="s">
        <v>1368</v>
      </c>
      <c r="J317" t="s">
        <v>10</v>
      </c>
    </row>
    <row r="318" spans="1:10" x14ac:dyDescent="0.25">
      <c r="A318" t="s">
        <v>369</v>
      </c>
      <c r="B318" t="s">
        <v>1206</v>
      </c>
      <c r="C318" t="s">
        <v>1262</v>
      </c>
      <c r="D318" t="s">
        <v>1203</v>
      </c>
      <c r="E318">
        <v>2</v>
      </c>
      <c r="F318">
        <v>240000</v>
      </c>
      <c r="G318">
        <v>0</v>
      </c>
      <c r="H318">
        <v>240000</v>
      </c>
      <c r="I318" t="s">
        <v>300</v>
      </c>
      <c r="J318" t="s">
        <v>5</v>
      </c>
    </row>
    <row r="319" spans="1:10" x14ac:dyDescent="0.25">
      <c r="A319" t="s">
        <v>370</v>
      </c>
      <c r="B319" t="s">
        <v>1195</v>
      </c>
      <c r="C319" t="s">
        <v>1196</v>
      </c>
      <c r="D319" t="s">
        <v>1213</v>
      </c>
      <c r="E319">
        <v>2</v>
      </c>
      <c r="F319">
        <v>240000</v>
      </c>
      <c r="G319">
        <v>0</v>
      </c>
      <c r="H319">
        <v>240000</v>
      </c>
      <c r="I319" t="s">
        <v>1214</v>
      </c>
      <c r="J319" t="s">
        <v>5</v>
      </c>
    </row>
    <row r="320" spans="1:10" x14ac:dyDescent="0.25">
      <c r="A320" t="s">
        <v>371</v>
      </c>
      <c r="B320" t="s">
        <v>1199</v>
      </c>
      <c r="C320" t="s">
        <v>1262</v>
      </c>
      <c r="D320" t="s">
        <v>1210</v>
      </c>
      <c r="E320">
        <v>3</v>
      </c>
      <c r="F320">
        <v>750000</v>
      </c>
      <c r="G320">
        <v>0</v>
      </c>
      <c r="H320">
        <v>750000</v>
      </c>
      <c r="I320" t="s">
        <v>1369</v>
      </c>
      <c r="J320" t="s">
        <v>20</v>
      </c>
    </row>
    <row r="321" spans="1:10" x14ac:dyDescent="0.25">
      <c r="A321" t="s">
        <v>372</v>
      </c>
      <c r="B321" t="s">
        <v>1199</v>
      </c>
      <c r="C321" t="s">
        <v>1208</v>
      </c>
      <c r="D321" t="s">
        <v>1210</v>
      </c>
      <c r="E321">
        <v>2</v>
      </c>
      <c r="F321">
        <v>370000</v>
      </c>
      <c r="G321">
        <v>0</v>
      </c>
      <c r="H321" t="s">
        <v>92</v>
      </c>
      <c r="I321" t="s">
        <v>138</v>
      </c>
      <c r="J321" t="s">
        <v>10</v>
      </c>
    </row>
    <row r="322" spans="1:10" x14ac:dyDescent="0.25">
      <c r="A322" t="s">
        <v>373</v>
      </c>
      <c r="B322" t="s">
        <v>1199</v>
      </c>
      <c r="C322" t="s">
        <v>1226</v>
      </c>
      <c r="D322" t="s">
        <v>1197</v>
      </c>
      <c r="E322">
        <v>6</v>
      </c>
      <c r="F322">
        <v>1110000</v>
      </c>
      <c r="G322">
        <v>15000</v>
      </c>
      <c r="H322">
        <v>1095000</v>
      </c>
      <c r="I322" t="s">
        <v>1338</v>
      </c>
      <c r="J322" t="s">
        <v>10</v>
      </c>
    </row>
    <row r="323" spans="1:10" x14ac:dyDescent="0.25">
      <c r="A323" t="s">
        <v>374</v>
      </c>
      <c r="B323" t="s">
        <v>1225</v>
      </c>
      <c r="C323" t="s">
        <v>1196</v>
      </c>
      <c r="D323" t="s">
        <v>1210</v>
      </c>
      <c r="E323">
        <v>5</v>
      </c>
      <c r="F323">
        <v>375000</v>
      </c>
      <c r="G323">
        <v>0</v>
      </c>
      <c r="H323">
        <v>375000</v>
      </c>
      <c r="I323" t="s">
        <v>375</v>
      </c>
      <c r="J323" t="s">
        <v>10</v>
      </c>
    </row>
    <row r="324" spans="1:10" x14ac:dyDescent="0.25">
      <c r="A324" t="s">
        <v>376</v>
      </c>
      <c r="B324" t="s">
        <v>1192</v>
      </c>
      <c r="C324" t="s">
        <v>1200</v>
      </c>
      <c r="D324" t="s">
        <v>1197</v>
      </c>
      <c r="E324">
        <v>4</v>
      </c>
      <c r="F324">
        <v>480000</v>
      </c>
      <c r="G324">
        <v>15000</v>
      </c>
      <c r="H324">
        <v>465000</v>
      </c>
      <c r="I324" t="s">
        <v>1370</v>
      </c>
      <c r="J324" t="s">
        <v>10</v>
      </c>
    </row>
    <row r="325" spans="1:10" x14ac:dyDescent="0.25">
      <c r="A325" t="s">
        <v>377</v>
      </c>
      <c r="B325" t="s">
        <v>1195</v>
      </c>
      <c r="C325" t="s">
        <v>1208</v>
      </c>
      <c r="D325" t="s">
        <v>1210</v>
      </c>
      <c r="E325">
        <v>9</v>
      </c>
      <c r="F325">
        <v>1080000</v>
      </c>
      <c r="G325">
        <v>0</v>
      </c>
      <c r="H325">
        <v>1080000</v>
      </c>
      <c r="I325" t="s">
        <v>1371</v>
      </c>
      <c r="J325" t="s">
        <v>10</v>
      </c>
    </row>
    <row r="326" spans="1:10" x14ac:dyDescent="0.25">
      <c r="A326" t="s">
        <v>45</v>
      </c>
      <c r="B326" t="s">
        <v>1199</v>
      </c>
      <c r="C326" t="s">
        <v>29</v>
      </c>
      <c r="D326" t="s">
        <v>1213</v>
      </c>
      <c r="E326">
        <v>6</v>
      </c>
      <c r="F326">
        <v>720000</v>
      </c>
      <c r="G326">
        <v>5000</v>
      </c>
      <c r="H326">
        <v>715000</v>
      </c>
      <c r="I326" t="s">
        <v>378</v>
      </c>
      <c r="J326" t="s">
        <v>33</v>
      </c>
    </row>
    <row r="327" spans="1:10" x14ac:dyDescent="0.25">
      <c r="B327" t="s">
        <v>1199</v>
      </c>
      <c r="C327" t="s">
        <v>29</v>
      </c>
      <c r="D327" t="s">
        <v>1203</v>
      </c>
      <c r="E327">
        <v>9</v>
      </c>
      <c r="F327">
        <v>675000</v>
      </c>
      <c r="G327">
        <v>0</v>
      </c>
      <c r="H327">
        <v>675000</v>
      </c>
      <c r="I327" t="s">
        <v>300</v>
      </c>
      <c r="J327" t="s">
        <v>33</v>
      </c>
    </row>
    <row r="328" spans="1:10" x14ac:dyDescent="0.25">
      <c r="A328" t="s">
        <v>379</v>
      </c>
      <c r="B328" t="s">
        <v>1192</v>
      </c>
      <c r="C328" t="s">
        <v>1208</v>
      </c>
      <c r="D328" t="s">
        <v>1213</v>
      </c>
      <c r="E328">
        <v>4</v>
      </c>
      <c r="F328">
        <v>1000000</v>
      </c>
      <c r="G328">
        <v>0</v>
      </c>
      <c r="H328">
        <v>1000000</v>
      </c>
      <c r="I328" t="s">
        <v>1154</v>
      </c>
      <c r="J328" t="s">
        <v>20</v>
      </c>
    </row>
    <row r="329" spans="1:10" x14ac:dyDescent="0.25">
      <c r="A329" t="s">
        <v>380</v>
      </c>
      <c r="B329" t="s">
        <v>1239</v>
      </c>
      <c r="C329" t="s">
        <v>1204</v>
      </c>
      <c r="D329" t="s">
        <v>1194</v>
      </c>
      <c r="E329">
        <v>2</v>
      </c>
      <c r="F329">
        <v>150000</v>
      </c>
      <c r="G329">
        <v>15000</v>
      </c>
      <c r="H329">
        <v>135000</v>
      </c>
      <c r="I329" t="s">
        <v>1305</v>
      </c>
      <c r="J329" t="s">
        <v>5</v>
      </c>
    </row>
    <row r="330" spans="1:10" x14ac:dyDescent="0.25">
      <c r="A330" t="s">
        <v>381</v>
      </c>
      <c r="B330" t="s">
        <v>1192</v>
      </c>
      <c r="C330" t="s">
        <v>1204</v>
      </c>
      <c r="D330" t="s">
        <v>1197</v>
      </c>
      <c r="E330">
        <v>7</v>
      </c>
      <c r="F330">
        <v>315000</v>
      </c>
      <c r="G330">
        <v>0</v>
      </c>
      <c r="H330">
        <v>315000</v>
      </c>
      <c r="I330" t="s">
        <v>1372</v>
      </c>
      <c r="J330" t="s">
        <v>33</v>
      </c>
    </row>
    <row r="331" spans="1:10" x14ac:dyDescent="0.25">
      <c r="A331" t="s">
        <v>382</v>
      </c>
      <c r="B331" t="s">
        <v>1251</v>
      </c>
      <c r="C331" t="s">
        <v>1193</v>
      </c>
      <c r="D331" t="s">
        <v>1213</v>
      </c>
      <c r="E331">
        <v>2</v>
      </c>
      <c r="F331">
        <v>90000</v>
      </c>
      <c r="G331">
        <v>0</v>
      </c>
      <c r="H331">
        <v>90000</v>
      </c>
      <c r="I331" t="s">
        <v>1323</v>
      </c>
      <c r="J331" t="s">
        <v>20</v>
      </c>
    </row>
    <row r="332" spans="1:10" x14ac:dyDescent="0.25">
      <c r="A332" t="s">
        <v>383</v>
      </c>
      <c r="B332" t="s">
        <v>1206</v>
      </c>
      <c r="C332" t="s">
        <v>29</v>
      </c>
      <c r="D332" t="s">
        <v>1210</v>
      </c>
      <c r="E332">
        <v>10</v>
      </c>
      <c r="F332">
        <v>2500000</v>
      </c>
      <c r="G332">
        <v>0</v>
      </c>
      <c r="H332">
        <v>2500000</v>
      </c>
      <c r="I332" t="s">
        <v>1139</v>
      </c>
      <c r="J332" t="s">
        <v>5</v>
      </c>
    </row>
    <row r="333" spans="1:10" x14ac:dyDescent="0.25">
      <c r="A333" t="s">
        <v>384</v>
      </c>
      <c r="B333" t="s">
        <v>1192</v>
      </c>
      <c r="C333" t="s">
        <v>1200</v>
      </c>
      <c r="D333" t="s">
        <v>1194</v>
      </c>
      <c r="E333">
        <v>2</v>
      </c>
      <c r="F333">
        <v>90000</v>
      </c>
      <c r="G333">
        <v>0</v>
      </c>
      <c r="H333">
        <v>90000</v>
      </c>
      <c r="I333" t="s">
        <v>1257</v>
      </c>
      <c r="J333" t="s">
        <v>10</v>
      </c>
    </row>
    <row r="334" spans="1:10" x14ac:dyDescent="0.25">
      <c r="A334" t="s">
        <v>385</v>
      </c>
      <c r="B334" t="s">
        <v>1195</v>
      </c>
      <c r="C334" t="s">
        <v>1196</v>
      </c>
      <c r="D334" t="s">
        <v>1194</v>
      </c>
      <c r="E334">
        <v>5</v>
      </c>
      <c r="F334">
        <v>375000</v>
      </c>
      <c r="G334">
        <v>0</v>
      </c>
      <c r="H334">
        <v>375000</v>
      </c>
      <c r="I334" t="s">
        <v>1325</v>
      </c>
      <c r="J334" t="s">
        <v>20</v>
      </c>
    </row>
    <row r="335" spans="1:10" x14ac:dyDescent="0.25">
      <c r="A335" t="s">
        <v>386</v>
      </c>
      <c r="B335" t="s">
        <v>1195</v>
      </c>
      <c r="C335" t="s">
        <v>1196</v>
      </c>
      <c r="D335" t="s">
        <v>1203</v>
      </c>
      <c r="E335">
        <v>1</v>
      </c>
      <c r="F335">
        <v>250000</v>
      </c>
      <c r="G335">
        <v>0</v>
      </c>
      <c r="H335">
        <v>250000</v>
      </c>
      <c r="I335" t="s">
        <v>1280</v>
      </c>
      <c r="J335" t="s">
        <v>33</v>
      </c>
    </row>
    <row r="336" spans="1:10" x14ac:dyDescent="0.25">
      <c r="A336" t="s">
        <v>387</v>
      </c>
      <c r="B336" t="s">
        <v>1192</v>
      </c>
      <c r="C336" t="s">
        <v>1196</v>
      </c>
      <c r="D336" t="s">
        <v>1197</v>
      </c>
      <c r="E336">
        <v>6</v>
      </c>
      <c r="F336">
        <v>1500000</v>
      </c>
      <c r="G336">
        <v>0</v>
      </c>
      <c r="H336">
        <v>1500000</v>
      </c>
      <c r="I336" t="s">
        <v>1142</v>
      </c>
      <c r="J336" t="s">
        <v>33</v>
      </c>
    </row>
    <row r="337" spans="1:10" x14ac:dyDescent="0.25">
      <c r="A337" t="s">
        <v>388</v>
      </c>
      <c r="B337" t="s">
        <v>1195</v>
      </c>
      <c r="C337" t="s">
        <v>29</v>
      </c>
      <c r="D337" t="s">
        <v>1194</v>
      </c>
      <c r="E337">
        <v>2</v>
      </c>
      <c r="F337">
        <v>370000</v>
      </c>
      <c r="G337">
        <v>0</v>
      </c>
      <c r="H337" t="s">
        <v>1373</v>
      </c>
      <c r="I337" t="s">
        <v>1218</v>
      </c>
      <c r="J337" t="s">
        <v>33</v>
      </c>
    </row>
    <row r="338" spans="1:10" x14ac:dyDescent="0.25">
      <c r="A338" t="s">
        <v>389</v>
      </c>
      <c r="B338" t="s">
        <v>1192</v>
      </c>
      <c r="C338" t="s">
        <v>1200</v>
      </c>
      <c r="D338" t="s">
        <v>1213</v>
      </c>
      <c r="E338">
        <v>9</v>
      </c>
      <c r="F338">
        <v>405000</v>
      </c>
      <c r="G338">
        <v>0</v>
      </c>
      <c r="H338">
        <v>-405000</v>
      </c>
      <c r="I338" t="s">
        <v>1135</v>
      </c>
      <c r="J338" t="s">
        <v>20</v>
      </c>
    </row>
    <row r="339" spans="1:10" x14ac:dyDescent="0.25">
      <c r="A339" t="s">
        <v>390</v>
      </c>
      <c r="B339" t="s">
        <v>1206</v>
      </c>
      <c r="C339" t="s">
        <v>1193</v>
      </c>
      <c r="D339" t="s">
        <v>1197</v>
      </c>
      <c r="E339">
        <v>2</v>
      </c>
      <c r="F339">
        <v>150000</v>
      </c>
      <c r="G339">
        <v>0</v>
      </c>
      <c r="H339">
        <v>150000</v>
      </c>
      <c r="I339" t="s">
        <v>391</v>
      </c>
      <c r="J339" t="s">
        <v>5</v>
      </c>
    </row>
    <row r="340" spans="1:10" x14ac:dyDescent="0.25">
      <c r="A340" t="s">
        <v>392</v>
      </c>
      <c r="B340" t="s">
        <v>1206</v>
      </c>
      <c r="C340" t="s">
        <v>1193</v>
      </c>
      <c r="D340" t="s">
        <v>1194</v>
      </c>
      <c r="E340">
        <v>4</v>
      </c>
      <c r="F340">
        <v>1000000</v>
      </c>
      <c r="G340">
        <v>0</v>
      </c>
      <c r="H340">
        <v>1000000</v>
      </c>
      <c r="I340" t="s">
        <v>1325</v>
      </c>
      <c r="J340" t="s">
        <v>33</v>
      </c>
    </row>
    <row r="341" spans="1:10" x14ac:dyDescent="0.25">
      <c r="A341" t="s">
        <v>393</v>
      </c>
      <c r="B341" t="s">
        <v>1192</v>
      </c>
      <c r="C341" t="s">
        <v>1208</v>
      </c>
      <c r="D341" t="s">
        <v>1197</v>
      </c>
      <c r="E341">
        <v>1</v>
      </c>
      <c r="F341">
        <v>185000</v>
      </c>
      <c r="G341">
        <v>0</v>
      </c>
      <c r="H341">
        <v>185000</v>
      </c>
      <c r="I341" t="s">
        <v>84</v>
      </c>
      <c r="J341" t="s">
        <v>10</v>
      </c>
    </row>
    <row r="342" spans="1:10" x14ac:dyDescent="0.25">
      <c r="A342" t="s">
        <v>394</v>
      </c>
      <c r="B342" t="s">
        <v>1199</v>
      </c>
      <c r="C342" t="s">
        <v>1196</v>
      </c>
      <c r="D342" t="s">
        <v>1203</v>
      </c>
      <c r="E342">
        <v>6</v>
      </c>
      <c r="F342">
        <v>1110000</v>
      </c>
      <c r="G342">
        <v>0</v>
      </c>
      <c r="H342" t="s">
        <v>1374</v>
      </c>
      <c r="I342" t="s">
        <v>22</v>
      </c>
      <c r="J342" t="s">
        <v>33</v>
      </c>
    </row>
    <row r="343" spans="1:10" x14ac:dyDescent="0.25">
      <c r="A343" t="s">
        <v>395</v>
      </c>
      <c r="B343" t="s">
        <v>1195</v>
      </c>
      <c r="C343" t="s">
        <v>29</v>
      </c>
      <c r="D343" t="s">
        <v>1213</v>
      </c>
      <c r="E343">
        <v>3</v>
      </c>
      <c r="F343">
        <v>750000</v>
      </c>
      <c r="G343">
        <v>0</v>
      </c>
      <c r="H343">
        <v>750000</v>
      </c>
      <c r="I343" t="s">
        <v>1375</v>
      </c>
      <c r="J343" t="s">
        <v>33</v>
      </c>
    </row>
    <row r="344" spans="1:10" x14ac:dyDescent="0.25">
      <c r="A344" t="s">
        <v>396</v>
      </c>
      <c r="B344" t="s">
        <v>1199</v>
      </c>
      <c r="C344" t="s">
        <v>1200</v>
      </c>
      <c r="D344" t="s">
        <v>1213</v>
      </c>
      <c r="E344">
        <v>2</v>
      </c>
      <c r="F344">
        <v>500000</v>
      </c>
      <c r="G344">
        <v>0</v>
      </c>
      <c r="H344">
        <v>500000</v>
      </c>
      <c r="I344" t="s">
        <v>1328</v>
      </c>
      <c r="J344" t="s">
        <v>33</v>
      </c>
    </row>
    <row r="345" spans="1:10" x14ac:dyDescent="0.25">
      <c r="A345" t="s">
        <v>397</v>
      </c>
      <c r="B345" t="s">
        <v>1195</v>
      </c>
      <c r="C345" t="s">
        <v>1196</v>
      </c>
      <c r="D345" t="s">
        <v>1210</v>
      </c>
      <c r="E345">
        <v>1</v>
      </c>
      <c r="F345">
        <v>250000</v>
      </c>
      <c r="G345">
        <v>0</v>
      </c>
      <c r="H345">
        <v>250000</v>
      </c>
      <c r="I345" t="s">
        <v>1355</v>
      </c>
      <c r="J345" t="s">
        <v>10</v>
      </c>
    </row>
    <row r="346" spans="1:10" x14ac:dyDescent="0.25">
      <c r="A346" t="s">
        <v>398</v>
      </c>
      <c r="B346" t="s">
        <v>1206</v>
      </c>
      <c r="C346" t="s">
        <v>1208</v>
      </c>
      <c r="D346" t="s">
        <v>1197</v>
      </c>
      <c r="E346">
        <v>5</v>
      </c>
      <c r="F346">
        <v>375000</v>
      </c>
      <c r="G346">
        <v>0</v>
      </c>
      <c r="H346">
        <v>375000</v>
      </c>
      <c r="I346" t="s">
        <v>84</v>
      </c>
      <c r="J346" t="s">
        <v>10</v>
      </c>
    </row>
    <row r="347" spans="1:10" x14ac:dyDescent="0.25">
      <c r="A347" t="s">
        <v>399</v>
      </c>
      <c r="B347" t="s">
        <v>1192</v>
      </c>
      <c r="C347" t="s">
        <v>29</v>
      </c>
      <c r="D347" t="s">
        <v>1197</v>
      </c>
      <c r="E347">
        <v>6</v>
      </c>
      <c r="F347">
        <v>270000</v>
      </c>
      <c r="G347">
        <v>0</v>
      </c>
      <c r="H347">
        <v>270000</v>
      </c>
      <c r="I347" t="s">
        <v>1330</v>
      </c>
      <c r="J347" t="s">
        <v>10</v>
      </c>
    </row>
    <row r="348" spans="1:10" x14ac:dyDescent="0.25">
      <c r="A348" t="s">
        <v>400</v>
      </c>
      <c r="B348" t="s">
        <v>1192</v>
      </c>
      <c r="C348" t="s">
        <v>1208</v>
      </c>
      <c r="D348" t="s">
        <v>1197</v>
      </c>
      <c r="E348">
        <v>3</v>
      </c>
      <c r="F348">
        <v>555000</v>
      </c>
      <c r="G348">
        <v>0</v>
      </c>
      <c r="H348">
        <v>555000</v>
      </c>
      <c r="I348" t="s">
        <v>1376</v>
      </c>
      <c r="J348" t="s">
        <v>33</v>
      </c>
    </row>
    <row r="349" spans="1:10" x14ac:dyDescent="0.25">
      <c r="A349" t="s">
        <v>401</v>
      </c>
      <c r="B349" t="s">
        <v>1195</v>
      </c>
      <c r="C349" t="s">
        <v>1200</v>
      </c>
      <c r="D349" t="s">
        <v>1194</v>
      </c>
      <c r="E349">
        <v>5</v>
      </c>
      <c r="F349">
        <v>225000</v>
      </c>
      <c r="G349">
        <v>0</v>
      </c>
      <c r="H349">
        <v>225000</v>
      </c>
      <c r="I349" t="s">
        <v>402</v>
      </c>
      <c r="J349" t="s">
        <v>5</v>
      </c>
    </row>
    <row r="350" spans="1:10" x14ac:dyDescent="0.25">
      <c r="A350" t="s">
        <v>403</v>
      </c>
      <c r="B350" t="s">
        <v>1195</v>
      </c>
      <c r="C350" t="s">
        <v>1193</v>
      </c>
      <c r="D350" t="s">
        <v>1210</v>
      </c>
      <c r="E350">
        <v>8</v>
      </c>
      <c r="F350">
        <v>600000</v>
      </c>
      <c r="G350">
        <v>0</v>
      </c>
      <c r="H350">
        <v>600000</v>
      </c>
      <c r="I350" t="s">
        <v>300</v>
      </c>
      <c r="J350" t="s">
        <v>20</v>
      </c>
    </row>
    <row r="351" spans="1:10" x14ac:dyDescent="0.25">
      <c r="A351" t="s">
        <v>404</v>
      </c>
      <c r="B351" t="s">
        <v>1199</v>
      </c>
      <c r="C351" t="s">
        <v>1200</v>
      </c>
      <c r="D351" t="s">
        <v>1203</v>
      </c>
      <c r="E351">
        <v>10</v>
      </c>
      <c r="F351">
        <v>750000</v>
      </c>
      <c r="G351">
        <v>5000</v>
      </c>
      <c r="H351">
        <v>745000</v>
      </c>
      <c r="I351" t="s">
        <v>1363</v>
      </c>
      <c r="J351" t="s">
        <v>20</v>
      </c>
    </row>
    <row r="352" spans="1:10" x14ac:dyDescent="0.25">
      <c r="A352" t="s">
        <v>405</v>
      </c>
      <c r="B352" t="s">
        <v>1192</v>
      </c>
      <c r="C352" t="s">
        <v>1200</v>
      </c>
      <c r="D352" t="s">
        <v>1197</v>
      </c>
      <c r="E352">
        <v>6</v>
      </c>
      <c r="F352">
        <v>720000</v>
      </c>
      <c r="G352">
        <v>0</v>
      </c>
      <c r="H352">
        <v>720000</v>
      </c>
      <c r="I352" t="s">
        <v>1150</v>
      </c>
      <c r="J352" t="s">
        <v>20</v>
      </c>
    </row>
    <row r="353" spans="1:10" x14ac:dyDescent="0.25">
      <c r="A353" t="s">
        <v>406</v>
      </c>
      <c r="B353" t="s">
        <v>1192</v>
      </c>
      <c r="C353" t="s">
        <v>29</v>
      </c>
      <c r="D353" t="s">
        <v>1203</v>
      </c>
      <c r="E353">
        <v>4</v>
      </c>
      <c r="F353">
        <v>1000000</v>
      </c>
      <c r="G353">
        <v>0</v>
      </c>
      <c r="H353">
        <v>1000000</v>
      </c>
      <c r="I353" t="s">
        <v>1281</v>
      </c>
      <c r="J353" t="s">
        <v>33</v>
      </c>
    </row>
    <row r="354" spans="1:10" x14ac:dyDescent="0.25">
      <c r="A354" t="s">
        <v>407</v>
      </c>
      <c r="B354" t="s">
        <v>1199</v>
      </c>
      <c r="C354" t="s">
        <v>1200</v>
      </c>
      <c r="D354" t="s">
        <v>1197</v>
      </c>
      <c r="E354">
        <v>1</v>
      </c>
      <c r="F354">
        <v>75000</v>
      </c>
      <c r="G354">
        <v>0</v>
      </c>
      <c r="H354">
        <v>75000</v>
      </c>
      <c r="I354" t="s">
        <v>1330</v>
      </c>
      <c r="J354" t="s">
        <v>33</v>
      </c>
    </row>
    <row r="355" spans="1:10" x14ac:dyDescent="0.25">
      <c r="A355" t="s">
        <v>408</v>
      </c>
      <c r="B355" t="s">
        <v>1192</v>
      </c>
      <c r="C355" t="s">
        <v>29</v>
      </c>
      <c r="D355" t="s">
        <v>1210</v>
      </c>
      <c r="E355">
        <v>8</v>
      </c>
      <c r="F355">
        <v>2000000</v>
      </c>
      <c r="G355">
        <v>0</v>
      </c>
      <c r="H355" t="s">
        <v>1377</v>
      </c>
      <c r="I355" t="s">
        <v>1378</v>
      </c>
      <c r="J355" t="s">
        <v>33</v>
      </c>
    </row>
    <row r="356" spans="1:10" x14ac:dyDescent="0.25">
      <c r="A356" t="s">
        <v>409</v>
      </c>
      <c r="B356" t="s">
        <v>1199</v>
      </c>
      <c r="C356" t="s">
        <v>1200</v>
      </c>
      <c r="D356" t="s">
        <v>1213</v>
      </c>
      <c r="E356">
        <v>9</v>
      </c>
      <c r="F356">
        <v>1080000</v>
      </c>
      <c r="G356">
        <v>0</v>
      </c>
      <c r="H356">
        <v>1080000</v>
      </c>
      <c r="I356" t="s">
        <v>1159</v>
      </c>
      <c r="J356" t="s">
        <v>5</v>
      </c>
    </row>
    <row r="357" spans="1:10" x14ac:dyDescent="0.25">
      <c r="A357" t="s">
        <v>410</v>
      </c>
      <c r="B357" t="s">
        <v>1206</v>
      </c>
      <c r="C357" t="s">
        <v>1193</v>
      </c>
      <c r="D357" t="s">
        <v>1197</v>
      </c>
      <c r="E357">
        <v>1</v>
      </c>
      <c r="F357">
        <v>250000</v>
      </c>
      <c r="G357">
        <v>0</v>
      </c>
      <c r="H357">
        <v>-250000</v>
      </c>
      <c r="I357" t="s">
        <v>1137</v>
      </c>
      <c r="J357" t="s">
        <v>10</v>
      </c>
    </row>
    <row r="358" spans="1:10" x14ac:dyDescent="0.25">
      <c r="A358" t="s">
        <v>411</v>
      </c>
      <c r="B358" t="s">
        <v>1199</v>
      </c>
      <c r="C358" t="s">
        <v>1208</v>
      </c>
      <c r="D358" t="s">
        <v>1194</v>
      </c>
      <c r="E358">
        <v>8</v>
      </c>
      <c r="F358">
        <v>2000000</v>
      </c>
      <c r="G358">
        <v>0</v>
      </c>
      <c r="H358">
        <v>2000000</v>
      </c>
      <c r="I358" t="s">
        <v>412</v>
      </c>
      <c r="J358" t="s">
        <v>33</v>
      </c>
    </row>
    <row r="359" spans="1:10" x14ac:dyDescent="0.25">
      <c r="A359" t="s">
        <v>413</v>
      </c>
      <c r="B359" t="s">
        <v>1195</v>
      </c>
      <c r="C359" t="s">
        <v>1204</v>
      </c>
      <c r="D359" t="s">
        <v>1203</v>
      </c>
      <c r="E359">
        <v>4</v>
      </c>
      <c r="F359">
        <v>480000</v>
      </c>
      <c r="G359">
        <v>0</v>
      </c>
      <c r="H359">
        <v>480000</v>
      </c>
      <c r="I359" t="s">
        <v>414</v>
      </c>
      <c r="J359" t="s">
        <v>5</v>
      </c>
    </row>
    <row r="360" spans="1:10" x14ac:dyDescent="0.25">
      <c r="A360" t="s">
        <v>415</v>
      </c>
      <c r="B360" t="s">
        <v>1192</v>
      </c>
      <c r="C360" t="s">
        <v>1196</v>
      </c>
      <c r="D360" t="s">
        <v>1197</v>
      </c>
      <c r="E360">
        <v>8</v>
      </c>
      <c r="F360">
        <v>360000</v>
      </c>
      <c r="G360">
        <v>0</v>
      </c>
      <c r="H360">
        <v>360000</v>
      </c>
      <c r="I360" t="s">
        <v>1222</v>
      </c>
      <c r="J360" t="s">
        <v>5</v>
      </c>
    </row>
    <row r="361" spans="1:10" x14ac:dyDescent="0.25">
      <c r="A361" t="s">
        <v>416</v>
      </c>
      <c r="B361" t="s">
        <v>1199</v>
      </c>
      <c r="C361" t="s">
        <v>29</v>
      </c>
      <c r="D361" t="s">
        <v>1203</v>
      </c>
      <c r="E361">
        <v>1</v>
      </c>
      <c r="F361">
        <v>75000</v>
      </c>
      <c r="G361">
        <v>10000</v>
      </c>
      <c r="H361">
        <v>-65000</v>
      </c>
      <c r="I361" t="s">
        <v>22</v>
      </c>
      <c r="J361" t="s">
        <v>10</v>
      </c>
    </row>
    <row r="362" spans="1:10" x14ac:dyDescent="0.25">
      <c r="A362" t="s">
        <v>417</v>
      </c>
      <c r="B362" t="s">
        <v>1206</v>
      </c>
      <c r="C362" t="s">
        <v>1193</v>
      </c>
      <c r="D362" t="s">
        <v>1194</v>
      </c>
      <c r="E362">
        <v>2</v>
      </c>
      <c r="F362">
        <v>90000</v>
      </c>
      <c r="G362">
        <v>0</v>
      </c>
      <c r="H362">
        <v>90000</v>
      </c>
      <c r="I362" t="s">
        <v>1236</v>
      </c>
      <c r="J362" t="s">
        <v>33</v>
      </c>
    </row>
    <row r="363" spans="1:10" x14ac:dyDescent="0.25">
      <c r="A363" t="s">
        <v>418</v>
      </c>
      <c r="B363" t="s">
        <v>1195</v>
      </c>
      <c r="C363" t="s">
        <v>1193</v>
      </c>
      <c r="D363" t="s">
        <v>1210</v>
      </c>
      <c r="E363">
        <v>1</v>
      </c>
      <c r="F363">
        <v>185000</v>
      </c>
      <c r="G363">
        <v>0</v>
      </c>
      <c r="H363">
        <v>185000</v>
      </c>
      <c r="I363" t="s">
        <v>267</v>
      </c>
      <c r="J363" t="s">
        <v>10</v>
      </c>
    </row>
    <row r="364" spans="1:10" x14ac:dyDescent="0.25">
      <c r="A364" t="s">
        <v>419</v>
      </c>
      <c r="B364" t="s">
        <v>1239</v>
      </c>
      <c r="C364" t="s">
        <v>1193</v>
      </c>
      <c r="D364" t="s">
        <v>1210</v>
      </c>
      <c r="E364">
        <v>8</v>
      </c>
      <c r="F364">
        <v>960000</v>
      </c>
      <c r="G364">
        <v>0</v>
      </c>
      <c r="H364">
        <v>960000</v>
      </c>
      <c r="I364" t="s">
        <v>1379</v>
      </c>
      <c r="J364" t="s">
        <v>5</v>
      </c>
    </row>
    <row r="365" spans="1:10" x14ac:dyDescent="0.25">
      <c r="A365" t="s">
        <v>420</v>
      </c>
      <c r="B365" t="s">
        <v>1192</v>
      </c>
      <c r="C365" t="s">
        <v>29</v>
      </c>
      <c r="D365" t="s">
        <v>1213</v>
      </c>
      <c r="E365">
        <v>5</v>
      </c>
      <c r="F365">
        <v>600000</v>
      </c>
      <c r="G365">
        <v>0</v>
      </c>
      <c r="H365">
        <v>600000</v>
      </c>
      <c r="I365" t="s">
        <v>22</v>
      </c>
      <c r="J365" t="s">
        <v>33</v>
      </c>
    </row>
    <row r="366" spans="1:10" x14ac:dyDescent="0.25">
      <c r="A366" t="s">
        <v>421</v>
      </c>
      <c r="B366" t="s">
        <v>1206</v>
      </c>
      <c r="C366" t="s">
        <v>1208</v>
      </c>
      <c r="D366" t="s">
        <v>1203</v>
      </c>
      <c r="E366">
        <v>9</v>
      </c>
      <c r="F366">
        <v>405000</v>
      </c>
      <c r="G366">
        <v>0</v>
      </c>
      <c r="H366">
        <v>405000</v>
      </c>
      <c r="I366" t="s">
        <v>43</v>
      </c>
      <c r="J366" t="s">
        <v>33</v>
      </c>
    </row>
    <row r="367" spans="1:10" x14ac:dyDescent="0.25">
      <c r="A367" t="s">
        <v>422</v>
      </c>
      <c r="B367" t="s">
        <v>1195</v>
      </c>
      <c r="C367" t="s">
        <v>29</v>
      </c>
      <c r="D367" t="s">
        <v>1203</v>
      </c>
      <c r="E367">
        <v>1</v>
      </c>
      <c r="F367">
        <v>45000</v>
      </c>
      <c r="G367">
        <v>0</v>
      </c>
      <c r="H367">
        <v>-45000</v>
      </c>
      <c r="I367" t="s">
        <v>1139</v>
      </c>
      <c r="J367" t="s">
        <v>33</v>
      </c>
    </row>
    <row r="368" spans="1:10" x14ac:dyDescent="0.25">
      <c r="A368" t="s">
        <v>423</v>
      </c>
      <c r="B368" t="s">
        <v>1192</v>
      </c>
      <c r="C368" t="s">
        <v>1208</v>
      </c>
      <c r="D368" t="s">
        <v>1203</v>
      </c>
      <c r="E368">
        <v>1</v>
      </c>
      <c r="F368">
        <v>185000</v>
      </c>
      <c r="G368">
        <v>15000</v>
      </c>
      <c r="H368">
        <v>170000</v>
      </c>
      <c r="I368" t="s">
        <v>1380</v>
      </c>
      <c r="J368" t="s">
        <v>20</v>
      </c>
    </row>
    <row r="369" spans="1:10" x14ac:dyDescent="0.25">
      <c r="A369" t="s">
        <v>424</v>
      </c>
      <c r="B369" t="s">
        <v>1206</v>
      </c>
      <c r="C369" t="s">
        <v>1204</v>
      </c>
      <c r="D369" t="s">
        <v>1213</v>
      </c>
      <c r="E369">
        <v>7</v>
      </c>
      <c r="F369">
        <v>1295000</v>
      </c>
      <c r="G369">
        <v>15000</v>
      </c>
      <c r="H369" t="s">
        <v>1381</v>
      </c>
      <c r="I369" t="s">
        <v>73</v>
      </c>
      <c r="J369" t="s">
        <v>5</v>
      </c>
    </row>
    <row r="370" spans="1:10" x14ac:dyDescent="0.25">
      <c r="A370" t="s">
        <v>425</v>
      </c>
      <c r="B370" t="s">
        <v>1206</v>
      </c>
      <c r="C370" t="s">
        <v>1208</v>
      </c>
      <c r="D370" t="s">
        <v>1203</v>
      </c>
      <c r="E370">
        <v>6</v>
      </c>
      <c r="F370">
        <v>1500000</v>
      </c>
      <c r="G370">
        <v>0</v>
      </c>
      <c r="H370">
        <v>1500000</v>
      </c>
      <c r="I370" t="s">
        <v>1295</v>
      </c>
      <c r="J370" t="s">
        <v>5</v>
      </c>
    </row>
    <row r="371" spans="1:10" x14ac:dyDescent="0.25">
      <c r="A371" t="s">
        <v>426</v>
      </c>
      <c r="B371" t="s">
        <v>1199</v>
      </c>
      <c r="C371" t="s">
        <v>29</v>
      </c>
      <c r="D371" t="s">
        <v>1213</v>
      </c>
      <c r="E371">
        <v>9</v>
      </c>
      <c r="F371">
        <v>1080000</v>
      </c>
      <c r="G371">
        <v>0</v>
      </c>
      <c r="H371">
        <v>1080000</v>
      </c>
      <c r="I371" t="s">
        <v>1325</v>
      </c>
      <c r="J371" t="s">
        <v>33</v>
      </c>
    </row>
    <row r="372" spans="1:10" x14ac:dyDescent="0.25">
      <c r="A372" t="s">
        <v>427</v>
      </c>
      <c r="B372" t="s">
        <v>1199</v>
      </c>
      <c r="C372" t="s">
        <v>1219</v>
      </c>
      <c r="D372" t="s">
        <v>1197</v>
      </c>
      <c r="E372">
        <v>5</v>
      </c>
      <c r="F372">
        <v>1250000</v>
      </c>
      <c r="G372">
        <v>0</v>
      </c>
      <c r="H372">
        <v>1250000</v>
      </c>
      <c r="I372" t="s">
        <v>22</v>
      </c>
      <c r="J372" t="s">
        <v>20</v>
      </c>
    </row>
    <row r="373" spans="1:10" x14ac:dyDescent="0.25">
      <c r="A373" t="s">
        <v>428</v>
      </c>
      <c r="B373" t="s">
        <v>1199</v>
      </c>
      <c r="C373" t="s">
        <v>1208</v>
      </c>
      <c r="D373" t="s">
        <v>1210</v>
      </c>
      <c r="E373">
        <v>2</v>
      </c>
      <c r="F373">
        <v>500000</v>
      </c>
      <c r="G373">
        <v>0</v>
      </c>
      <c r="H373">
        <v>500000</v>
      </c>
      <c r="I373" t="s">
        <v>331</v>
      </c>
      <c r="J373" t="s">
        <v>20</v>
      </c>
    </row>
    <row r="374" spans="1:10" x14ac:dyDescent="0.25">
      <c r="A374" t="s">
        <v>429</v>
      </c>
      <c r="B374" t="s">
        <v>1192</v>
      </c>
      <c r="C374" t="s">
        <v>29</v>
      </c>
      <c r="D374" t="s">
        <v>1194</v>
      </c>
      <c r="E374">
        <v>4</v>
      </c>
      <c r="F374">
        <v>480000</v>
      </c>
      <c r="G374">
        <v>0</v>
      </c>
      <c r="H374">
        <v>480000</v>
      </c>
      <c r="I374" t="s">
        <v>263</v>
      </c>
      <c r="J374" t="s">
        <v>33</v>
      </c>
    </row>
    <row r="375" spans="1:10" x14ac:dyDescent="0.25">
      <c r="A375" t="s">
        <v>430</v>
      </c>
      <c r="B375" t="s">
        <v>1195</v>
      </c>
      <c r="C375" t="s">
        <v>1196</v>
      </c>
      <c r="D375" t="s">
        <v>1203</v>
      </c>
      <c r="E375">
        <v>3</v>
      </c>
      <c r="F375">
        <v>225000</v>
      </c>
      <c r="G375">
        <v>0</v>
      </c>
      <c r="H375">
        <v>225000</v>
      </c>
      <c r="I375" t="s">
        <v>1382</v>
      </c>
      <c r="J375" t="s">
        <v>10</v>
      </c>
    </row>
    <row r="376" spans="1:10" x14ac:dyDescent="0.25">
      <c r="A376" t="s">
        <v>431</v>
      </c>
      <c r="B376" t="s">
        <v>1192</v>
      </c>
      <c r="C376" t="s">
        <v>29</v>
      </c>
      <c r="D376" t="s">
        <v>1210</v>
      </c>
      <c r="E376">
        <v>5</v>
      </c>
      <c r="F376">
        <v>375000</v>
      </c>
      <c r="G376">
        <v>0</v>
      </c>
      <c r="H376">
        <v>375000</v>
      </c>
      <c r="I376" t="s">
        <v>1263</v>
      </c>
      <c r="J376" t="s">
        <v>10</v>
      </c>
    </row>
    <row r="377" spans="1:10" x14ac:dyDescent="0.25">
      <c r="A377" t="s">
        <v>432</v>
      </c>
      <c r="B377" t="s">
        <v>1195</v>
      </c>
      <c r="C377" t="s">
        <v>1196</v>
      </c>
      <c r="D377" t="s">
        <v>1203</v>
      </c>
      <c r="E377">
        <v>4</v>
      </c>
      <c r="F377">
        <v>300000</v>
      </c>
      <c r="G377">
        <v>5000</v>
      </c>
      <c r="H377">
        <v>295000</v>
      </c>
      <c r="I377" t="s">
        <v>1168</v>
      </c>
      <c r="J377" t="s">
        <v>5</v>
      </c>
    </row>
    <row r="378" spans="1:10" x14ac:dyDescent="0.25">
      <c r="A378" t="s">
        <v>433</v>
      </c>
      <c r="B378" t="s">
        <v>1192</v>
      </c>
      <c r="C378" t="s">
        <v>1196</v>
      </c>
      <c r="D378" t="s">
        <v>1210</v>
      </c>
      <c r="E378">
        <v>7</v>
      </c>
      <c r="F378">
        <v>840000</v>
      </c>
      <c r="G378">
        <v>0</v>
      </c>
      <c r="H378">
        <v>840000</v>
      </c>
      <c r="I378" t="s">
        <v>1383</v>
      </c>
      <c r="J378" t="s">
        <v>5</v>
      </c>
    </row>
    <row r="379" spans="1:10" x14ac:dyDescent="0.25">
      <c r="A379" t="s">
        <v>434</v>
      </c>
      <c r="B379" t="s">
        <v>1195</v>
      </c>
      <c r="C379" t="s">
        <v>1196</v>
      </c>
      <c r="D379" t="s">
        <v>1194</v>
      </c>
      <c r="E379">
        <v>3</v>
      </c>
      <c r="F379">
        <v>225000</v>
      </c>
      <c r="G379">
        <v>15000</v>
      </c>
      <c r="H379">
        <v>210000</v>
      </c>
      <c r="I379" t="s">
        <v>14</v>
      </c>
      <c r="J379" t="s">
        <v>20</v>
      </c>
    </row>
    <row r="380" spans="1:10" x14ac:dyDescent="0.25">
      <c r="A380" t="s">
        <v>435</v>
      </c>
      <c r="B380" t="s">
        <v>1199</v>
      </c>
      <c r="C380" t="s">
        <v>1200</v>
      </c>
      <c r="D380" t="s">
        <v>1213</v>
      </c>
      <c r="E380">
        <v>7</v>
      </c>
      <c r="F380">
        <v>840000</v>
      </c>
      <c r="G380">
        <v>5000</v>
      </c>
      <c r="H380">
        <v>835000</v>
      </c>
      <c r="I380" t="s">
        <v>1384</v>
      </c>
      <c r="J380" t="s">
        <v>10</v>
      </c>
    </row>
    <row r="381" spans="1:10" x14ac:dyDescent="0.25">
      <c r="A381" t="s">
        <v>49</v>
      </c>
      <c r="B381" t="s">
        <v>1206</v>
      </c>
      <c r="C381" t="s">
        <v>29</v>
      </c>
      <c r="D381" t="s">
        <v>1210</v>
      </c>
      <c r="E381">
        <v>7</v>
      </c>
      <c r="F381">
        <v>525000</v>
      </c>
      <c r="G381">
        <v>0</v>
      </c>
      <c r="H381">
        <v>525000</v>
      </c>
      <c r="I381" t="s">
        <v>132</v>
      </c>
      <c r="J381" t="s">
        <v>5</v>
      </c>
    </row>
    <row r="382" spans="1:10" x14ac:dyDescent="0.25">
      <c r="A382" t="s">
        <v>436</v>
      </c>
      <c r="B382" t="s">
        <v>1206</v>
      </c>
      <c r="C382" t="s">
        <v>29</v>
      </c>
      <c r="D382" t="s">
        <v>1194</v>
      </c>
      <c r="E382">
        <v>8</v>
      </c>
      <c r="F382">
        <v>1480000</v>
      </c>
      <c r="G382">
        <v>0</v>
      </c>
      <c r="H382">
        <v>1480000</v>
      </c>
      <c r="I382" t="s">
        <v>1339</v>
      </c>
      <c r="J382" t="s">
        <v>5</v>
      </c>
    </row>
    <row r="383" spans="1:10" x14ac:dyDescent="0.25">
      <c r="A383" t="s">
        <v>437</v>
      </c>
      <c r="B383" t="s">
        <v>1206</v>
      </c>
      <c r="C383" t="s">
        <v>1200</v>
      </c>
      <c r="D383" t="s">
        <v>1213</v>
      </c>
      <c r="E383">
        <v>3</v>
      </c>
      <c r="F383">
        <v>555000</v>
      </c>
      <c r="G383">
        <v>0</v>
      </c>
      <c r="H383">
        <v>555000</v>
      </c>
      <c r="I383" t="s">
        <v>1385</v>
      </c>
      <c r="J383" t="s">
        <v>5</v>
      </c>
    </row>
    <row r="384" spans="1:10" x14ac:dyDescent="0.25">
      <c r="A384" t="s">
        <v>438</v>
      </c>
      <c r="B384" t="s">
        <v>1206</v>
      </c>
      <c r="C384" t="s">
        <v>1204</v>
      </c>
      <c r="D384" t="s">
        <v>1213</v>
      </c>
      <c r="E384">
        <v>5</v>
      </c>
      <c r="F384">
        <v>1250000</v>
      </c>
      <c r="G384">
        <v>5000</v>
      </c>
      <c r="H384">
        <v>1245000</v>
      </c>
      <c r="I384" t="s">
        <v>402</v>
      </c>
      <c r="J384" t="s">
        <v>20</v>
      </c>
    </row>
    <row r="385" spans="1:10" x14ac:dyDescent="0.25">
      <c r="A385" t="s">
        <v>439</v>
      </c>
      <c r="B385" t="s">
        <v>1206</v>
      </c>
      <c r="C385" t="s">
        <v>29</v>
      </c>
      <c r="D385" t="s">
        <v>1203</v>
      </c>
      <c r="E385">
        <v>3</v>
      </c>
      <c r="F385">
        <v>360000</v>
      </c>
      <c r="G385">
        <v>5000</v>
      </c>
      <c r="H385">
        <v>355000</v>
      </c>
      <c r="I385" t="s">
        <v>1209</v>
      </c>
      <c r="J385" t="s">
        <v>33</v>
      </c>
    </row>
    <row r="386" spans="1:10" x14ac:dyDescent="0.25">
      <c r="A386" t="s">
        <v>440</v>
      </c>
      <c r="B386" t="s">
        <v>1199</v>
      </c>
      <c r="C386" t="s">
        <v>1193</v>
      </c>
      <c r="D386" t="s">
        <v>1203</v>
      </c>
      <c r="E386">
        <v>5</v>
      </c>
      <c r="F386">
        <v>1250000</v>
      </c>
      <c r="G386">
        <v>0</v>
      </c>
      <c r="H386">
        <v>1250000</v>
      </c>
      <c r="I386" t="s">
        <v>1156</v>
      </c>
      <c r="J386" t="s">
        <v>5</v>
      </c>
    </row>
    <row r="387" spans="1:10" x14ac:dyDescent="0.25">
      <c r="A387" t="s">
        <v>441</v>
      </c>
      <c r="B387" t="s">
        <v>1251</v>
      </c>
      <c r="C387" t="s">
        <v>1208</v>
      </c>
      <c r="D387" t="s">
        <v>1203</v>
      </c>
      <c r="E387">
        <v>8</v>
      </c>
      <c r="F387">
        <v>360000</v>
      </c>
      <c r="G387">
        <v>5000</v>
      </c>
      <c r="H387">
        <v>355000</v>
      </c>
      <c r="I387" t="s">
        <v>1294</v>
      </c>
      <c r="J387" t="s">
        <v>20</v>
      </c>
    </row>
    <row r="388" spans="1:10" x14ac:dyDescent="0.25">
      <c r="A388" t="s">
        <v>442</v>
      </c>
      <c r="B388" t="s">
        <v>1195</v>
      </c>
      <c r="C388" t="s">
        <v>1196</v>
      </c>
      <c r="D388" t="s">
        <v>1197</v>
      </c>
      <c r="E388">
        <v>10</v>
      </c>
      <c r="F388">
        <v>2500000</v>
      </c>
      <c r="G388">
        <v>0</v>
      </c>
      <c r="H388">
        <v>2500000</v>
      </c>
      <c r="I388" t="s">
        <v>1386</v>
      </c>
      <c r="J388" t="s">
        <v>10</v>
      </c>
    </row>
    <row r="389" spans="1:10" x14ac:dyDescent="0.25">
      <c r="A389" t="s">
        <v>443</v>
      </c>
      <c r="B389" t="s">
        <v>1206</v>
      </c>
      <c r="C389" t="s">
        <v>1196</v>
      </c>
      <c r="D389" t="s">
        <v>1203</v>
      </c>
      <c r="E389">
        <v>7</v>
      </c>
      <c r="F389">
        <v>525000</v>
      </c>
      <c r="G389">
        <v>0</v>
      </c>
      <c r="H389">
        <v>525000</v>
      </c>
      <c r="I389" t="s">
        <v>1255</v>
      </c>
      <c r="J389" t="s">
        <v>20</v>
      </c>
    </row>
    <row r="390" spans="1:10" x14ac:dyDescent="0.25">
      <c r="A390" t="s">
        <v>444</v>
      </c>
      <c r="B390" t="s">
        <v>1206</v>
      </c>
      <c r="C390" t="s">
        <v>1193</v>
      </c>
      <c r="D390" t="s">
        <v>1197</v>
      </c>
      <c r="E390">
        <v>7</v>
      </c>
      <c r="F390">
        <v>1750000</v>
      </c>
      <c r="G390">
        <v>0</v>
      </c>
      <c r="H390">
        <v>1750000</v>
      </c>
      <c r="I390" t="s">
        <v>1290</v>
      </c>
      <c r="J390" t="s">
        <v>20</v>
      </c>
    </row>
    <row r="391" spans="1:10" x14ac:dyDescent="0.25">
      <c r="A391" t="s">
        <v>445</v>
      </c>
      <c r="B391" t="s">
        <v>1192</v>
      </c>
      <c r="C391" t="s">
        <v>1196</v>
      </c>
      <c r="D391" t="s">
        <v>1210</v>
      </c>
      <c r="E391">
        <v>7</v>
      </c>
      <c r="F391">
        <v>1295000</v>
      </c>
      <c r="G391">
        <v>0</v>
      </c>
      <c r="H391" t="s">
        <v>1387</v>
      </c>
      <c r="I391" t="s">
        <v>1334</v>
      </c>
      <c r="J391" t="s">
        <v>33</v>
      </c>
    </row>
    <row r="392" spans="1:10" x14ac:dyDescent="0.25">
      <c r="A392" t="s">
        <v>446</v>
      </c>
      <c r="B392" t="s">
        <v>1195</v>
      </c>
      <c r="C392" t="s">
        <v>1200</v>
      </c>
      <c r="D392" t="s">
        <v>1194</v>
      </c>
      <c r="E392">
        <v>4</v>
      </c>
      <c r="F392">
        <v>1000000</v>
      </c>
      <c r="G392">
        <v>0</v>
      </c>
      <c r="H392">
        <v>1000000</v>
      </c>
      <c r="I392" t="s">
        <v>1371</v>
      </c>
      <c r="J392" t="s">
        <v>10</v>
      </c>
    </row>
    <row r="393" spans="1:10" x14ac:dyDescent="0.25">
      <c r="A393" t="s">
        <v>447</v>
      </c>
      <c r="B393" t="s">
        <v>1192</v>
      </c>
      <c r="C393" t="s">
        <v>1208</v>
      </c>
      <c r="D393" t="s">
        <v>1194</v>
      </c>
      <c r="E393">
        <v>10</v>
      </c>
      <c r="F393">
        <v>1850000</v>
      </c>
      <c r="G393">
        <v>0</v>
      </c>
      <c r="H393" t="s">
        <v>1388</v>
      </c>
      <c r="I393" t="s">
        <v>1375</v>
      </c>
      <c r="J393" t="s">
        <v>5</v>
      </c>
    </row>
    <row r="394" spans="1:10" x14ac:dyDescent="0.25">
      <c r="A394" t="s">
        <v>448</v>
      </c>
      <c r="B394" t="s">
        <v>1206</v>
      </c>
      <c r="C394" t="s">
        <v>1200</v>
      </c>
      <c r="D394" t="s">
        <v>1194</v>
      </c>
      <c r="E394">
        <v>9</v>
      </c>
      <c r="F394">
        <v>2250000</v>
      </c>
      <c r="G394">
        <v>0</v>
      </c>
      <c r="H394">
        <v>2250000</v>
      </c>
      <c r="I394" t="s">
        <v>1174</v>
      </c>
      <c r="J394" t="s">
        <v>20</v>
      </c>
    </row>
    <row r="395" spans="1:10" x14ac:dyDescent="0.25">
      <c r="A395" t="s">
        <v>449</v>
      </c>
      <c r="B395" t="s">
        <v>1199</v>
      </c>
      <c r="C395" t="s">
        <v>1208</v>
      </c>
      <c r="D395" t="s">
        <v>1213</v>
      </c>
      <c r="E395">
        <v>3</v>
      </c>
      <c r="F395">
        <v>225000</v>
      </c>
      <c r="G395">
        <v>5000</v>
      </c>
      <c r="H395">
        <v>220000</v>
      </c>
      <c r="I395" t="s">
        <v>238</v>
      </c>
      <c r="J395" t="s">
        <v>10</v>
      </c>
    </row>
    <row r="396" spans="1:10" x14ac:dyDescent="0.25">
      <c r="A396" t="s">
        <v>450</v>
      </c>
      <c r="B396" t="s">
        <v>1199</v>
      </c>
      <c r="C396" t="s">
        <v>1262</v>
      </c>
      <c r="D396" t="s">
        <v>1197</v>
      </c>
      <c r="E396">
        <v>4</v>
      </c>
      <c r="F396">
        <v>300000</v>
      </c>
      <c r="G396">
        <v>10000</v>
      </c>
      <c r="H396" t="s">
        <v>1389</v>
      </c>
      <c r="I396" t="s">
        <v>1267</v>
      </c>
      <c r="J396" t="s">
        <v>20</v>
      </c>
    </row>
    <row r="397" spans="1:10" x14ac:dyDescent="0.25">
      <c r="A397" t="s">
        <v>451</v>
      </c>
      <c r="B397" t="s">
        <v>1206</v>
      </c>
      <c r="C397" t="s">
        <v>1285</v>
      </c>
      <c r="D397" t="s">
        <v>1203</v>
      </c>
      <c r="E397">
        <v>8</v>
      </c>
      <c r="F397">
        <v>1480000</v>
      </c>
      <c r="G397">
        <v>5000</v>
      </c>
      <c r="H397" t="s">
        <v>1390</v>
      </c>
      <c r="I397" t="s">
        <v>1270</v>
      </c>
      <c r="J397" t="s">
        <v>5</v>
      </c>
    </row>
    <row r="398" spans="1:10" x14ac:dyDescent="0.25">
      <c r="A398" t="s">
        <v>452</v>
      </c>
      <c r="B398" t="s">
        <v>1239</v>
      </c>
      <c r="C398" t="s">
        <v>1204</v>
      </c>
      <c r="D398" t="s">
        <v>1210</v>
      </c>
      <c r="E398">
        <v>9</v>
      </c>
      <c r="F398">
        <v>405000</v>
      </c>
      <c r="G398">
        <v>0</v>
      </c>
      <c r="H398">
        <v>405000</v>
      </c>
      <c r="I398" t="s">
        <v>1391</v>
      </c>
      <c r="J398" t="s">
        <v>10</v>
      </c>
    </row>
    <row r="399" spans="1:10" x14ac:dyDescent="0.25">
      <c r="A399" t="s">
        <v>453</v>
      </c>
      <c r="B399" t="s">
        <v>1195</v>
      </c>
      <c r="C399" t="s">
        <v>1226</v>
      </c>
      <c r="D399" t="s">
        <v>1210</v>
      </c>
      <c r="E399">
        <v>7</v>
      </c>
      <c r="F399">
        <v>1750000</v>
      </c>
      <c r="G399">
        <v>0</v>
      </c>
      <c r="H399">
        <v>1750000</v>
      </c>
      <c r="I399" t="s">
        <v>1259</v>
      </c>
      <c r="J399" t="s">
        <v>20</v>
      </c>
    </row>
    <row r="400" spans="1:10" x14ac:dyDescent="0.25">
      <c r="A400" t="s">
        <v>454</v>
      </c>
      <c r="B400" t="s">
        <v>1199</v>
      </c>
      <c r="C400" t="s">
        <v>1204</v>
      </c>
      <c r="D400" t="s">
        <v>1210</v>
      </c>
      <c r="E400">
        <v>7</v>
      </c>
      <c r="F400">
        <v>525000</v>
      </c>
      <c r="G400">
        <v>0</v>
      </c>
      <c r="H400">
        <v>-525000</v>
      </c>
      <c r="I400" t="s">
        <v>1140</v>
      </c>
      <c r="J400" t="s">
        <v>20</v>
      </c>
    </row>
    <row r="401" spans="1:10" x14ac:dyDescent="0.25">
      <c r="A401" t="s">
        <v>455</v>
      </c>
      <c r="B401" t="s">
        <v>1199</v>
      </c>
      <c r="C401" t="s">
        <v>1200</v>
      </c>
      <c r="D401" t="s">
        <v>1194</v>
      </c>
      <c r="E401">
        <v>6</v>
      </c>
      <c r="F401">
        <v>720000</v>
      </c>
      <c r="G401">
        <v>0</v>
      </c>
      <c r="H401">
        <v>720000</v>
      </c>
      <c r="I401" t="s">
        <v>1392</v>
      </c>
      <c r="J401" t="s">
        <v>5</v>
      </c>
    </row>
    <row r="402" spans="1:10" x14ac:dyDescent="0.25">
      <c r="A402" t="s">
        <v>456</v>
      </c>
      <c r="B402" t="s">
        <v>1199</v>
      </c>
      <c r="C402" t="s">
        <v>1200</v>
      </c>
      <c r="D402" t="s">
        <v>1203</v>
      </c>
      <c r="E402">
        <v>3</v>
      </c>
      <c r="F402">
        <v>750000</v>
      </c>
      <c r="G402">
        <v>15000</v>
      </c>
      <c r="H402">
        <v>735000</v>
      </c>
      <c r="I402" t="s">
        <v>1393</v>
      </c>
      <c r="J402" t="s">
        <v>10</v>
      </c>
    </row>
    <row r="403" spans="1:10" x14ac:dyDescent="0.25">
      <c r="A403" t="s">
        <v>457</v>
      </c>
      <c r="B403" t="s">
        <v>1206</v>
      </c>
      <c r="C403" t="s">
        <v>1196</v>
      </c>
      <c r="D403" t="s">
        <v>1194</v>
      </c>
      <c r="E403">
        <v>4</v>
      </c>
      <c r="F403">
        <v>480000</v>
      </c>
      <c r="G403">
        <v>0</v>
      </c>
      <c r="H403">
        <v>480000</v>
      </c>
      <c r="I403" t="s">
        <v>1273</v>
      </c>
      <c r="J403" t="s">
        <v>10</v>
      </c>
    </row>
    <row r="404" spans="1:10" x14ac:dyDescent="0.25">
      <c r="A404" t="s">
        <v>458</v>
      </c>
      <c r="B404" t="s">
        <v>1206</v>
      </c>
      <c r="C404" t="s">
        <v>1200</v>
      </c>
      <c r="D404" t="s">
        <v>1197</v>
      </c>
      <c r="E404">
        <v>10</v>
      </c>
      <c r="F404">
        <v>1850000</v>
      </c>
      <c r="G404">
        <v>0</v>
      </c>
      <c r="H404">
        <v>1850000</v>
      </c>
      <c r="I404" t="s">
        <v>1394</v>
      </c>
      <c r="J404" t="s">
        <v>20</v>
      </c>
    </row>
    <row r="405" spans="1:10" x14ac:dyDescent="0.25">
      <c r="A405" t="s">
        <v>459</v>
      </c>
      <c r="B405" t="s">
        <v>1199</v>
      </c>
      <c r="C405" t="s">
        <v>1200</v>
      </c>
      <c r="D405" t="s">
        <v>1203</v>
      </c>
      <c r="E405">
        <v>1</v>
      </c>
      <c r="F405">
        <v>250000</v>
      </c>
      <c r="G405">
        <v>0</v>
      </c>
      <c r="H405">
        <v>250000</v>
      </c>
      <c r="I405" t="s">
        <v>1371</v>
      </c>
      <c r="J405" t="s">
        <v>5</v>
      </c>
    </row>
    <row r="406" spans="1:10" x14ac:dyDescent="0.25">
      <c r="A406" t="s">
        <v>460</v>
      </c>
      <c r="B406" t="s">
        <v>1199</v>
      </c>
      <c r="C406" t="s">
        <v>1193</v>
      </c>
      <c r="D406" t="s">
        <v>1194</v>
      </c>
      <c r="E406">
        <v>4</v>
      </c>
      <c r="F406">
        <v>480000</v>
      </c>
      <c r="G406">
        <v>0</v>
      </c>
      <c r="H406">
        <v>480000</v>
      </c>
      <c r="I406" t="s">
        <v>1332</v>
      </c>
      <c r="J406" t="s">
        <v>10</v>
      </c>
    </row>
    <row r="407" spans="1:10" x14ac:dyDescent="0.25">
      <c r="A407" t="s">
        <v>461</v>
      </c>
      <c r="B407" t="s">
        <v>1195</v>
      </c>
      <c r="C407" t="s">
        <v>1200</v>
      </c>
      <c r="D407" t="s">
        <v>1213</v>
      </c>
      <c r="E407">
        <v>3</v>
      </c>
      <c r="F407">
        <v>750000</v>
      </c>
      <c r="G407">
        <v>0</v>
      </c>
      <c r="H407">
        <v>750000</v>
      </c>
      <c r="I407" t="s">
        <v>261</v>
      </c>
      <c r="J407" t="s">
        <v>10</v>
      </c>
    </row>
    <row r="408" spans="1:10" x14ac:dyDescent="0.25">
      <c r="A408" t="s">
        <v>462</v>
      </c>
      <c r="B408" t="s">
        <v>1192</v>
      </c>
      <c r="C408" t="s">
        <v>1208</v>
      </c>
      <c r="D408" t="s">
        <v>1197</v>
      </c>
      <c r="E408">
        <v>10</v>
      </c>
      <c r="F408">
        <v>1850000</v>
      </c>
      <c r="G408">
        <v>15000</v>
      </c>
      <c r="H408">
        <v>1835000</v>
      </c>
      <c r="I408" t="s">
        <v>1395</v>
      </c>
      <c r="J408" t="s">
        <v>20</v>
      </c>
    </row>
    <row r="409" spans="1:10" x14ac:dyDescent="0.25">
      <c r="A409" t="s">
        <v>463</v>
      </c>
      <c r="B409" t="s">
        <v>1195</v>
      </c>
      <c r="C409" t="s">
        <v>29</v>
      </c>
      <c r="D409" t="s">
        <v>1213</v>
      </c>
      <c r="E409">
        <v>9</v>
      </c>
      <c r="F409">
        <v>675000</v>
      </c>
      <c r="G409">
        <v>0</v>
      </c>
      <c r="H409">
        <v>675000</v>
      </c>
      <c r="I409" t="s">
        <v>464</v>
      </c>
      <c r="J409" t="s">
        <v>20</v>
      </c>
    </row>
    <row r="410" spans="1:10" x14ac:dyDescent="0.25">
      <c r="A410" t="s">
        <v>465</v>
      </c>
      <c r="B410" t="s">
        <v>1206</v>
      </c>
      <c r="C410" t="s">
        <v>1196</v>
      </c>
      <c r="D410" t="s">
        <v>1203</v>
      </c>
      <c r="E410">
        <v>8</v>
      </c>
      <c r="F410">
        <v>960000</v>
      </c>
      <c r="G410">
        <v>0</v>
      </c>
      <c r="H410">
        <v>-960000</v>
      </c>
      <c r="I410" t="s">
        <v>1142</v>
      </c>
      <c r="J410" t="s">
        <v>33</v>
      </c>
    </row>
    <row r="411" spans="1:10" x14ac:dyDescent="0.25">
      <c r="A411" t="s">
        <v>466</v>
      </c>
      <c r="B411" t="s">
        <v>1206</v>
      </c>
      <c r="C411" t="s">
        <v>1196</v>
      </c>
      <c r="D411" t="s">
        <v>1213</v>
      </c>
      <c r="E411">
        <v>3</v>
      </c>
      <c r="F411">
        <v>750000</v>
      </c>
      <c r="G411">
        <v>0</v>
      </c>
      <c r="H411">
        <v>750000</v>
      </c>
      <c r="I411" t="s">
        <v>1396</v>
      </c>
      <c r="J411" t="s">
        <v>5</v>
      </c>
    </row>
    <row r="412" spans="1:10" x14ac:dyDescent="0.25">
      <c r="A412" t="s">
        <v>467</v>
      </c>
      <c r="B412" t="s">
        <v>1206</v>
      </c>
      <c r="C412" t="s">
        <v>29</v>
      </c>
      <c r="D412" t="s">
        <v>1194</v>
      </c>
      <c r="E412">
        <v>4</v>
      </c>
      <c r="F412">
        <v>480000</v>
      </c>
      <c r="G412">
        <v>10000</v>
      </c>
      <c r="H412" t="s">
        <v>1397</v>
      </c>
      <c r="I412" t="s">
        <v>1214</v>
      </c>
      <c r="J412" t="s">
        <v>5</v>
      </c>
    </row>
    <row r="413" spans="1:10" x14ac:dyDescent="0.25">
      <c r="A413" t="s">
        <v>468</v>
      </c>
      <c r="B413" t="s">
        <v>1230</v>
      </c>
      <c r="C413" t="s">
        <v>1200</v>
      </c>
      <c r="D413" t="s">
        <v>1197</v>
      </c>
      <c r="E413">
        <v>8</v>
      </c>
      <c r="F413">
        <v>360000</v>
      </c>
      <c r="G413">
        <v>0</v>
      </c>
      <c r="H413">
        <v>360000</v>
      </c>
      <c r="I413" t="s">
        <v>1257</v>
      </c>
      <c r="J413" t="s">
        <v>10</v>
      </c>
    </row>
    <row r="414" spans="1:10" x14ac:dyDescent="0.25">
      <c r="A414" t="s">
        <v>469</v>
      </c>
      <c r="B414" t="s">
        <v>1230</v>
      </c>
      <c r="C414" t="s">
        <v>1200</v>
      </c>
      <c r="D414" t="s">
        <v>1213</v>
      </c>
      <c r="E414">
        <v>4</v>
      </c>
      <c r="F414">
        <v>300000</v>
      </c>
      <c r="G414">
        <v>5000</v>
      </c>
      <c r="H414">
        <v>295000</v>
      </c>
      <c r="I414" t="s">
        <v>1398</v>
      </c>
      <c r="J414" t="s">
        <v>10</v>
      </c>
    </row>
    <row r="415" spans="1:10" x14ac:dyDescent="0.25">
      <c r="A415" t="s">
        <v>470</v>
      </c>
      <c r="B415" t="s">
        <v>1195</v>
      </c>
      <c r="C415" t="s">
        <v>1200</v>
      </c>
      <c r="D415" t="s">
        <v>1210</v>
      </c>
      <c r="E415">
        <v>5</v>
      </c>
      <c r="F415">
        <v>375000</v>
      </c>
      <c r="G415">
        <v>15000</v>
      </c>
      <c r="H415">
        <v>360000</v>
      </c>
      <c r="I415" t="s">
        <v>1305</v>
      </c>
      <c r="J415" t="s">
        <v>20</v>
      </c>
    </row>
    <row r="416" spans="1:10" x14ac:dyDescent="0.25">
      <c r="A416" t="s">
        <v>471</v>
      </c>
      <c r="B416" t="s">
        <v>1192</v>
      </c>
      <c r="C416" t="s">
        <v>1196</v>
      </c>
      <c r="D416" t="s">
        <v>1197</v>
      </c>
      <c r="E416">
        <v>2</v>
      </c>
      <c r="F416">
        <v>150000</v>
      </c>
      <c r="G416">
        <v>0</v>
      </c>
      <c r="H416">
        <v>150000</v>
      </c>
      <c r="I416" t="s">
        <v>1166</v>
      </c>
      <c r="J416" t="s">
        <v>10</v>
      </c>
    </row>
    <row r="417" spans="1:10" x14ac:dyDescent="0.25">
      <c r="A417" t="s">
        <v>472</v>
      </c>
      <c r="B417" t="s">
        <v>1192</v>
      </c>
      <c r="C417" t="s">
        <v>1196</v>
      </c>
      <c r="D417" t="s">
        <v>1213</v>
      </c>
      <c r="E417">
        <v>1</v>
      </c>
      <c r="F417">
        <v>120000</v>
      </c>
      <c r="G417">
        <v>0</v>
      </c>
      <c r="H417">
        <v>-120000</v>
      </c>
      <c r="I417" t="s">
        <v>138</v>
      </c>
      <c r="J417" t="s">
        <v>33</v>
      </c>
    </row>
    <row r="418" spans="1:10" x14ac:dyDescent="0.25">
      <c r="A418" t="s">
        <v>473</v>
      </c>
      <c r="B418" t="s">
        <v>1195</v>
      </c>
      <c r="C418" t="s">
        <v>1193</v>
      </c>
      <c r="D418" t="s">
        <v>1213</v>
      </c>
      <c r="E418">
        <v>8</v>
      </c>
      <c r="F418">
        <v>960000</v>
      </c>
      <c r="G418">
        <v>0</v>
      </c>
      <c r="H418">
        <v>960000</v>
      </c>
      <c r="I418" t="s">
        <v>391</v>
      </c>
      <c r="J418" t="s">
        <v>10</v>
      </c>
    </row>
    <row r="419" spans="1:10" x14ac:dyDescent="0.25">
      <c r="A419" t="s">
        <v>474</v>
      </c>
      <c r="B419" t="s">
        <v>1192</v>
      </c>
      <c r="C419" t="s">
        <v>1285</v>
      </c>
      <c r="D419" t="s">
        <v>1210</v>
      </c>
      <c r="E419">
        <v>3</v>
      </c>
      <c r="F419">
        <v>750000</v>
      </c>
      <c r="G419">
        <v>0</v>
      </c>
      <c r="H419">
        <v>750000</v>
      </c>
      <c r="I419" t="s">
        <v>1142</v>
      </c>
      <c r="J419" t="s">
        <v>5</v>
      </c>
    </row>
    <row r="420" spans="1:10" x14ac:dyDescent="0.25">
      <c r="A420" t="s">
        <v>475</v>
      </c>
      <c r="B420" t="s">
        <v>1206</v>
      </c>
      <c r="C420" t="s">
        <v>29</v>
      </c>
      <c r="D420" t="s">
        <v>1213</v>
      </c>
      <c r="E420">
        <v>8</v>
      </c>
      <c r="F420">
        <v>2000000</v>
      </c>
      <c r="G420">
        <v>0</v>
      </c>
      <c r="H420">
        <v>2000000</v>
      </c>
      <c r="I420" t="s">
        <v>1159</v>
      </c>
      <c r="J420" t="s">
        <v>20</v>
      </c>
    </row>
    <row r="421" spans="1:10" x14ac:dyDescent="0.25">
      <c r="A421" t="s">
        <v>476</v>
      </c>
      <c r="B421" t="s">
        <v>1192</v>
      </c>
      <c r="C421" t="s">
        <v>1193</v>
      </c>
      <c r="D421" t="s">
        <v>1197</v>
      </c>
      <c r="E421">
        <v>6</v>
      </c>
      <c r="F421">
        <v>270000</v>
      </c>
      <c r="G421">
        <v>0</v>
      </c>
      <c r="H421">
        <v>270000</v>
      </c>
      <c r="I421" t="s">
        <v>1242</v>
      </c>
      <c r="J421" t="s">
        <v>33</v>
      </c>
    </row>
    <row r="422" spans="1:10" x14ac:dyDescent="0.25">
      <c r="A422" t="s">
        <v>477</v>
      </c>
      <c r="B422" t="s">
        <v>1199</v>
      </c>
      <c r="C422" t="s">
        <v>1193</v>
      </c>
      <c r="D422" t="s">
        <v>1213</v>
      </c>
      <c r="E422">
        <v>3</v>
      </c>
      <c r="F422">
        <v>555000</v>
      </c>
      <c r="G422">
        <v>0</v>
      </c>
      <c r="H422">
        <v>555000</v>
      </c>
      <c r="I422" t="s">
        <v>22</v>
      </c>
      <c r="J422" t="s">
        <v>33</v>
      </c>
    </row>
    <row r="423" spans="1:10" x14ac:dyDescent="0.25">
      <c r="A423" t="s">
        <v>478</v>
      </c>
      <c r="B423" t="s">
        <v>1195</v>
      </c>
      <c r="C423" t="s">
        <v>1208</v>
      </c>
      <c r="D423" t="s">
        <v>1210</v>
      </c>
      <c r="E423">
        <v>8</v>
      </c>
      <c r="F423">
        <v>2000000</v>
      </c>
      <c r="G423">
        <v>0</v>
      </c>
      <c r="H423">
        <v>2000000</v>
      </c>
      <c r="I423" t="s">
        <v>1305</v>
      </c>
      <c r="J423" t="s">
        <v>5</v>
      </c>
    </row>
    <row r="424" spans="1:10" x14ac:dyDescent="0.25">
      <c r="A424" t="s">
        <v>479</v>
      </c>
      <c r="B424" t="s">
        <v>1195</v>
      </c>
      <c r="C424" t="s">
        <v>29</v>
      </c>
      <c r="D424" t="s">
        <v>1210</v>
      </c>
      <c r="E424">
        <v>4</v>
      </c>
      <c r="F424">
        <v>480000</v>
      </c>
      <c r="G424">
        <v>10000</v>
      </c>
      <c r="H424">
        <v>470000</v>
      </c>
      <c r="I424" t="s">
        <v>1399</v>
      </c>
      <c r="J424" t="s">
        <v>10</v>
      </c>
    </row>
    <row r="425" spans="1:10" x14ac:dyDescent="0.25">
      <c r="A425" t="s">
        <v>480</v>
      </c>
      <c r="B425" t="s">
        <v>1199</v>
      </c>
      <c r="C425" t="s">
        <v>1200</v>
      </c>
      <c r="D425" t="s">
        <v>1197</v>
      </c>
      <c r="E425">
        <v>3</v>
      </c>
      <c r="F425">
        <v>555000</v>
      </c>
      <c r="G425">
        <v>10000</v>
      </c>
      <c r="H425">
        <v>545000</v>
      </c>
      <c r="I425" t="s">
        <v>1276</v>
      </c>
      <c r="J425" t="s">
        <v>10</v>
      </c>
    </row>
    <row r="426" spans="1:10" x14ac:dyDescent="0.25">
      <c r="A426" t="s">
        <v>481</v>
      </c>
      <c r="B426" t="s">
        <v>1206</v>
      </c>
      <c r="C426" t="s">
        <v>1204</v>
      </c>
      <c r="D426" t="s">
        <v>1213</v>
      </c>
      <c r="E426">
        <v>5</v>
      </c>
      <c r="F426">
        <v>600000</v>
      </c>
      <c r="G426">
        <v>0</v>
      </c>
      <c r="H426">
        <v>600000</v>
      </c>
      <c r="I426" t="s">
        <v>1375</v>
      </c>
      <c r="J426" t="s">
        <v>20</v>
      </c>
    </row>
    <row r="427" spans="1:10" x14ac:dyDescent="0.25">
      <c r="A427" t="s">
        <v>482</v>
      </c>
      <c r="B427" t="s">
        <v>1195</v>
      </c>
      <c r="C427" t="s">
        <v>1196</v>
      </c>
      <c r="D427" t="s">
        <v>1213</v>
      </c>
      <c r="E427">
        <v>6</v>
      </c>
      <c r="F427">
        <v>270000</v>
      </c>
      <c r="G427">
        <v>0</v>
      </c>
      <c r="H427">
        <v>270000</v>
      </c>
      <c r="I427" t="s">
        <v>1292</v>
      </c>
      <c r="J427" t="s">
        <v>20</v>
      </c>
    </row>
    <row r="428" spans="1:10" x14ac:dyDescent="0.25">
      <c r="A428" t="s">
        <v>483</v>
      </c>
      <c r="B428" t="s">
        <v>1199</v>
      </c>
      <c r="C428" t="s">
        <v>29</v>
      </c>
      <c r="D428" t="s">
        <v>1194</v>
      </c>
      <c r="E428">
        <v>6</v>
      </c>
      <c r="F428">
        <v>1500000</v>
      </c>
      <c r="G428">
        <v>0</v>
      </c>
      <c r="H428">
        <v>1500000</v>
      </c>
      <c r="I428" t="s">
        <v>84</v>
      </c>
      <c r="J428" t="s">
        <v>10</v>
      </c>
    </row>
    <row r="429" spans="1:10" x14ac:dyDescent="0.25">
      <c r="A429" t="s">
        <v>484</v>
      </c>
      <c r="B429" t="s">
        <v>1199</v>
      </c>
      <c r="C429" t="s">
        <v>29</v>
      </c>
      <c r="D429" t="s">
        <v>1203</v>
      </c>
      <c r="E429">
        <v>10</v>
      </c>
      <c r="F429">
        <v>2500000</v>
      </c>
      <c r="G429">
        <v>0</v>
      </c>
      <c r="H429">
        <v>2500000</v>
      </c>
      <c r="I429" t="s">
        <v>414</v>
      </c>
      <c r="J429" t="s">
        <v>10</v>
      </c>
    </row>
    <row r="430" spans="1:10" x14ac:dyDescent="0.25">
      <c r="A430" t="s">
        <v>485</v>
      </c>
      <c r="B430" t="s">
        <v>1206</v>
      </c>
      <c r="C430" t="s">
        <v>29</v>
      </c>
      <c r="D430" t="s">
        <v>1203</v>
      </c>
      <c r="E430">
        <v>4</v>
      </c>
      <c r="F430">
        <v>740000</v>
      </c>
      <c r="G430">
        <v>5000</v>
      </c>
      <c r="H430">
        <v>735000</v>
      </c>
      <c r="I430" t="s">
        <v>1267</v>
      </c>
      <c r="J430" t="s">
        <v>5</v>
      </c>
    </row>
    <row r="431" spans="1:10" x14ac:dyDescent="0.25">
      <c r="A431" t="s">
        <v>486</v>
      </c>
      <c r="B431" t="s">
        <v>1195</v>
      </c>
      <c r="C431" t="s">
        <v>1208</v>
      </c>
      <c r="D431" t="s">
        <v>1213</v>
      </c>
      <c r="E431">
        <v>3</v>
      </c>
      <c r="F431">
        <v>360000</v>
      </c>
      <c r="G431">
        <v>0</v>
      </c>
      <c r="H431">
        <v>360000</v>
      </c>
      <c r="I431" t="s">
        <v>1317</v>
      </c>
      <c r="J431" t="s">
        <v>20</v>
      </c>
    </row>
    <row r="432" spans="1:10" x14ac:dyDescent="0.25">
      <c r="A432" t="s">
        <v>487</v>
      </c>
      <c r="B432" t="s">
        <v>1195</v>
      </c>
      <c r="C432" t="s">
        <v>1208</v>
      </c>
      <c r="D432" t="s">
        <v>1210</v>
      </c>
      <c r="E432">
        <v>6</v>
      </c>
      <c r="F432">
        <v>1500000</v>
      </c>
      <c r="G432">
        <v>15000</v>
      </c>
      <c r="H432" t="s">
        <v>1400</v>
      </c>
      <c r="I432" t="s">
        <v>1304</v>
      </c>
      <c r="J432" t="s">
        <v>20</v>
      </c>
    </row>
    <row r="433" spans="1:10" x14ac:dyDescent="0.25">
      <c r="A433" t="s">
        <v>488</v>
      </c>
      <c r="B433" t="s">
        <v>1195</v>
      </c>
      <c r="C433" t="s">
        <v>1193</v>
      </c>
      <c r="D433" t="s">
        <v>1197</v>
      </c>
      <c r="E433">
        <v>7</v>
      </c>
      <c r="F433">
        <v>840000</v>
      </c>
      <c r="G433">
        <v>0</v>
      </c>
      <c r="H433">
        <v>840000</v>
      </c>
      <c r="I433" t="s">
        <v>1401</v>
      </c>
      <c r="J433" t="s">
        <v>33</v>
      </c>
    </row>
    <row r="434" spans="1:10" x14ac:dyDescent="0.25">
      <c r="A434" t="s">
        <v>489</v>
      </c>
      <c r="B434" t="s">
        <v>1206</v>
      </c>
      <c r="C434" t="s">
        <v>1204</v>
      </c>
      <c r="D434" t="s">
        <v>1213</v>
      </c>
      <c r="E434">
        <v>4</v>
      </c>
      <c r="F434">
        <v>300000</v>
      </c>
      <c r="G434">
        <v>0</v>
      </c>
      <c r="H434">
        <v>300000</v>
      </c>
      <c r="I434" t="s">
        <v>1282</v>
      </c>
      <c r="J434" t="s">
        <v>33</v>
      </c>
    </row>
    <row r="435" spans="1:10" x14ac:dyDescent="0.25">
      <c r="A435" t="s">
        <v>490</v>
      </c>
      <c r="B435" t="s">
        <v>1192</v>
      </c>
      <c r="C435" t="s">
        <v>1196</v>
      </c>
      <c r="D435" t="s">
        <v>1213</v>
      </c>
      <c r="E435">
        <v>5</v>
      </c>
      <c r="F435">
        <v>225000</v>
      </c>
      <c r="G435">
        <v>10000</v>
      </c>
      <c r="H435" t="s">
        <v>92</v>
      </c>
      <c r="I435" t="s">
        <v>491</v>
      </c>
      <c r="J435" t="s">
        <v>10</v>
      </c>
    </row>
    <row r="436" spans="1:10" x14ac:dyDescent="0.25">
      <c r="A436" t="s">
        <v>492</v>
      </c>
      <c r="B436" t="s">
        <v>1195</v>
      </c>
      <c r="C436" t="s">
        <v>1200</v>
      </c>
      <c r="D436" t="s">
        <v>1210</v>
      </c>
      <c r="E436">
        <v>9</v>
      </c>
      <c r="F436">
        <v>1665000</v>
      </c>
      <c r="G436">
        <v>0</v>
      </c>
      <c r="H436">
        <v>1665000</v>
      </c>
      <c r="I436" t="s">
        <v>354</v>
      </c>
      <c r="J436" t="s">
        <v>20</v>
      </c>
    </row>
    <row r="437" spans="1:10" x14ac:dyDescent="0.25">
      <c r="A437" t="s">
        <v>82</v>
      </c>
      <c r="B437" t="s">
        <v>1206</v>
      </c>
      <c r="C437" t="s">
        <v>1204</v>
      </c>
      <c r="D437" t="s">
        <v>1197</v>
      </c>
      <c r="E437">
        <v>2</v>
      </c>
      <c r="F437">
        <v>150000</v>
      </c>
      <c r="G437">
        <v>0</v>
      </c>
      <c r="H437">
        <v>150000</v>
      </c>
      <c r="I437" t="s">
        <v>412</v>
      </c>
      <c r="J437" t="s">
        <v>20</v>
      </c>
    </row>
    <row r="438" spans="1:10" x14ac:dyDescent="0.25">
      <c r="A438" t="s">
        <v>493</v>
      </c>
      <c r="B438" t="s">
        <v>1199</v>
      </c>
      <c r="C438" t="s">
        <v>1208</v>
      </c>
      <c r="D438" t="s">
        <v>1194</v>
      </c>
      <c r="E438">
        <v>6</v>
      </c>
      <c r="F438">
        <v>450000</v>
      </c>
      <c r="G438">
        <v>0</v>
      </c>
      <c r="H438">
        <v>450000</v>
      </c>
      <c r="I438" t="s">
        <v>1399</v>
      </c>
      <c r="J438" t="s">
        <v>10</v>
      </c>
    </row>
    <row r="439" spans="1:10" x14ac:dyDescent="0.25">
      <c r="A439" t="s">
        <v>494</v>
      </c>
      <c r="B439" t="s">
        <v>1195</v>
      </c>
      <c r="C439" t="s">
        <v>1204</v>
      </c>
      <c r="D439" t="s">
        <v>1194</v>
      </c>
      <c r="E439">
        <v>4</v>
      </c>
      <c r="F439">
        <v>1000000</v>
      </c>
      <c r="G439">
        <v>5000</v>
      </c>
      <c r="H439">
        <v>995000</v>
      </c>
      <c r="I439" t="s">
        <v>1327</v>
      </c>
      <c r="J439" t="s">
        <v>5</v>
      </c>
    </row>
    <row r="440" spans="1:10" x14ac:dyDescent="0.25">
      <c r="A440" t="s">
        <v>495</v>
      </c>
      <c r="B440" t="s">
        <v>1206</v>
      </c>
      <c r="C440" t="s">
        <v>1200</v>
      </c>
      <c r="D440" t="s">
        <v>1203</v>
      </c>
      <c r="E440">
        <v>3</v>
      </c>
      <c r="F440">
        <v>360000</v>
      </c>
      <c r="G440">
        <v>0</v>
      </c>
      <c r="H440">
        <v>360000</v>
      </c>
      <c r="I440" t="s">
        <v>61</v>
      </c>
      <c r="J440" t="s">
        <v>33</v>
      </c>
    </row>
    <row r="441" spans="1:10" x14ac:dyDescent="0.25">
      <c r="A441" t="s">
        <v>496</v>
      </c>
      <c r="B441" t="s">
        <v>1199</v>
      </c>
      <c r="C441" t="s">
        <v>29</v>
      </c>
      <c r="D441" t="s">
        <v>1213</v>
      </c>
      <c r="E441">
        <v>5</v>
      </c>
      <c r="F441">
        <v>925000</v>
      </c>
      <c r="G441">
        <v>0</v>
      </c>
      <c r="H441">
        <v>925000</v>
      </c>
      <c r="I441" t="s">
        <v>1217</v>
      </c>
      <c r="J441" t="s">
        <v>33</v>
      </c>
    </row>
    <row r="442" spans="1:10" x14ac:dyDescent="0.25">
      <c r="A442" t="s">
        <v>497</v>
      </c>
      <c r="B442" t="s">
        <v>1192</v>
      </c>
      <c r="C442" t="s">
        <v>1204</v>
      </c>
      <c r="D442" t="s">
        <v>1194</v>
      </c>
      <c r="E442">
        <v>4</v>
      </c>
      <c r="F442">
        <v>1000000</v>
      </c>
      <c r="G442">
        <v>0</v>
      </c>
      <c r="H442">
        <v>1000000</v>
      </c>
      <c r="I442" t="s">
        <v>1361</v>
      </c>
      <c r="J442" t="s">
        <v>33</v>
      </c>
    </row>
    <row r="443" spans="1:10" x14ac:dyDescent="0.25">
      <c r="A443" t="s">
        <v>498</v>
      </c>
      <c r="B443" t="s">
        <v>1199</v>
      </c>
      <c r="C443" t="s">
        <v>1196</v>
      </c>
      <c r="D443" t="s">
        <v>1197</v>
      </c>
      <c r="E443">
        <v>9</v>
      </c>
      <c r="F443">
        <v>1665000</v>
      </c>
      <c r="G443">
        <v>5000</v>
      </c>
      <c r="H443">
        <v>1660000</v>
      </c>
      <c r="I443" t="s">
        <v>1360</v>
      </c>
      <c r="J443" t="s">
        <v>33</v>
      </c>
    </row>
    <row r="444" spans="1:10" x14ac:dyDescent="0.25">
      <c r="A444" t="s">
        <v>499</v>
      </c>
      <c r="B444" t="s">
        <v>1230</v>
      </c>
      <c r="C444" t="s">
        <v>1196</v>
      </c>
      <c r="D444" t="s">
        <v>1210</v>
      </c>
      <c r="E444">
        <v>3</v>
      </c>
      <c r="F444">
        <v>555000</v>
      </c>
      <c r="G444">
        <v>5000</v>
      </c>
      <c r="H444">
        <v>550000</v>
      </c>
      <c r="I444" t="s">
        <v>1140</v>
      </c>
      <c r="J444" t="s">
        <v>10</v>
      </c>
    </row>
    <row r="445" spans="1:10" x14ac:dyDescent="0.25">
      <c r="A445" t="s">
        <v>500</v>
      </c>
      <c r="B445" t="s">
        <v>1195</v>
      </c>
      <c r="C445" t="s">
        <v>1193</v>
      </c>
      <c r="D445" t="s">
        <v>1210</v>
      </c>
      <c r="E445">
        <v>7</v>
      </c>
      <c r="F445">
        <v>1750000</v>
      </c>
      <c r="G445">
        <v>0</v>
      </c>
      <c r="H445">
        <v>1750000</v>
      </c>
      <c r="I445" t="s">
        <v>220</v>
      </c>
      <c r="J445" t="s">
        <v>20</v>
      </c>
    </row>
    <row r="446" spans="1:10" x14ac:dyDescent="0.25">
      <c r="A446" t="s">
        <v>501</v>
      </c>
      <c r="B446" t="s">
        <v>1199</v>
      </c>
      <c r="C446" t="s">
        <v>1204</v>
      </c>
      <c r="D446" t="s">
        <v>1203</v>
      </c>
      <c r="E446">
        <v>1</v>
      </c>
      <c r="F446">
        <v>250000</v>
      </c>
      <c r="G446">
        <v>0</v>
      </c>
      <c r="H446" t="s">
        <v>1266</v>
      </c>
      <c r="I446" t="s">
        <v>195</v>
      </c>
      <c r="J446" t="s">
        <v>5</v>
      </c>
    </row>
    <row r="447" spans="1:10" x14ac:dyDescent="0.25">
      <c r="A447" t="s">
        <v>502</v>
      </c>
      <c r="B447" t="s">
        <v>1206</v>
      </c>
      <c r="C447" t="s">
        <v>1193</v>
      </c>
      <c r="D447" t="s">
        <v>1203</v>
      </c>
      <c r="E447">
        <v>8</v>
      </c>
      <c r="F447">
        <v>1480000</v>
      </c>
      <c r="G447">
        <v>0</v>
      </c>
      <c r="H447">
        <v>1480000</v>
      </c>
      <c r="I447" t="s">
        <v>1402</v>
      </c>
      <c r="J447" t="s">
        <v>33</v>
      </c>
    </row>
    <row r="448" spans="1:10" x14ac:dyDescent="0.25">
      <c r="A448" t="s">
        <v>503</v>
      </c>
      <c r="B448" t="s">
        <v>1206</v>
      </c>
      <c r="C448" t="s">
        <v>1208</v>
      </c>
      <c r="D448" t="s">
        <v>1194</v>
      </c>
      <c r="E448">
        <v>8</v>
      </c>
      <c r="F448">
        <v>2000000</v>
      </c>
      <c r="G448">
        <v>0</v>
      </c>
      <c r="H448">
        <v>2000000</v>
      </c>
      <c r="I448" t="s">
        <v>297</v>
      </c>
      <c r="J448" t="s">
        <v>33</v>
      </c>
    </row>
    <row r="449" spans="1:10" x14ac:dyDescent="0.25">
      <c r="A449" t="s">
        <v>504</v>
      </c>
      <c r="B449" t="s">
        <v>1251</v>
      </c>
      <c r="C449" t="s">
        <v>1200</v>
      </c>
      <c r="D449" t="s">
        <v>1194</v>
      </c>
      <c r="E449">
        <v>10</v>
      </c>
      <c r="F449">
        <v>1200000</v>
      </c>
      <c r="G449">
        <v>0</v>
      </c>
      <c r="H449">
        <v>1200000</v>
      </c>
      <c r="I449" t="s">
        <v>1228</v>
      </c>
      <c r="J449" t="s">
        <v>33</v>
      </c>
    </row>
    <row r="450" spans="1:10" x14ac:dyDescent="0.25">
      <c r="A450" t="s">
        <v>505</v>
      </c>
      <c r="B450" t="s">
        <v>1192</v>
      </c>
      <c r="C450" t="s">
        <v>1193</v>
      </c>
      <c r="D450" t="s">
        <v>1210</v>
      </c>
      <c r="E450">
        <v>6</v>
      </c>
      <c r="F450">
        <v>1110000</v>
      </c>
      <c r="G450">
        <v>10000</v>
      </c>
      <c r="H450">
        <v>1100000</v>
      </c>
      <c r="I450" t="s">
        <v>1403</v>
      </c>
      <c r="J450" t="s">
        <v>20</v>
      </c>
    </row>
    <row r="451" spans="1:10" x14ac:dyDescent="0.25">
      <c r="A451" t="s">
        <v>506</v>
      </c>
      <c r="B451" t="s">
        <v>1195</v>
      </c>
      <c r="C451" t="s">
        <v>29</v>
      </c>
      <c r="D451" t="s">
        <v>1210</v>
      </c>
      <c r="E451">
        <v>8</v>
      </c>
      <c r="F451">
        <v>1480000</v>
      </c>
      <c r="G451">
        <v>0</v>
      </c>
      <c r="H451">
        <v>1480000</v>
      </c>
      <c r="I451" t="s">
        <v>195</v>
      </c>
      <c r="J451" t="s">
        <v>33</v>
      </c>
    </row>
    <row r="452" spans="1:10" x14ac:dyDescent="0.25">
      <c r="A452" t="s">
        <v>507</v>
      </c>
      <c r="B452" t="s">
        <v>1206</v>
      </c>
      <c r="C452" t="s">
        <v>29</v>
      </c>
      <c r="D452" t="s">
        <v>1197</v>
      </c>
      <c r="E452">
        <v>3</v>
      </c>
      <c r="F452">
        <v>360000</v>
      </c>
      <c r="G452">
        <v>0</v>
      </c>
      <c r="H452">
        <v>360000</v>
      </c>
      <c r="I452" t="s">
        <v>375</v>
      </c>
      <c r="J452" t="s">
        <v>20</v>
      </c>
    </row>
    <row r="453" spans="1:10" x14ac:dyDescent="0.25">
      <c r="A453" t="s">
        <v>508</v>
      </c>
      <c r="B453" t="s">
        <v>1206</v>
      </c>
      <c r="C453" t="s">
        <v>1204</v>
      </c>
      <c r="D453" t="s">
        <v>1197</v>
      </c>
      <c r="E453">
        <v>9</v>
      </c>
      <c r="F453">
        <v>675000</v>
      </c>
      <c r="G453">
        <v>0</v>
      </c>
      <c r="H453">
        <v>675000</v>
      </c>
      <c r="I453" t="s">
        <v>1404</v>
      </c>
      <c r="J453" t="s">
        <v>10</v>
      </c>
    </row>
    <row r="454" spans="1:10" x14ac:dyDescent="0.25">
      <c r="A454" t="s">
        <v>509</v>
      </c>
      <c r="B454" t="s">
        <v>1206</v>
      </c>
      <c r="C454" t="s">
        <v>1200</v>
      </c>
      <c r="D454" t="s">
        <v>1203</v>
      </c>
      <c r="E454">
        <v>3</v>
      </c>
      <c r="F454">
        <v>225000</v>
      </c>
      <c r="G454">
        <v>0</v>
      </c>
      <c r="H454">
        <v>225000</v>
      </c>
      <c r="I454" t="s">
        <v>1405</v>
      </c>
      <c r="J454" t="s">
        <v>10</v>
      </c>
    </row>
    <row r="455" spans="1:10" x14ac:dyDescent="0.25">
      <c r="A455" t="s">
        <v>510</v>
      </c>
      <c r="B455" t="s">
        <v>1192</v>
      </c>
      <c r="C455" t="s">
        <v>1193</v>
      </c>
      <c r="D455" t="s">
        <v>1203</v>
      </c>
      <c r="E455">
        <v>5</v>
      </c>
      <c r="F455">
        <v>225000</v>
      </c>
      <c r="G455">
        <v>0</v>
      </c>
      <c r="H455">
        <v>225000</v>
      </c>
      <c r="I455" t="s">
        <v>22</v>
      </c>
      <c r="J455" t="s">
        <v>33</v>
      </c>
    </row>
    <row r="456" spans="1:10" x14ac:dyDescent="0.25">
      <c r="A456" t="s">
        <v>511</v>
      </c>
      <c r="B456" t="s">
        <v>1195</v>
      </c>
      <c r="C456" t="s">
        <v>1200</v>
      </c>
      <c r="D456" t="s">
        <v>1197</v>
      </c>
      <c r="E456">
        <v>7</v>
      </c>
      <c r="F456">
        <v>840000</v>
      </c>
      <c r="G456">
        <v>0</v>
      </c>
      <c r="H456">
        <v>840000</v>
      </c>
      <c r="I456" t="s">
        <v>1323</v>
      </c>
      <c r="J456" t="s">
        <v>5</v>
      </c>
    </row>
    <row r="457" spans="1:10" x14ac:dyDescent="0.25">
      <c r="A457" t="s">
        <v>512</v>
      </c>
      <c r="B457" t="s">
        <v>1192</v>
      </c>
      <c r="C457" t="s">
        <v>1262</v>
      </c>
      <c r="D457" t="s">
        <v>1203</v>
      </c>
      <c r="E457">
        <v>3</v>
      </c>
      <c r="F457">
        <v>750000</v>
      </c>
      <c r="G457">
        <v>5000</v>
      </c>
      <c r="H457">
        <v>745000</v>
      </c>
      <c r="I457" t="s">
        <v>1259</v>
      </c>
      <c r="J457" t="s">
        <v>10</v>
      </c>
    </row>
    <row r="458" spans="1:10" x14ac:dyDescent="0.25">
      <c r="A458" t="s">
        <v>513</v>
      </c>
      <c r="B458" t="s">
        <v>1192</v>
      </c>
      <c r="C458" t="s">
        <v>1204</v>
      </c>
      <c r="D458" t="s">
        <v>1197</v>
      </c>
      <c r="E458">
        <v>4</v>
      </c>
      <c r="F458">
        <v>740000</v>
      </c>
      <c r="G458">
        <v>0</v>
      </c>
      <c r="H458">
        <v>740000</v>
      </c>
      <c r="I458" t="s">
        <v>1316</v>
      </c>
      <c r="J458" t="s">
        <v>20</v>
      </c>
    </row>
    <row r="459" spans="1:10" x14ac:dyDescent="0.25">
      <c r="A459" t="s">
        <v>514</v>
      </c>
      <c r="B459" t="s">
        <v>1251</v>
      </c>
      <c r="C459" t="s">
        <v>1196</v>
      </c>
      <c r="D459" t="s">
        <v>1197</v>
      </c>
      <c r="E459">
        <v>9</v>
      </c>
      <c r="F459">
        <v>1080000</v>
      </c>
      <c r="G459">
        <v>5000</v>
      </c>
      <c r="H459" t="s">
        <v>92</v>
      </c>
      <c r="I459" t="s">
        <v>156</v>
      </c>
      <c r="J459" t="s">
        <v>20</v>
      </c>
    </row>
    <row r="460" spans="1:10" x14ac:dyDescent="0.25">
      <c r="A460" t="s">
        <v>515</v>
      </c>
      <c r="B460" t="s">
        <v>1199</v>
      </c>
      <c r="C460" t="s">
        <v>1208</v>
      </c>
      <c r="D460" t="s">
        <v>1213</v>
      </c>
      <c r="E460">
        <v>7</v>
      </c>
      <c r="F460">
        <v>840000</v>
      </c>
      <c r="G460">
        <v>0</v>
      </c>
      <c r="H460" t="s">
        <v>1406</v>
      </c>
      <c r="I460" t="s">
        <v>1375</v>
      </c>
      <c r="J460" t="s">
        <v>20</v>
      </c>
    </row>
    <row r="461" spans="1:10" x14ac:dyDescent="0.25">
      <c r="A461" t="s">
        <v>516</v>
      </c>
      <c r="B461" t="s">
        <v>1199</v>
      </c>
      <c r="C461" t="s">
        <v>29</v>
      </c>
      <c r="D461" t="s">
        <v>1213</v>
      </c>
      <c r="E461">
        <v>1</v>
      </c>
      <c r="F461">
        <v>250000</v>
      </c>
      <c r="G461">
        <v>0</v>
      </c>
      <c r="H461">
        <v>250000</v>
      </c>
      <c r="I461" t="s">
        <v>73</v>
      </c>
      <c r="J461" t="s">
        <v>5</v>
      </c>
    </row>
    <row r="462" spans="1:10" x14ac:dyDescent="0.25">
      <c r="A462" t="s">
        <v>517</v>
      </c>
      <c r="B462" t="s">
        <v>1195</v>
      </c>
      <c r="C462" t="s">
        <v>29</v>
      </c>
      <c r="D462" t="s">
        <v>1197</v>
      </c>
      <c r="E462">
        <v>7</v>
      </c>
      <c r="F462">
        <v>840000</v>
      </c>
      <c r="G462">
        <v>0</v>
      </c>
      <c r="H462">
        <v>840000</v>
      </c>
      <c r="I462" t="s">
        <v>354</v>
      </c>
      <c r="J462" t="s">
        <v>20</v>
      </c>
    </row>
    <row r="463" spans="1:10" x14ac:dyDescent="0.25">
      <c r="A463" t="s">
        <v>518</v>
      </c>
      <c r="B463" t="s">
        <v>1225</v>
      </c>
      <c r="C463" t="s">
        <v>29</v>
      </c>
      <c r="D463" t="s">
        <v>1213</v>
      </c>
      <c r="E463">
        <v>7</v>
      </c>
      <c r="F463">
        <v>1750000</v>
      </c>
      <c r="G463">
        <v>0</v>
      </c>
      <c r="H463">
        <v>1750000</v>
      </c>
      <c r="I463" t="s">
        <v>22</v>
      </c>
      <c r="J463" t="s">
        <v>20</v>
      </c>
    </row>
    <row r="464" spans="1:10" x14ac:dyDescent="0.25">
      <c r="A464" t="s">
        <v>519</v>
      </c>
      <c r="B464" t="s">
        <v>1206</v>
      </c>
      <c r="C464" t="s">
        <v>29</v>
      </c>
      <c r="D464" t="s">
        <v>1210</v>
      </c>
      <c r="E464">
        <v>3</v>
      </c>
      <c r="F464">
        <v>225000</v>
      </c>
      <c r="G464">
        <v>0</v>
      </c>
      <c r="H464">
        <v>225000</v>
      </c>
      <c r="I464" t="s">
        <v>1207</v>
      </c>
      <c r="J464" t="s">
        <v>5</v>
      </c>
    </row>
    <row r="465" spans="1:10" x14ac:dyDescent="0.25">
      <c r="A465" t="s">
        <v>520</v>
      </c>
      <c r="B465" t="s">
        <v>1251</v>
      </c>
      <c r="C465" t="s">
        <v>1196</v>
      </c>
      <c r="D465" t="s">
        <v>1210</v>
      </c>
      <c r="E465">
        <v>1</v>
      </c>
      <c r="F465">
        <v>185000</v>
      </c>
      <c r="G465">
        <v>5000</v>
      </c>
      <c r="H465">
        <v>180000</v>
      </c>
      <c r="I465" t="s">
        <v>1346</v>
      </c>
      <c r="J465" t="s">
        <v>5</v>
      </c>
    </row>
    <row r="466" spans="1:10" x14ac:dyDescent="0.25">
      <c r="A466" t="s">
        <v>521</v>
      </c>
      <c r="B466" t="s">
        <v>1206</v>
      </c>
      <c r="C466" t="s">
        <v>1204</v>
      </c>
      <c r="D466" t="s">
        <v>1194</v>
      </c>
      <c r="E466">
        <v>6</v>
      </c>
      <c r="F466">
        <v>450000</v>
      </c>
      <c r="G466">
        <v>0</v>
      </c>
      <c r="H466">
        <v>450000</v>
      </c>
      <c r="I466" t="s">
        <v>1170</v>
      </c>
      <c r="J466" t="s">
        <v>5</v>
      </c>
    </row>
    <row r="467" spans="1:10" x14ac:dyDescent="0.25">
      <c r="A467" t="s">
        <v>522</v>
      </c>
      <c r="B467" t="s">
        <v>1206</v>
      </c>
      <c r="C467" t="s">
        <v>1204</v>
      </c>
      <c r="D467" t="s">
        <v>1197</v>
      </c>
      <c r="E467">
        <v>5</v>
      </c>
      <c r="F467">
        <v>600000</v>
      </c>
      <c r="G467">
        <v>0</v>
      </c>
      <c r="H467">
        <v>600000</v>
      </c>
      <c r="I467" t="s">
        <v>1292</v>
      </c>
      <c r="J467" t="s">
        <v>33</v>
      </c>
    </row>
    <row r="468" spans="1:10" x14ac:dyDescent="0.25">
      <c r="A468" t="s">
        <v>523</v>
      </c>
      <c r="B468" t="s">
        <v>1192</v>
      </c>
      <c r="C468" t="s">
        <v>1204</v>
      </c>
      <c r="D468" t="s">
        <v>1213</v>
      </c>
      <c r="E468">
        <v>4</v>
      </c>
      <c r="F468">
        <v>740000</v>
      </c>
      <c r="G468">
        <v>0</v>
      </c>
      <c r="H468" t="s">
        <v>1250</v>
      </c>
      <c r="I468" t="s">
        <v>73</v>
      </c>
      <c r="J468" t="s">
        <v>33</v>
      </c>
    </row>
    <row r="469" spans="1:10" x14ac:dyDescent="0.25">
      <c r="A469" t="s">
        <v>524</v>
      </c>
      <c r="B469" t="s">
        <v>1199</v>
      </c>
      <c r="C469" t="s">
        <v>29</v>
      </c>
      <c r="D469" t="s">
        <v>1203</v>
      </c>
      <c r="E469">
        <v>10</v>
      </c>
      <c r="F469">
        <v>2500000</v>
      </c>
      <c r="G469">
        <v>0</v>
      </c>
      <c r="H469">
        <v>2500000</v>
      </c>
      <c r="I469" t="s">
        <v>1394</v>
      </c>
      <c r="J469" t="s">
        <v>20</v>
      </c>
    </row>
    <row r="470" spans="1:10" x14ac:dyDescent="0.25">
      <c r="A470" t="s">
        <v>525</v>
      </c>
      <c r="B470" t="s">
        <v>1206</v>
      </c>
      <c r="C470" t="s">
        <v>29</v>
      </c>
      <c r="D470" t="s">
        <v>1194</v>
      </c>
      <c r="E470">
        <v>6</v>
      </c>
      <c r="F470">
        <v>720000</v>
      </c>
      <c r="G470">
        <v>0</v>
      </c>
      <c r="H470">
        <v>720000</v>
      </c>
      <c r="I470" t="s">
        <v>1407</v>
      </c>
      <c r="J470" t="s">
        <v>5</v>
      </c>
    </row>
    <row r="471" spans="1:10" x14ac:dyDescent="0.25">
      <c r="A471" t="s">
        <v>526</v>
      </c>
      <c r="B471" t="s">
        <v>1195</v>
      </c>
      <c r="C471" t="s">
        <v>1200</v>
      </c>
      <c r="D471" t="s">
        <v>1203</v>
      </c>
      <c r="E471">
        <v>9</v>
      </c>
      <c r="F471">
        <v>675000</v>
      </c>
      <c r="G471">
        <v>15000</v>
      </c>
      <c r="H471">
        <v>660000</v>
      </c>
      <c r="I471" t="s">
        <v>76</v>
      </c>
      <c r="J471" t="s">
        <v>10</v>
      </c>
    </row>
    <row r="472" spans="1:10" x14ac:dyDescent="0.25">
      <c r="A472" t="s">
        <v>527</v>
      </c>
      <c r="B472" t="s">
        <v>1199</v>
      </c>
      <c r="C472" t="s">
        <v>1193</v>
      </c>
      <c r="D472" t="s">
        <v>1213</v>
      </c>
      <c r="E472">
        <v>8</v>
      </c>
      <c r="F472">
        <v>960000</v>
      </c>
      <c r="G472">
        <v>5000</v>
      </c>
      <c r="H472">
        <v>955000</v>
      </c>
      <c r="I472" t="s">
        <v>1159</v>
      </c>
      <c r="J472" t="s">
        <v>10</v>
      </c>
    </row>
    <row r="473" spans="1:10" x14ac:dyDescent="0.25">
      <c r="A473" t="s">
        <v>528</v>
      </c>
      <c r="B473" t="s">
        <v>1199</v>
      </c>
      <c r="C473" t="s">
        <v>1196</v>
      </c>
      <c r="D473" t="s">
        <v>1210</v>
      </c>
      <c r="E473">
        <v>6</v>
      </c>
      <c r="F473">
        <v>450000</v>
      </c>
      <c r="G473">
        <v>0</v>
      </c>
      <c r="H473">
        <v>450000</v>
      </c>
      <c r="I473" t="s">
        <v>1408</v>
      </c>
      <c r="J473" t="s">
        <v>20</v>
      </c>
    </row>
    <row r="474" spans="1:10" x14ac:dyDescent="0.25">
      <c r="A474" t="s">
        <v>529</v>
      </c>
      <c r="B474" t="s">
        <v>1199</v>
      </c>
      <c r="C474" t="s">
        <v>1200</v>
      </c>
      <c r="D474" t="s">
        <v>1210</v>
      </c>
      <c r="E474">
        <v>7</v>
      </c>
      <c r="F474">
        <v>525000</v>
      </c>
      <c r="G474">
        <v>0</v>
      </c>
      <c r="H474">
        <v>525000</v>
      </c>
      <c r="I474" t="s">
        <v>354</v>
      </c>
      <c r="J474" t="s">
        <v>10</v>
      </c>
    </row>
    <row r="475" spans="1:10" x14ac:dyDescent="0.25">
      <c r="A475" t="s">
        <v>530</v>
      </c>
      <c r="B475" t="s">
        <v>1195</v>
      </c>
      <c r="C475" t="s">
        <v>1200</v>
      </c>
      <c r="D475" t="s">
        <v>1210</v>
      </c>
      <c r="E475">
        <v>2</v>
      </c>
      <c r="F475">
        <v>370000</v>
      </c>
      <c r="G475">
        <v>0</v>
      </c>
      <c r="H475" t="s">
        <v>1373</v>
      </c>
      <c r="I475" t="s">
        <v>1322</v>
      </c>
      <c r="J475" t="s">
        <v>33</v>
      </c>
    </row>
    <row r="476" spans="1:10" x14ac:dyDescent="0.25">
      <c r="A476" t="s">
        <v>531</v>
      </c>
      <c r="B476" t="s">
        <v>1206</v>
      </c>
      <c r="C476" t="s">
        <v>1200</v>
      </c>
      <c r="D476" t="s">
        <v>1210</v>
      </c>
      <c r="E476">
        <v>6</v>
      </c>
      <c r="F476">
        <v>1500000</v>
      </c>
      <c r="G476">
        <v>0</v>
      </c>
      <c r="H476">
        <v>1500000</v>
      </c>
      <c r="I476" t="s">
        <v>532</v>
      </c>
      <c r="J476" t="s">
        <v>20</v>
      </c>
    </row>
    <row r="477" spans="1:10" x14ac:dyDescent="0.25">
      <c r="A477" t="s">
        <v>533</v>
      </c>
      <c r="B477" t="s">
        <v>1199</v>
      </c>
      <c r="C477" t="s">
        <v>29</v>
      </c>
      <c r="D477" t="s">
        <v>1213</v>
      </c>
      <c r="E477">
        <v>3</v>
      </c>
      <c r="F477">
        <v>750000</v>
      </c>
      <c r="G477">
        <v>0</v>
      </c>
      <c r="H477">
        <v>750000</v>
      </c>
      <c r="I477" t="s">
        <v>534</v>
      </c>
      <c r="J477" t="s">
        <v>10</v>
      </c>
    </row>
    <row r="478" spans="1:10" x14ac:dyDescent="0.25">
      <c r="A478" t="s">
        <v>535</v>
      </c>
      <c r="B478" t="s">
        <v>1251</v>
      </c>
      <c r="C478" t="s">
        <v>1196</v>
      </c>
      <c r="D478" t="s">
        <v>1194</v>
      </c>
      <c r="E478">
        <v>7</v>
      </c>
      <c r="F478">
        <v>525000</v>
      </c>
      <c r="G478">
        <v>0</v>
      </c>
      <c r="H478">
        <v>-525000</v>
      </c>
      <c r="I478" t="s">
        <v>402</v>
      </c>
      <c r="J478" t="s">
        <v>33</v>
      </c>
    </row>
    <row r="479" spans="1:10" x14ac:dyDescent="0.25">
      <c r="A479" t="s">
        <v>536</v>
      </c>
      <c r="B479" t="s">
        <v>1192</v>
      </c>
      <c r="C479" t="s">
        <v>1208</v>
      </c>
      <c r="D479" t="s">
        <v>1203</v>
      </c>
      <c r="E479">
        <v>6</v>
      </c>
      <c r="F479">
        <v>720000</v>
      </c>
      <c r="G479">
        <v>5000</v>
      </c>
      <c r="H479">
        <v>715000</v>
      </c>
      <c r="I479" t="s">
        <v>36</v>
      </c>
      <c r="J479" t="s">
        <v>33</v>
      </c>
    </row>
    <row r="480" spans="1:10" x14ac:dyDescent="0.25">
      <c r="A480" t="s">
        <v>537</v>
      </c>
      <c r="B480" t="s">
        <v>1195</v>
      </c>
      <c r="C480" t="s">
        <v>1204</v>
      </c>
      <c r="D480" t="s">
        <v>1197</v>
      </c>
      <c r="E480">
        <v>7</v>
      </c>
      <c r="F480">
        <v>315000</v>
      </c>
      <c r="G480">
        <v>0</v>
      </c>
      <c r="H480" t="s">
        <v>1409</v>
      </c>
      <c r="I480" t="s">
        <v>1410</v>
      </c>
      <c r="J480" t="s">
        <v>20</v>
      </c>
    </row>
    <row r="481" spans="1:10" x14ac:dyDescent="0.25">
      <c r="A481" t="s">
        <v>538</v>
      </c>
      <c r="B481" t="s">
        <v>1195</v>
      </c>
      <c r="C481" t="s">
        <v>1193</v>
      </c>
      <c r="D481" t="s">
        <v>1194</v>
      </c>
      <c r="E481">
        <v>4</v>
      </c>
      <c r="F481">
        <v>740000</v>
      </c>
      <c r="G481">
        <v>0</v>
      </c>
      <c r="H481">
        <v>740000</v>
      </c>
      <c r="I481" t="s">
        <v>1411</v>
      </c>
      <c r="J481" t="s">
        <v>20</v>
      </c>
    </row>
    <row r="482" spans="1:10" x14ac:dyDescent="0.25">
      <c r="A482" t="s">
        <v>539</v>
      </c>
      <c r="B482" t="s">
        <v>1199</v>
      </c>
      <c r="C482" t="s">
        <v>1200</v>
      </c>
      <c r="D482" t="s">
        <v>1203</v>
      </c>
      <c r="E482">
        <v>9</v>
      </c>
      <c r="F482">
        <v>405000</v>
      </c>
      <c r="G482">
        <v>0</v>
      </c>
      <c r="H482">
        <v>405000</v>
      </c>
      <c r="I482" t="s">
        <v>1325</v>
      </c>
      <c r="J482" t="s">
        <v>33</v>
      </c>
    </row>
    <row r="483" spans="1:10" x14ac:dyDescent="0.25">
      <c r="A483" t="s">
        <v>540</v>
      </c>
      <c r="B483" t="s">
        <v>1195</v>
      </c>
      <c r="C483" t="s">
        <v>1200</v>
      </c>
      <c r="D483" t="s">
        <v>1213</v>
      </c>
      <c r="E483">
        <v>7</v>
      </c>
      <c r="F483">
        <v>1295000</v>
      </c>
      <c r="G483">
        <v>10000</v>
      </c>
      <c r="H483" t="s">
        <v>92</v>
      </c>
      <c r="I483" t="s">
        <v>39</v>
      </c>
      <c r="J483" t="s">
        <v>33</v>
      </c>
    </row>
    <row r="484" spans="1:10" x14ac:dyDescent="0.25">
      <c r="A484" t="s">
        <v>541</v>
      </c>
      <c r="B484" t="s">
        <v>1192</v>
      </c>
      <c r="C484" t="s">
        <v>1208</v>
      </c>
      <c r="D484" t="s">
        <v>1197</v>
      </c>
      <c r="E484">
        <v>5</v>
      </c>
      <c r="F484">
        <v>1250000</v>
      </c>
      <c r="G484">
        <v>0</v>
      </c>
      <c r="H484">
        <v>1250000</v>
      </c>
      <c r="I484" t="s">
        <v>1412</v>
      </c>
      <c r="J484" t="s">
        <v>5</v>
      </c>
    </row>
    <row r="485" spans="1:10" x14ac:dyDescent="0.25">
      <c r="A485" t="s">
        <v>542</v>
      </c>
      <c r="B485" t="s">
        <v>1199</v>
      </c>
      <c r="C485" t="s">
        <v>1200</v>
      </c>
      <c r="D485" t="s">
        <v>1203</v>
      </c>
      <c r="E485">
        <v>8</v>
      </c>
      <c r="F485">
        <v>1480000</v>
      </c>
      <c r="G485">
        <v>10000</v>
      </c>
      <c r="H485">
        <v>1470000</v>
      </c>
      <c r="I485" t="s">
        <v>1288</v>
      </c>
      <c r="J485" t="s">
        <v>5</v>
      </c>
    </row>
    <row r="486" spans="1:10" x14ac:dyDescent="0.25">
      <c r="A486" t="s">
        <v>543</v>
      </c>
      <c r="B486" t="s">
        <v>1195</v>
      </c>
      <c r="C486" t="s">
        <v>1204</v>
      </c>
      <c r="D486" t="s">
        <v>1197</v>
      </c>
      <c r="E486">
        <v>2</v>
      </c>
      <c r="F486">
        <v>90000</v>
      </c>
      <c r="G486">
        <v>0</v>
      </c>
      <c r="H486">
        <v>90000</v>
      </c>
      <c r="I486" t="s">
        <v>93</v>
      </c>
      <c r="J486" t="s">
        <v>5</v>
      </c>
    </row>
    <row r="487" spans="1:10" x14ac:dyDescent="0.25">
      <c r="A487" t="s">
        <v>544</v>
      </c>
      <c r="B487" t="s">
        <v>1206</v>
      </c>
      <c r="C487" t="s">
        <v>1193</v>
      </c>
      <c r="D487" t="s">
        <v>1203</v>
      </c>
      <c r="E487">
        <v>2</v>
      </c>
      <c r="F487">
        <v>240000</v>
      </c>
      <c r="G487">
        <v>0</v>
      </c>
      <c r="H487">
        <v>240000</v>
      </c>
      <c r="I487" t="s">
        <v>545</v>
      </c>
      <c r="J487" t="s">
        <v>33</v>
      </c>
    </row>
    <row r="488" spans="1:10" x14ac:dyDescent="0.25">
      <c r="A488" t="s">
        <v>546</v>
      </c>
      <c r="B488" t="s">
        <v>1206</v>
      </c>
      <c r="C488" t="s">
        <v>1204</v>
      </c>
      <c r="D488" t="s">
        <v>1197</v>
      </c>
      <c r="E488">
        <v>6</v>
      </c>
      <c r="F488">
        <v>450000</v>
      </c>
      <c r="G488">
        <v>0</v>
      </c>
      <c r="H488">
        <v>450000</v>
      </c>
      <c r="I488" t="s">
        <v>1413</v>
      </c>
      <c r="J488" t="s">
        <v>33</v>
      </c>
    </row>
    <row r="489" spans="1:10" x14ac:dyDescent="0.25">
      <c r="A489" t="s">
        <v>547</v>
      </c>
      <c r="B489" t="s">
        <v>1206</v>
      </c>
      <c r="C489" t="s">
        <v>29</v>
      </c>
      <c r="D489" t="s">
        <v>1203</v>
      </c>
      <c r="E489">
        <v>5</v>
      </c>
      <c r="F489">
        <v>375000</v>
      </c>
      <c r="G489">
        <v>0</v>
      </c>
      <c r="H489">
        <v>375000</v>
      </c>
      <c r="I489" t="s">
        <v>238</v>
      </c>
      <c r="J489" t="s">
        <v>10</v>
      </c>
    </row>
    <row r="490" spans="1:10" x14ac:dyDescent="0.25">
      <c r="A490" t="s">
        <v>548</v>
      </c>
      <c r="B490" t="s">
        <v>1206</v>
      </c>
      <c r="C490" t="s">
        <v>1200</v>
      </c>
      <c r="D490" t="s">
        <v>1210</v>
      </c>
      <c r="E490">
        <v>5</v>
      </c>
      <c r="F490">
        <v>375000</v>
      </c>
      <c r="G490">
        <v>0</v>
      </c>
      <c r="H490">
        <v>375000</v>
      </c>
      <c r="I490" t="s">
        <v>1229</v>
      </c>
      <c r="J490" t="s">
        <v>20</v>
      </c>
    </row>
    <row r="491" spans="1:10" x14ac:dyDescent="0.25">
      <c r="A491" t="s">
        <v>549</v>
      </c>
      <c r="B491" t="s">
        <v>1199</v>
      </c>
      <c r="C491" t="s">
        <v>1193</v>
      </c>
      <c r="D491" t="s">
        <v>1194</v>
      </c>
      <c r="E491">
        <v>10</v>
      </c>
      <c r="F491">
        <v>450000</v>
      </c>
      <c r="G491">
        <v>0</v>
      </c>
      <c r="H491">
        <v>450000</v>
      </c>
      <c r="I491" t="s">
        <v>1411</v>
      </c>
      <c r="J491" t="s">
        <v>10</v>
      </c>
    </row>
    <row r="492" spans="1:10" x14ac:dyDescent="0.25">
      <c r="A492" t="s">
        <v>550</v>
      </c>
      <c r="B492" t="s">
        <v>1195</v>
      </c>
      <c r="C492" t="s">
        <v>29</v>
      </c>
      <c r="D492" t="s">
        <v>1203</v>
      </c>
      <c r="E492">
        <v>10</v>
      </c>
      <c r="F492">
        <v>450000</v>
      </c>
      <c r="G492">
        <v>10000</v>
      </c>
      <c r="H492">
        <v>440000</v>
      </c>
      <c r="I492" t="s">
        <v>1414</v>
      </c>
      <c r="J492" t="s">
        <v>20</v>
      </c>
    </row>
    <row r="493" spans="1:10" x14ac:dyDescent="0.25">
      <c r="A493" t="s">
        <v>551</v>
      </c>
      <c r="B493" t="s">
        <v>1225</v>
      </c>
      <c r="C493" t="s">
        <v>1204</v>
      </c>
      <c r="D493" t="s">
        <v>1213</v>
      </c>
      <c r="E493">
        <v>1</v>
      </c>
      <c r="F493">
        <v>185000</v>
      </c>
      <c r="G493">
        <v>0</v>
      </c>
      <c r="H493">
        <v>185000</v>
      </c>
      <c r="I493" t="s">
        <v>1325</v>
      </c>
      <c r="J493" t="s">
        <v>33</v>
      </c>
    </row>
    <row r="494" spans="1:10" x14ac:dyDescent="0.25">
      <c r="A494" t="s">
        <v>552</v>
      </c>
      <c r="B494" t="s">
        <v>1225</v>
      </c>
      <c r="C494" t="s">
        <v>1193</v>
      </c>
      <c r="D494" t="s">
        <v>1210</v>
      </c>
      <c r="E494">
        <v>6</v>
      </c>
      <c r="F494">
        <v>720000</v>
      </c>
      <c r="G494">
        <v>0</v>
      </c>
      <c r="H494">
        <v>720000</v>
      </c>
      <c r="I494" t="s">
        <v>1339</v>
      </c>
      <c r="J494" t="s">
        <v>20</v>
      </c>
    </row>
    <row r="495" spans="1:10" x14ac:dyDescent="0.25">
      <c r="A495" t="s">
        <v>553</v>
      </c>
      <c r="B495" t="s">
        <v>1192</v>
      </c>
      <c r="C495" t="s">
        <v>29</v>
      </c>
      <c r="D495" t="s">
        <v>1203</v>
      </c>
      <c r="E495">
        <v>6</v>
      </c>
      <c r="F495">
        <v>270000</v>
      </c>
      <c r="G495">
        <v>0</v>
      </c>
      <c r="H495">
        <v>270000</v>
      </c>
      <c r="I495" t="s">
        <v>532</v>
      </c>
      <c r="J495" t="s">
        <v>5</v>
      </c>
    </row>
    <row r="496" spans="1:10" x14ac:dyDescent="0.25">
      <c r="A496" t="s">
        <v>554</v>
      </c>
      <c r="B496" t="s">
        <v>1192</v>
      </c>
      <c r="C496" t="s">
        <v>1219</v>
      </c>
      <c r="D496" t="s">
        <v>1210</v>
      </c>
      <c r="E496">
        <v>5</v>
      </c>
      <c r="F496">
        <v>225000</v>
      </c>
      <c r="G496">
        <v>10000</v>
      </c>
      <c r="H496">
        <v>215000</v>
      </c>
      <c r="I496" t="s">
        <v>1217</v>
      </c>
      <c r="J496" t="s">
        <v>10</v>
      </c>
    </row>
    <row r="497" spans="1:10" x14ac:dyDescent="0.25">
      <c r="A497" t="s">
        <v>555</v>
      </c>
      <c r="B497" t="s">
        <v>1239</v>
      </c>
      <c r="C497" t="s">
        <v>1196</v>
      </c>
      <c r="D497" t="s">
        <v>1210</v>
      </c>
      <c r="E497">
        <v>9</v>
      </c>
      <c r="F497">
        <v>2250000</v>
      </c>
      <c r="G497">
        <v>0</v>
      </c>
      <c r="H497">
        <v>2250000</v>
      </c>
      <c r="I497" t="s">
        <v>412</v>
      </c>
      <c r="J497" t="s">
        <v>20</v>
      </c>
    </row>
    <row r="498" spans="1:10" x14ac:dyDescent="0.25">
      <c r="A498" t="s">
        <v>556</v>
      </c>
      <c r="B498" t="s">
        <v>1199</v>
      </c>
      <c r="C498" t="s">
        <v>29</v>
      </c>
      <c r="D498" t="s">
        <v>1203</v>
      </c>
      <c r="E498">
        <v>4</v>
      </c>
      <c r="F498">
        <v>300000</v>
      </c>
      <c r="G498">
        <v>10000</v>
      </c>
      <c r="H498">
        <v>290000</v>
      </c>
      <c r="I498" t="s">
        <v>61</v>
      </c>
      <c r="J498" t="s">
        <v>5</v>
      </c>
    </row>
    <row r="499" spans="1:10" x14ac:dyDescent="0.25">
      <c r="A499" t="s">
        <v>557</v>
      </c>
      <c r="B499" t="s">
        <v>1195</v>
      </c>
      <c r="C499" t="s">
        <v>1204</v>
      </c>
      <c r="D499" t="s">
        <v>1203</v>
      </c>
      <c r="E499">
        <v>3</v>
      </c>
      <c r="F499">
        <v>750000</v>
      </c>
      <c r="G499">
        <v>0</v>
      </c>
      <c r="H499">
        <v>-750000</v>
      </c>
      <c r="I499" t="s">
        <v>1145</v>
      </c>
      <c r="J499" t="s">
        <v>20</v>
      </c>
    </row>
    <row r="500" spans="1:10" x14ac:dyDescent="0.25">
      <c r="A500" t="s">
        <v>558</v>
      </c>
      <c r="B500" t="s">
        <v>1192</v>
      </c>
      <c r="C500" t="s">
        <v>1193</v>
      </c>
      <c r="D500" t="s">
        <v>1197</v>
      </c>
      <c r="E500">
        <v>5</v>
      </c>
      <c r="F500">
        <v>925000</v>
      </c>
      <c r="G500">
        <v>0</v>
      </c>
      <c r="H500">
        <v>925000</v>
      </c>
      <c r="I500" t="s">
        <v>1124</v>
      </c>
      <c r="J500" t="s">
        <v>5</v>
      </c>
    </row>
    <row r="501" spans="1:10" x14ac:dyDescent="0.25">
      <c r="A501" t="s">
        <v>559</v>
      </c>
      <c r="B501" t="s">
        <v>1251</v>
      </c>
      <c r="C501" t="s">
        <v>1204</v>
      </c>
      <c r="D501" t="s">
        <v>1203</v>
      </c>
      <c r="E501">
        <v>9</v>
      </c>
      <c r="F501">
        <v>675000</v>
      </c>
      <c r="G501">
        <v>0</v>
      </c>
      <c r="H501">
        <v>675000</v>
      </c>
      <c r="I501" t="s">
        <v>1222</v>
      </c>
      <c r="J501" t="s">
        <v>5</v>
      </c>
    </row>
    <row r="502" spans="1:10" x14ac:dyDescent="0.25">
      <c r="A502" t="s">
        <v>560</v>
      </c>
      <c r="B502" t="s">
        <v>1230</v>
      </c>
      <c r="C502" t="s">
        <v>1208</v>
      </c>
      <c r="D502" t="s">
        <v>1203</v>
      </c>
      <c r="E502">
        <v>10</v>
      </c>
      <c r="F502">
        <v>450000</v>
      </c>
      <c r="G502">
        <v>0</v>
      </c>
      <c r="H502">
        <v>450000</v>
      </c>
      <c r="I502" t="s">
        <v>1241</v>
      </c>
      <c r="J502" t="s">
        <v>5</v>
      </c>
    </row>
    <row r="503" spans="1:10" x14ac:dyDescent="0.25">
      <c r="A503" t="s">
        <v>561</v>
      </c>
      <c r="B503" t="s">
        <v>1199</v>
      </c>
      <c r="C503" t="s">
        <v>1200</v>
      </c>
      <c r="D503" t="s">
        <v>1203</v>
      </c>
      <c r="E503">
        <v>1</v>
      </c>
      <c r="F503">
        <v>185000</v>
      </c>
      <c r="G503">
        <v>0</v>
      </c>
      <c r="H503">
        <v>185000</v>
      </c>
      <c r="I503" t="s">
        <v>1415</v>
      </c>
      <c r="J503" t="s">
        <v>33</v>
      </c>
    </row>
    <row r="504" spans="1:10" x14ac:dyDescent="0.25">
      <c r="A504" t="s">
        <v>562</v>
      </c>
      <c r="B504" t="s">
        <v>1206</v>
      </c>
      <c r="C504" t="s">
        <v>1219</v>
      </c>
      <c r="D504" t="s">
        <v>1194</v>
      </c>
      <c r="E504">
        <v>9</v>
      </c>
      <c r="F504">
        <v>405000</v>
      </c>
      <c r="G504">
        <v>0</v>
      </c>
      <c r="H504" t="s">
        <v>92</v>
      </c>
      <c r="I504" t="s">
        <v>534</v>
      </c>
      <c r="J504" t="s">
        <v>20</v>
      </c>
    </row>
    <row r="505" spans="1:10" x14ac:dyDescent="0.25">
      <c r="A505" t="s">
        <v>563</v>
      </c>
      <c r="B505" t="s">
        <v>1195</v>
      </c>
      <c r="C505" t="s">
        <v>1200</v>
      </c>
      <c r="D505" t="s">
        <v>1213</v>
      </c>
      <c r="E505">
        <v>4</v>
      </c>
      <c r="F505">
        <v>180000</v>
      </c>
      <c r="G505">
        <v>15000</v>
      </c>
      <c r="H505">
        <v>165000</v>
      </c>
      <c r="I505" t="s">
        <v>1223</v>
      </c>
      <c r="J505" t="s">
        <v>10</v>
      </c>
    </row>
    <row r="506" spans="1:10" x14ac:dyDescent="0.25">
      <c r="A506" t="s">
        <v>564</v>
      </c>
      <c r="B506" t="s">
        <v>1192</v>
      </c>
      <c r="C506" t="s">
        <v>1208</v>
      </c>
      <c r="D506" t="s">
        <v>1203</v>
      </c>
      <c r="E506">
        <v>4</v>
      </c>
      <c r="F506">
        <v>1000000</v>
      </c>
      <c r="G506">
        <v>15000</v>
      </c>
      <c r="H506">
        <v>985000</v>
      </c>
      <c r="I506" t="s">
        <v>1416</v>
      </c>
      <c r="J506" t="s">
        <v>33</v>
      </c>
    </row>
    <row r="507" spans="1:10" x14ac:dyDescent="0.25">
      <c r="A507" t="s">
        <v>565</v>
      </c>
      <c r="B507" t="s">
        <v>1195</v>
      </c>
      <c r="C507" t="s">
        <v>1200</v>
      </c>
      <c r="D507" t="s">
        <v>1194</v>
      </c>
      <c r="E507">
        <v>9</v>
      </c>
      <c r="F507">
        <v>405000</v>
      </c>
      <c r="G507">
        <v>0</v>
      </c>
      <c r="H507">
        <v>405000</v>
      </c>
      <c r="I507" t="s">
        <v>566</v>
      </c>
      <c r="J507" t="s">
        <v>5</v>
      </c>
    </row>
    <row r="508" spans="1:10" x14ac:dyDescent="0.25">
      <c r="A508" t="s">
        <v>567</v>
      </c>
      <c r="B508" t="s">
        <v>1199</v>
      </c>
      <c r="C508" t="s">
        <v>1285</v>
      </c>
      <c r="D508" t="s">
        <v>1210</v>
      </c>
      <c r="E508">
        <v>10</v>
      </c>
      <c r="F508">
        <v>1850000</v>
      </c>
      <c r="G508">
        <v>0</v>
      </c>
      <c r="H508">
        <v>1850000</v>
      </c>
      <c r="I508" t="s">
        <v>1135</v>
      </c>
      <c r="J508" t="s">
        <v>33</v>
      </c>
    </row>
    <row r="509" spans="1:10" x14ac:dyDescent="0.25">
      <c r="A509" t="s">
        <v>568</v>
      </c>
      <c r="B509" t="s">
        <v>1199</v>
      </c>
      <c r="C509" t="s">
        <v>1193</v>
      </c>
      <c r="D509" t="s">
        <v>1194</v>
      </c>
      <c r="E509">
        <v>10</v>
      </c>
      <c r="F509">
        <v>2500000</v>
      </c>
      <c r="G509">
        <v>0</v>
      </c>
      <c r="H509">
        <v>2500000</v>
      </c>
      <c r="I509" t="s">
        <v>1345</v>
      </c>
      <c r="J509" t="s">
        <v>33</v>
      </c>
    </row>
    <row r="510" spans="1:10" x14ac:dyDescent="0.25">
      <c r="A510" t="s">
        <v>569</v>
      </c>
      <c r="B510" t="s">
        <v>1199</v>
      </c>
      <c r="C510" t="s">
        <v>1285</v>
      </c>
      <c r="D510" t="s">
        <v>1210</v>
      </c>
      <c r="E510">
        <v>5</v>
      </c>
      <c r="F510">
        <v>225000</v>
      </c>
      <c r="G510">
        <v>0</v>
      </c>
      <c r="H510">
        <v>225000</v>
      </c>
      <c r="I510" t="s">
        <v>1417</v>
      </c>
      <c r="J510" t="s">
        <v>20</v>
      </c>
    </row>
    <row r="511" spans="1:10" x14ac:dyDescent="0.25">
      <c r="A511" t="s">
        <v>570</v>
      </c>
      <c r="B511" t="s">
        <v>1225</v>
      </c>
      <c r="C511" t="s">
        <v>29</v>
      </c>
      <c r="D511" t="s">
        <v>1203</v>
      </c>
      <c r="E511">
        <v>8</v>
      </c>
      <c r="F511">
        <v>2000000</v>
      </c>
      <c r="G511">
        <v>0</v>
      </c>
      <c r="H511">
        <v>2000000</v>
      </c>
      <c r="I511" t="s">
        <v>1314</v>
      </c>
      <c r="J511" t="s">
        <v>10</v>
      </c>
    </row>
    <row r="512" spans="1:10" x14ac:dyDescent="0.25">
      <c r="A512" t="s">
        <v>571</v>
      </c>
      <c r="B512" t="s">
        <v>1192</v>
      </c>
      <c r="C512" t="s">
        <v>1196</v>
      </c>
      <c r="D512" t="s">
        <v>1210</v>
      </c>
      <c r="E512">
        <v>5</v>
      </c>
      <c r="F512">
        <v>600000</v>
      </c>
      <c r="G512">
        <v>15000</v>
      </c>
      <c r="H512">
        <v>585000</v>
      </c>
      <c r="I512" t="s">
        <v>1142</v>
      </c>
      <c r="J512" t="s">
        <v>10</v>
      </c>
    </row>
    <row r="513" spans="1:10" x14ac:dyDescent="0.25">
      <c r="A513" t="s">
        <v>572</v>
      </c>
      <c r="B513" t="s">
        <v>1239</v>
      </c>
      <c r="C513" t="s">
        <v>1208</v>
      </c>
      <c r="D513" t="s">
        <v>1210</v>
      </c>
      <c r="E513">
        <v>7</v>
      </c>
      <c r="F513">
        <v>840000</v>
      </c>
      <c r="G513">
        <v>15000</v>
      </c>
      <c r="H513">
        <v>825000</v>
      </c>
      <c r="I513" t="s">
        <v>1418</v>
      </c>
      <c r="J513" t="s">
        <v>10</v>
      </c>
    </row>
    <row r="514" spans="1:10" x14ac:dyDescent="0.25">
      <c r="A514" t="s">
        <v>573</v>
      </c>
      <c r="B514" t="s">
        <v>1206</v>
      </c>
      <c r="C514" t="s">
        <v>1208</v>
      </c>
      <c r="D514" t="s">
        <v>1210</v>
      </c>
      <c r="E514">
        <v>1</v>
      </c>
      <c r="F514">
        <v>45000</v>
      </c>
      <c r="G514">
        <v>0</v>
      </c>
      <c r="H514">
        <v>45000</v>
      </c>
      <c r="I514" t="s">
        <v>46</v>
      </c>
      <c r="J514" t="s">
        <v>33</v>
      </c>
    </row>
    <row r="515" spans="1:10" x14ac:dyDescent="0.25">
      <c r="A515" t="s">
        <v>574</v>
      </c>
      <c r="B515" t="s">
        <v>1195</v>
      </c>
      <c r="C515" t="s">
        <v>1200</v>
      </c>
      <c r="D515" t="s">
        <v>1194</v>
      </c>
      <c r="E515">
        <v>10</v>
      </c>
      <c r="F515">
        <v>750000</v>
      </c>
      <c r="G515">
        <v>0</v>
      </c>
      <c r="H515">
        <v>750000</v>
      </c>
      <c r="I515" t="s">
        <v>1309</v>
      </c>
      <c r="J515" t="s">
        <v>10</v>
      </c>
    </row>
    <row r="516" spans="1:10" x14ac:dyDescent="0.25">
      <c r="A516" t="s">
        <v>575</v>
      </c>
      <c r="B516" t="s">
        <v>1195</v>
      </c>
      <c r="C516" t="s">
        <v>1193</v>
      </c>
      <c r="D516" t="s">
        <v>1203</v>
      </c>
      <c r="E516">
        <v>4</v>
      </c>
      <c r="F516">
        <v>180000</v>
      </c>
      <c r="G516">
        <v>0</v>
      </c>
      <c r="H516" t="s">
        <v>1247</v>
      </c>
      <c r="I516" t="s">
        <v>195</v>
      </c>
      <c r="J516" t="s">
        <v>5</v>
      </c>
    </row>
    <row r="517" spans="1:10" x14ac:dyDescent="0.25">
      <c r="A517" t="s">
        <v>576</v>
      </c>
      <c r="B517" t="s">
        <v>1206</v>
      </c>
      <c r="C517" t="s">
        <v>1208</v>
      </c>
      <c r="D517" t="s">
        <v>1197</v>
      </c>
      <c r="E517">
        <v>6</v>
      </c>
      <c r="F517">
        <v>450000</v>
      </c>
      <c r="G517">
        <v>0</v>
      </c>
      <c r="H517">
        <v>450000</v>
      </c>
      <c r="I517" t="s">
        <v>1304</v>
      </c>
      <c r="J517" t="s">
        <v>5</v>
      </c>
    </row>
    <row r="518" spans="1:10" x14ac:dyDescent="0.25">
      <c r="A518" t="s">
        <v>577</v>
      </c>
      <c r="B518" t="s">
        <v>1230</v>
      </c>
      <c r="C518" t="s">
        <v>29</v>
      </c>
      <c r="D518" t="s">
        <v>1210</v>
      </c>
      <c r="E518">
        <v>9</v>
      </c>
      <c r="F518">
        <v>1080000</v>
      </c>
      <c r="G518">
        <v>0</v>
      </c>
      <c r="H518">
        <v>1080000</v>
      </c>
      <c r="I518" t="s">
        <v>1415</v>
      </c>
      <c r="J518" t="s">
        <v>33</v>
      </c>
    </row>
    <row r="519" spans="1:10" x14ac:dyDescent="0.25">
      <c r="A519" t="s">
        <v>578</v>
      </c>
      <c r="B519" t="s">
        <v>1206</v>
      </c>
      <c r="C519" t="s">
        <v>1196</v>
      </c>
      <c r="D519" t="s">
        <v>1194</v>
      </c>
      <c r="E519">
        <v>9</v>
      </c>
      <c r="F519">
        <v>1080000</v>
      </c>
      <c r="G519">
        <v>5000</v>
      </c>
      <c r="H519">
        <v>1075000</v>
      </c>
      <c r="I519" t="s">
        <v>1217</v>
      </c>
      <c r="J519" t="s">
        <v>5</v>
      </c>
    </row>
    <row r="520" spans="1:10" x14ac:dyDescent="0.25">
      <c r="A520" t="s">
        <v>579</v>
      </c>
      <c r="B520" t="s">
        <v>1195</v>
      </c>
      <c r="C520" t="s">
        <v>1204</v>
      </c>
      <c r="D520" t="s">
        <v>1203</v>
      </c>
      <c r="E520">
        <v>9</v>
      </c>
      <c r="F520">
        <v>2250000</v>
      </c>
      <c r="G520">
        <v>10000</v>
      </c>
      <c r="H520">
        <v>2240000</v>
      </c>
      <c r="I520" t="s">
        <v>1419</v>
      </c>
      <c r="J520" t="s">
        <v>33</v>
      </c>
    </row>
    <row r="521" spans="1:10" x14ac:dyDescent="0.25">
      <c r="A521" t="s">
        <v>580</v>
      </c>
      <c r="B521" t="s">
        <v>1199</v>
      </c>
      <c r="C521" t="s">
        <v>1200</v>
      </c>
      <c r="D521" t="s">
        <v>1213</v>
      </c>
      <c r="E521">
        <v>5</v>
      </c>
      <c r="F521">
        <v>1250000</v>
      </c>
      <c r="G521">
        <v>0</v>
      </c>
      <c r="H521">
        <v>1250000</v>
      </c>
      <c r="I521" t="s">
        <v>1328</v>
      </c>
      <c r="J521" t="s">
        <v>33</v>
      </c>
    </row>
    <row r="522" spans="1:10" x14ac:dyDescent="0.25">
      <c r="A522" t="s">
        <v>581</v>
      </c>
      <c r="B522" t="s">
        <v>1199</v>
      </c>
      <c r="C522" t="s">
        <v>1196</v>
      </c>
      <c r="D522" t="s">
        <v>1210</v>
      </c>
      <c r="E522">
        <v>8</v>
      </c>
      <c r="F522">
        <v>1480000</v>
      </c>
      <c r="G522">
        <v>0</v>
      </c>
      <c r="H522">
        <v>1480000</v>
      </c>
      <c r="I522" t="s">
        <v>1328</v>
      </c>
      <c r="J522" t="s">
        <v>33</v>
      </c>
    </row>
    <row r="523" spans="1:10" x14ac:dyDescent="0.25">
      <c r="A523" t="s">
        <v>582</v>
      </c>
      <c r="B523" t="s">
        <v>1192</v>
      </c>
      <c r="C523" t="s">
        <v>29</v>
      </c>
      <c r="D523" t="s">
        <v>1210</v>
      </c>
      <c r="E523">
        <v>4</v>
      </c>
      <c r="F523">
        <v>1000000</v>
      </c>
      <c r="G523">
        <v>0</v>
      </c>
      <c r="H523" t="s">
        <v>1420</v>
      </c>
      <c r="I523" t="s">
        <v>1242</v>
      </c>
      <c r="J523" t="s">
        <v>10</v>
      </c>
    </row>
    <row r="524" spans="1:10" x14ac:dyDescent="0.25">
      <c r="A524" t="s">
        <v>583</v>
      </c>
      <c r="B524" t="s">
        <v>1192</v>
      </c>
      <c r="C524" t="s">
        <v>1193</v>
      </c>
      <c r="D524" t="s">
        <v>1197</v>
      </c>
      <c r="E524">
        <v>6</v>
      </c>
      <c r="F524">
        <v>270000</v>
      </c>
      <c r="G524">
        <v>0</v>
      </c>
      <c r="H524">
        <v>270000</v>
      </c>
      <c r="I524" t="s">
        <v>1334</v>
      </c>
      <c r="J524" t="s">
        <v>20</v>
      </c>
    </row>
    <row r="525" spans="1:10" x14ac:dyDescent="0.25">
      <c r="A525" t="s">
        <v>584</v>
      </c>
      <c r="B525" t="s">
        <v>1195</v>
      </c>
      <c r="C525" t="s">
        <v>1200</v>
      </c>
      <c r="D525" t="s">
        <v>1203</v>
      </c>
      <c r="E525">
        <v>7</v>
      </c>
      <c r="F525">
        <v>525000</v>
      </c>
      <c r="G525">
        <v>0</v>
      </c>
      <c r="H525">
        <v>525000</v>
      </c>
      <c r="I525" t="s">
        <v>115</v>
      </c>
      <c r="J525" t="s">
        <v>20</v>
      </c>
    </row>
    <row r="526" spans="1:10" x14ac:dyDescent="0.25">
      <c r="A526" t="s">
        <v>585</v>
      </c>
      <c r="B526" t="s">
        <v>1239</v>
      </c>
      <c r="C526" t="s">
        <v>1208</v>
      </c>
      <c r="D526" t="s">
        <v>1203</v>
      </c>
      <c r="E526">
        <v>3</v>
      </c>
      <c r="F526">
        <v>135000</v>
      </c>
      <c r="G526">
        <v>0</v>
      </c>
      <c r="H526">
        <v>135000</v>
      </c>
      <c r="I526" t="s">
        <v>1398</v>
      </c>
      <c r="J526" t="s">
        <v>10</v>
      </c>
    </row>
    <row r="527" spans="1:10" x14ac:dyDescent="0.25">
      <c r="A527" t="s">
        <v>586</v>
      </c>
      <c r="B527" t="s">
        <v>1206</v>
      </c>
      <c r="C527" t="s">
        <v>1196</v>
      </c>
      <c r="D527" t="s">
        <v>1203</v>
      </c>
      <c r="E527">
        <v>8</v>
      </c>
      <c r="F527">
        <v>1480000</v>
      </c>
      <c r="G527">
        <v>5000</v>
      </c>
      <c r="H527">
        <v>1475000</v>
      </c>
      <c r="I527" t="s">
        <v>1408</v>
      </c>
      <c r="J527" t="s">
        <v>33</v>
      </c>
    </row>
    <row r="528" spans="1:10" x14ac:dyDescent="0.25">
      <c r="A528" t="s">
        <v>587</v>
      </c>
      <c r="B528" t="s">
        <v>1195</v>
      </c>
      <c r="C528" t="s">
        <v>1226</v>
      </c>
      <c r="D528" t="s">
        <v>1194</v>
      </c>
      <c r="E528">
        <v>6</v>
      </c>
      <c r="F528">
        <v>720000</v>
      </c>
      <c r="G528">
        <v>0</v>
      </c>
      <c r="H528">
        <v>720000</v>
      </c>
      <c r="I528" t="s">
        <v>76</v>
      </c>
      <c r="J528" t="s">
        <v>5</v>
      </c>
    </row>
    <row r="529" spans="1:10" x14ac:dyDescent="0.25">
      <c r="A529" t="s">
        <v>588</v>
      </c>
      <c r="B529" t="s">
        <v>1192</v>
      </c>
      <c r="C529" t="s">
        <v>1204</v>
      </c>
      <c r="D529" t="s">
        <v>1197</v>
      </c>
      <c r="E529">
        <v>3</v>
      </c>
      <c r="F529">
        <v>225000</v>
      </c>
      <c r="G529">
        <v>0</v>
      </c>
      <c r="H529">
        <v>-225000</v>
      </c>
      <c r="I529" t="s">
        <v>14</v>
      </c>
      <c r="J529" t="s">
        <v>10</v>
      </c>
    </row>
    <row r="530" spans="1:10" x14ac:dyDescent="0.25">
      <c r="A530" t="s">
        <v>589</v>
      </c>
      <c r="B530" t="s">
        <v>1192</v>
      </c>
      <c r="C530" t="s">
        <v>1196</v>
      </c>
      <c r="D530" t="s">
        <v>1197</v>
      </c>
      <c r="E530">
        <v>8</v>
      </c>
      <c r="F530">
        <v>960000</v>
      </c>
      <c r="G530">
        <v>10000</v>
      </c>
      <c r="H530">
        <v>950000</v>
      </c>
      <c r="I530" t="s">
        <v>1256</v>
      </c>
      <c r="J530" t="s">
        <v>33</v>
      </c>
    </row>
    <row r="531" spans="1:10" x14ac:dyDescent="0.25">
      <c r="A531" t="s">
        <v>590</v>
      </c>
      <c r="B531" t="s">
        <v>1192</v>
      </c>
      <c r="C531" t="s">
        <v>1200</v>
      </c>
      <c r="D531" t="s">
        <v>1213</v>
      </c>
      <c r="E531">
        <v>7</v>
      </c>
      <c r="F531">
        <v>315000</v>
      </c>
      <c r="G531">
        <v>0</v>
      </c>
      <c r="H531" t="s">
        <v>1409</v>
      </c>
      <c r="I531" t="s">
        <v>1124</v>
      </c>
      <c r="J531" t="s">
        <v>33</v>
      </c>
    </row>
    <row r="532" spans="1:10" x14ac:dyDescent="0.25">
      <c r="A532" t="s">
        <v>591</v>
      </c>
      <c r="B532" t="s">
        <v>1206</v>
      </c>
      <c r="C532" t="s">
        <v>1262</v>
      </c>
      <c r="D532" t="s">
        <v>1203</v>
      </c>
      <c r="E532">
        <v>4</v>
      </c>
      <c r="F532">
        <v>300000</v>
      </c>
      <c r="G532">
        <v>0</v>
      </c>
      <c r="H532">
        <v>300000</v>
      </c>
      <c r="I532" t="s">
        <v>354</v>
      </c>
      <c r="J532" t="s">
        <v>10</v>
      </c>
    </row>
    <row r="533" spans="1:10" x14ac:dyDescent="0.25">
      <c r="A533" t="s">
        <v>592</v>
      </c>
      <c r="B533" t="s">
        <v>1192</v>
      </c>
      <c r="C533" t="s">
        <v>1200</v>
      </c>
      <c r="D533" t="s">
        <v>1213</v>
      </c>
      <c r="E533">
        <v>8</v>
      </c>
      <c r="F533">
        <v>1480000</v>
      </c>
      <c r="G533">
        <v>0</v>
      </c>
      <c r="H533">
        <v>1480000</v>
      </c>
      <c r="I533" t="s">
        <v>1220</v>
      </c>
      <c r="J533" t="s">
        <v>20</v>
      </c>
    </row>
    <row r="534" spans="1:10" x14ac:dyDescent="0.25">
      <c r="A534" t="s">
        <v>593</v>
      </c>
      <c r="B534" t="s">
        <v>1199</v>
      </c>
      <c r="C534" t="s">
        <v>1285</v>
      </c>
      <c r="D534" t="s">
        <v>1203</v>
      </c>
      <c r="E534">
        <v>5</v>
      </c>
      <c r="F534">
        <v>375000</v>
      </c>
      <c r="G534">
        <v>0</v>
      </c>
      <c r="H534" t="s">
        <v>1421</v>
      </c>
      <c r="I534" t="s">
        <v>1422</v>
      </c>
      <c r="J534" t="s">
        <v>5</v>
      </c>
    </row>
    <row r="535" spans="1:10" x14ac:dyDescent="0.25">
      <c r="A535" t="s">
        <v>594</v>
      </c>
      <c r="B535" t="s">
        <v>1199</v>
      </c>
      <c r="C535" t="s">
        <v>1193</v>
      </c>
      <c r="D535" t="s">
        <v>1203</v>
      </c>
      <c r="E535">
        <v>5</v>
      </c>
      <c r="F535">
        <v>925000</v>
      </c>
      <c r="G535">
        <v>0</v>
      </c>
      <c r="H535" t="s">
        <v>92</v>
      </c>
      <c r="I535" t="s">
        <v>595</v>
      </c>
      <c r="J535" t="s">
        <v>10</v>
      </c>
    </row>
    <row r="536" spans="1:10" x14ac:dyDescent="0.25">
      <c r="A536" t="s">
        <v>596</v>
      </c>
      <c r="B536" t="s">
        <v>1195</v>
      </c>
      <c r="C536" t="s">
        <v>1193</v>
      </c>
      <c r="D536" t="s">
        <v>1210</v>
      </c>
      <c r="E536">
        <v>4</v>
      </c>
      <c r="F536">
        <v>1000000</v>
      </c>
      <c r="G536">
        <v>10000</v>
      </c>
      <c r="H536" t="s">
        <v>1423</v>
      </c>
      <c r="I536" t="s">
        <v>1294</v>
      </c>
      <c r="J536" t="s">
        <v>5</v>
      </c>
    </row>
    <row r="537" spans="1:10" x14ac:dyDescent="0.25">
      <c r="A537" t="s">
        <v>597</v>
      </c>
      <c r="B537" t="s">
        <v>1192</v>
      </c>
      <c r="C537" t="s">
        <v>1193</v>
      </c>
      <c r="D537" t="s">
        <v>1213</v>
      </c>
      <c r="E537">
        <v>6</v>
      </c>
      <c r="F537">
        <v>720000</v>
      </c>
      <c r="G537">
        <v>0</v>
      </c>
      <c r="H537">
        <v>720000</v>
      </c>
      <c r="I537" t="s">
        <v>1424</v>
      </c>
      <c r="J537" t="s">
        <v>20</v>
      </c>
    </row>
    <row r="538" spans="1:10" x14ac:dyDescent="0.25">
      <c r="A538" t="s">
        <v>598</v>
      </c>
      <c r="B538" t="s">
        <v>1225</v>
      </c>
      <c r="C538" t="s">
        <v>29</v>
      </c>
      <c r="D538" t="s">
        <v>1210</v>
      </c>
      <c r="E538">
        <v>8</v>
      </c>
      <c r="F538">
        <v>360000</v>
      </c>
      <c r="G538">
        <v>0</v>
      </c>
      <c r="H538">
        <v>360000</v>
      </c>
      <c r="I538" t="s">
        <v>1218</v>
      </c>
      <c r="J538" t="s">
        <v>5</v>
      </c>
    </row>
    <row r="539" spans="1:10" x14ac:dyDescent="0.25">
      <c r="A539" t="s">
        <v>599</v>
      </c>
      <c r="B539" t="s">
        <v>1192</v>
      </c>
      <c r="C539" t="s">
        <v>1200</v>
      </c>
      <c r="D539" t="s">
        <v>1197</v>
      </c>
      <c r="E539">
        <v>5</v>
      </c>
      <c r="F539">
        <v>600000</v>
      </c>
      <c r="G539">
        <v>0</v>
      </c>
      <c r="H539">
        <v>600000</v>
      </c>
      <c r="I539" t="s">
        <v>267</v>
      </c>
      <c r="J539" t="s">
        <v>20</v>
      </c>
    </row>
    <row r="540" spans="1:10" x14ac:dyDescent="0.25">
      <c r="A540" t="s">
        <v>600</v>
      </c>
      <c r="B540" t="s">
        <v>1195</v>
      </c>
      <c r="C540" t="s">
        <v>1208</v>
      </c>
      <c r="D540" t="s">
        <v>1203</v>
      </c>
      <c r="E540">
        <v>2</v>
      </c>
      <c r="F540">
        <v>90000</v>
      </c>
      <c r="G540">
        <v>0</v>
      </c>
      <c r="H540">
        <v>90000</v>
      </c>
      <c r="I540" t="s">
        <v>152</v>
      </c>
      <c r="J540" t="s">
        <v>5</v>
      </c>
    </row>
    <row r="541" spans="1:10" x14ac:dyDescent="0.25">
      <c r="A541" t="s">
        <v>601</v>
      </c>
      <c r="B541" t="s">
        <v>1199</v>
      </c>
      <c r="C541" t="s">
        <v>29</v>
      </c>
      <c r="D541" t="s">
        <v>1210</v>
      </c>
      <c r="E541">
        <v>5</v>
      </c>
      <c r="F541">
        <v>375000</v>
      </c>
      <c r="G541">
        <v>0</v>
      </c>
      <c r="H541">
        <v>375000</v>
      </c>
      <c r="I541" t="s">
        <v>1329</v>
      </c>
      <c r="J541" t="s">
        <v>10</v>
      </c>
    </row>
    <row r="542" spans="1:10" x14ac:dyDescent="0.25">
      <c r="A542" t="s">
        <v>50</v>
      </c>
      <c r="B542" t="s">
        <v>1206</v>
      </c>
      <c r="C542" t="s">
        <v>1200</v>
      </c>
      <c r="D542" t="s">
        <v>1203</v>
      </c>
      <c r="E542">
        <v>9</v>
      </c>
      <c r="F542">
        <v>1665000</v>
      </c>
      <c r="G542">
        <v>10000</v>
      </c>
      <c r="H542">
        <v>1655000</v>
      </c>
      <c r="I542" t="s">
        <v>532</v>
      </c>
      <c r="J542" t="s">
        <v>33</v>
      </c>
    </row>
    <row r="543" spans="1:10" x14ac:dyDescent="0.25">
      <c r="A543" t="s">
        <v>602</v>
      </c>
      <c r="B543" t="s">
        <v>1192</v>
      </c>
      <c r="C543" t="s">
        <v>1196</v>
      </c>
      <c r="D543" t="s">
        <v>1203</v>
      </c>
      <c r="E543">
        <v>7</v>
      </c>
      <c r="F543">
        <v>1295000</v>
      </c>
      <c r="G543">
        <v>15000</v>
      </c>
      <c r="H543">
        <v>1280000</v>
      </c>
      <c r="I543" t="s">
        <v>1333</v>
      </c>
      <c r="J543" t="s">
        <v>5</v>
      </c>
    </row>
    <row r="544" spans="1:10" x14ac:dyDescent="0.25">
      <c r="A544" t="s">
        <v>603</v>
      </c>
      <c r="B544" t="s">
        <v>1206</v>
      </c>
      <c r="C544" t="s">
        <v>1208</v>
      </c>
      <c r="D544" t="s">
        <v>1210</v>
      </c>
      <c r="E544">
        <v>4</v>
      </c>
      <c r="F544">
        <v>300000</v>
      </c>
      <c r="G544">
        <v>0</v>
      </c>
      <c r="H544" t="s">
        <v>1286</v>
      </c>
      <c r="I544" t="s">
        <v>1156</v>
      </c>
      <c r="J544" t="s">
        <v>5</v>
      </c>
    </row>
    <row r="545" spans="1:10" x14ac:dyDescent="0.25">
      <c r="A545" t="s">
        <v>604</v>
      </c>
      <c r="B545" t="s">
        <v>1199</v>
      </c>
      <c r="C545" t="s">
        <v>1200</v>
      </c>
      <c r="D545" t="s">
        <v>1210</v>
      </c>
      <c r="E545">
        <v>4</v>
      </c>
      <c r="F545">
        <v>480000</v>
      </c>
      <c r="G545">
        <v>0</v>
      </c>
      <c r="H545">
        <v>480000</v>
      </c>
      <c r="I545" t="s">
        <v>1313</v>
      </c>
      <c r="J545" t="s">
        <v>33</v>
      </c>
    </row>
    <row r="546" spans="1:10" x14ac:dyDescent="0.25">
      <c r="A546" t="s">
        <v>605</v>
      </c>
      <c r="B546" t="s">
        <v>1192</v>
      </c>
      <c r="C546" t="s">
        <v>29</v>
      </c>
      <c r="D546" t="s">
        <v>1210</v>
      </c>
      <c r="E546">
        <v>8</v>
      </c>
      <c r="F546">
        <v>1480000</v>
      </c>
      <c r="G546">
        <v>0</v>
      </c>
      <c r="H546">
        <v>1480000</v>
      </c>
      <c r="I546" t="s">
        <v>1425</v>
      </c>
      <c r="J546" t="s">
        <v>5</v>
      </c>
    </row>
    <row r="547" spans="1:10" x14ac:dyDescent="0.25">
      <c r="A547" t="s">
        <v>606</v>
      </c>
      <c r="B547" t="s">
        <v>1195</v>
      </c>
      <c r="C547" t="s">
        <v>1204</v>
      </c>
      <c r="D547" t="s">
        <v>1194</v>
      </c>
      <c r="E547">
        <v>6</v>
      </c>
      <c r="F547">
        <v>1500000</v>
      </c>
      <c r="G547">
        <v>0</v>
      </c>
      <c r="H547">
        <v>1500000</v>
      </c>
      <c r="I547" t="s">
        <v>1263</v>
      </c>
      <c r="J547" t="s">
        <v>5</v>
      </c>
    </row>
    <row r="548" spans="1:10" x14ac:dyDescent="0.25">
      <c r="A548" t="s">
        <v>607</v>
      </c>
      <c r="B548" t="s">
        <v>1192</v>
      </c>
      <c r="C548" t="s">
        <v>1196</v>
      </c>
      <c r="D548" t="s">
        <v>1213</v>
      </c>
      <c r="E548">
        <v>5</v>
      </c>
      <c r="F548">
        <v>1250000</v>
      </c>
      <c r="G548">
        <v>0</v>
      </c>
      <c r="H548" t="s">
        <v>1426</v>
      </c>
      <c r="I548" t="s">
        <v>532</v>
      </c>
      <c r="J548" t="s">
        <v>20</v>
      </c>
    </row>
    <row r="549" spans="1:10" x14ac:dyDescent="0.25">
      <c r="A549" t="s">
        <v>608</v>
      </c>
      <c r="B549" t="s">
        <v>1206</v>
      </c>
      <c r="C549" t="s">
        <v>1200</v>
      </c>
      <c r="D549" t="s">
        <v>1213</v>
      </c>
      <c r="E549">
        <v>9</v>
      </c>
      <c r="F549">
        <v>675000</v>
      </c>
      <c r="G549">
        <v>0</v>
      </c>
      <c r="H549">
        <v>675000</v>
      </c>
      <c r="I549" t="s">
        <v>1234</v>
      </c>
      <c r="J549" t="s">
        <v>33</v>
      </c>
    </row>
    <row r="550" spans="1:10" x14ac:dyDescent="0.25">
      <c r="A550" t="s">
        <v>609</v>
      </c>
      <c r="B550" t="s">
        <v>1195</v>
      </c>
      <c r="C550" t="s">
        <v>1196</v>
      </c>
      <c r="D550" t="s">
        <v>1194</v>
      </c>
      <c r="E550">
        <v>7</v>
      </c>
      <c r="F550">
        <v>525000</v>
      </c>
      <c r="G550">
        <v>10000</v>
      </c>
      <c r="H550">
        <v>515000</v>
      </c>
      <c r="I550" t="s">
        <v>1314</v>
      </c>
      <c r="J550" t="s">
        <v>20</v>
      </c>
    </row>
    <row r="551" spans="1:10" x14ac:dyDescent="0.25">
      <c r="A551" t="s">
        <v>610</v>
      </c>
      <c r="B551" t="s">
        <v>1192</v>
      </c>
      <c r="C551" t="s">
        <v>1202</v>
      </c>
      <c r="D551" t="s">
        <v>1203</v>
      </c>
      <c r="E551">
        <v>10</v>
      </c>
      <c r="F551">
        <v>1200000</v>
      </c>
      <c r="G551">
        <v>0</v>
      </c>
      <c r="H551">
        <v>1200000</v>
      </c>
      <c r="I551" t="s">
        <v>1201</v>
      </c>
      <c r="J551" t="s">
        <v>20</v>
      </c>
    </row>
    <row r="552" spans="1:10" x14ac:dyDescent="0.25">
      <c r="A552" t="s">
        <v>611</v>
      </c>
      <c r="B552" t="s">
        <v>1251</v>
      </c>
      <c r="C552" t="s">
        <v>1208</v>
      </c>
      <c r="D552" t="s">
        <v>1213</v>
      </c>
      <c r="E552">
        <v>8</v>
      </c>
      <c r="F552">
        <v>1480000</v>
      </c>
      <c r="G552">
        <v>0</v>
      </c>
      <c r="H552" t="s">
        <v>1243</v>
      </c>
      <c r="I552" t="s">
        <v>1287</v>
      </c>
      <c r="J552" t="s">
        <v>33</v>
      </c>
    </row>
    <row r="553" spans="1:10" x14ac:dyDescent="0.25">
      <c r="A553" t="s">
        <v>612</v>
      </c>
      <c r="B553" t="s">
        <v>1192</v>
      </c>
      <c r="C553" t="s">
        <v>29</v>
      </c>
      <c r="D553" t="s">
        <v>1210</v>
      </c>
      <c r="E553">
        <v>8</v>
      </c>
      <c r="F553">
        <v>960000</v>
      </c>
      <c r="G553">
        <v>10000</v>
      </c>
      <c r="H553">
        <v>950000</v>
      </c>
      <c r="I553" t="s">
        <v>1277</v>
      </c>
      <c r="J553" t="s">
        <v>20</v>
      </c>
    </row>
    <row r="554" spans="1:10" x14ac:dyDescent="0.25">
      <c r="A554" t="s">
        <v>613</v>
      </c>
      <c r="B554" t="s">
        <v>1195</v>
      </c>
      <c r="C554" t="s">
        <v>1200</v>
      </c>
      <c r="D554" t="s">
        <v>1197</v>
      </c>
      <c r="E554">
        <v>2</v>
      </c>
      <c r="F554">
        <v>370000</v>
      </c>
      <c r="G554">
        <v>5000</v>
      </c>
      <c r="H554">
        <v>365000</v>
      </c>
      <c r="I554" t="s">
        <v>132</v>
      </c>
      <c r="J554" t="s">
        <v>33</v>
      </c>
    </row>
    <row r="555" spans="1:10" x14ac:dyDescent="0.25">
      <c r="A555" t="s">
        <v>614</v>
      </c>
      <c r="B555" t="s">
        <v>1192</v>
      </c>
      <c r="C555" t="s">
        <v>29</v>
      </c>
      <c r="D555" t="s">
        <v>1213</v>
      </c>
      <c r="E555">
        <v>6</v>
      </c>
      <c r="F555">
        <v>1110000</v>
      </c>
      <c r="G555">
        <v>10000</v>
      </c>
      <c r="H555">
        <v>1100000</v>
      </c>
      <c r="I555" t="s">
        <v>1415</v>
      </c>
      <c r="J555" t="s">
        <v>20</v>
      </c>
    </row>
    <row r="556" spans="1:10" x14ac:dyDescent="0.25">
      <c r="A556" t="s">
        <v>615</v>
      </c>
      <c r="B556" t="s">
        <v>1199</v>
      </c>
      <c r="C556" t="s">
        <v>1193</v>
      </c>
      <c r="D556" t="s">
        <v>1203</v>
      </c>
      <c r="E556">
        <v>5</v>
      </c>
      <c r="F556">
        <v>375000</v>
      </c>
      <c r="G556">
        <v>0</v>
      </c>
      <c r="H556">
        <v>375000</v>
      </c>
      <c r="I556" t="s">
        <v>1338</v>
      </c>
      <c r="J556" t="s">
        <v>5</v>
      </c>
    </row>
    <row r="557" spans="1:10" x14ac:dyDescent="0.25">
      <c r="A557" t="s">
        <v>616</v>
      </c>
      <c r="B557" t="s">
        <v>1206</v>
      </c>
      <c r="C557" t="s">
        <v>1193</v>
      </c>
      <c r="D557" t="s">
        <v>1203</v>
      </c>
      <c r="E557">
        <v>6</v>
      </c>
      <c r="F557">
        <v>450000</v>
      </c>
      <c r="G557">
        <v>0</v>
      </c>
      <c r="H557">
        <v>450000</v>
      </c>
      <c r="I557" t="s">
        <v>1395</v>
      </c>
      <c r="J557" t="s">
        <v>20</v>
      </c>
    </row>
    <row r="558" spans="1:10" x14ac:dyDescent="0.25">
      <c r="A558" t="s">
        <v>617</v>
      </c>
      <c r="B558" t="s">
        <v>1192</v>
      </c>
      <c r="C558" t="s">
        <v>1196</v>
      </c>
      <c r="D558" t="s">
        <v>1194</v>
      </c>
      <c r="E558">
        <v>8</v>
      </c>
      <c r="F558">
        <v>360000</v>
      </c>
      <c r="G558">
        <v>5000</v>
      </c>
      <c r="H558">
        <v>355000</v>
      </c>
      <c r="I558" t="s">
        <v>1272</v>
      </c>
      <c r="J558" t="s">
        <v>5</v>
      </c>
    </row>
    <row r="559" spans="1:10" x14ac:dyDescent="0.25">
      <c r="A559" t="s">
        <v>618</v>
      </c>
      <c r="B559" t="s">
        <v>1192</v>
      </c>
      <c r="C559" t="s">
        <v>1193</v>
      </c>
      <c r="D559" t="s">
        <v>1197</v>
      </c>
      <c r="E559">
        <v>8</v>
      </c>
      <c r="F559">
        <v>1480000</v>
      </c>
      <c r="G559">
        <v>0</v>
      </c>
      <c r="H559">
        <v>-1480000</v>
      </c>
      <c r="I559" t="s">
        <v>1148</v>
      </c>
      <c r="J559" t="s">
        <v>20</v>
      </c>
    </row>
    <row r="560" spans="1:10" x14ac:dyDescent="0.25">
      <c r="A560" t="s">
        <v>619</v>
      </c>
      <c r="B560" t="s">
        <v>1206</v>
      </c>
      <c r="C560" t="s">
        <v>1200</v>
      </c>
      <c r="D560" t="s">
        <v>1213</v>
      </c>
      <c r="E560">
        <v>1</v>
      </c>
      <c r="F560">
        <v>75000</v>
      </c>
      <c r="G560">
        <v>0</v>
      </c>
      <c r="H560">
        <v>75000</v>
      </c>
      <c r="I560" t="s">
        <v>1372</v>
      </c>
      <c r="J560" t="s">
        <v>5</v>
      </c>
    </row>
    <row r="561" spans="1:10" x14ac:dyDescent="0.25">
      <c r="A561" t="s">
        <v>620</v>
      </c>
      <c r="B561" t="s">
        <v>1199</v>
      </c>
      <c r="C561" t="s">
        <v>1200</v>
      </c>
      <c r="D561" t="s">
        <v>1197</v>
      </c>
      <c r="E561">
        <v>9</v>
      </c>
      <c r="F561">
        <v>2250000</v>
      </c>
      <c r="G561">
        <v>0</v>
      </c>
      <c r="H561">
        <v>2250000</v>
      </c>
      <c r="I561" t="s">
        <v>1325</v>
      </c>
      <c r="J561" t="s">
        <v>20</v>
      </c>
    </row>
    <row r="562" spans="1:10" x14ac:dyDescent="0.25">
      <c r="A562" t="s">
        <v>621</v>
      </c>
      <c r="B562" t="s">
        <v>1192</v>
      </c>
      <c r="C562" t="s">
        <v>1196</v>
      </c>
      <c r="D562" t="s">
        <v>1210</v>
      </c>
      <c r="E562">
        <v>1</v>
      </c>
      <c r="F562">
        <v>45000</v>
      </c>
      <c r="G562">
        <v>0</v>
      </c>
      <c r="H562">
        <v>45000</v>
      </c>
      <c r="I562" t="s">
        <v>1121</v>
      </c>
      <c r="J562" t="s">
        <v>33</v>
      </c>
    </row>
    <row r="563" spans="1:10" x14ac:dyDescent="0.25">
      <c r="A563" t="s">
        <v>622</v>
      </c>
      <c r="B563" t="s">
        <v>1199</v>
      </c>
      <c r="C563" t="s">
        <v>1193</v>
      </c>
      <c r="D563" t="s">
        <v>1203</v>
      </c>
      <c r="E563">
        <v>10</v>
      </c>
      <c r="F563">
        <v>2500000</v>
      </c>
      <c r="G563">
        <v>0</v>
      </c>
      <c r="H563" t="s">
        <v>1427</v>
      </c>
      <c r="I563" t="s">
        <v>1234</v>
      </c>
      <c r="J563" t="s">
        <v>5</v>
      </c>
    </row>
    <row r="564" spans="1:10" x14ac:dyDescent="0.25">
      <c r="A564" t="s">
        <v>623</v>
      </c>
      <c r="B564" t="s">
        <v>1192</v>
      </c>
      <c r="C564" t="s">
        <v>1193</v>
      </c>
      <c r="D564" t="s">
        <v>1210</v>
      </c>
      <c r="E564">
        <v>10</v>
      </c>
      <c r="F564">
        <v>450000</v>
      </c>
      <c r="G564">
        <v>0</v>
      </c>
      <c r="H564">
        <v>-450000</v>
      </c>
      <c r="I564" t="s">
        <v>1150</v>
      </c>
      <c r="J564" t="s">
        <v>33</v>
      </c>
    </row>
    <row r="565" spans="1:10" x14ac:dyDescent="0.25">
      <c r="A565" t="s">
        <v>624</v>
      </c>
      <c r="B565" t="s">
        <v>1192</v>
      </c>
      <c r="C565" t="s">
        <v>29</v>
      </c>
      <c r="D565" t="s">
        <v>1194</v>
      </c>
      <c r="E565">
        <v>9</v>
      </c>
      <c r="F565">
        <v>1080000</v>
      </c>
      <c r="G565">
        <v>0</v>
      </c>
      <c r="H565">
        <v>1080000</v>
      </c>
      <c r="I565" t="s">
        <v>1428</v>
      </c>
      <c r="J565" t="s">
        <v>33</v>
      </c>
    </row>
    <row r="566" spans="1:10" x14ac:dyDescent="0.25">
      <c r="A566" t="s">
        <v>625</v>
      </c>
      <c r="B566" t="s">
        <v>1192</v>
      </c>
      <c r="C566" t="s">
        <v>1204</v>
      </c>
      <c r="D566" t="s">
        <v>1203</v>
      </c>
      <c r="E566">
        <v>6</v>
      </c>
      <c r="F566">
        <v>720000</v>
      </c>
      <c r="G566">
        <v>10000</v>
      </c>
      <c r="H566">
        <v>710000</v>
      </c>
      <c r="I566" t="s">
        <v>1347</v>
      </c>
      <c r="J566" t="s">
        <v>10</v>
      </c>
    </row>
    <row r="567" spans="1:10" x14ac:dyDescent="0.25">
      <c r="A567" t="s">
        <v>626</v>
      </c>
      <c r="B567" t="s">
        <v>1192</v>
      </c>
      <c r="C567" t="s">
        <v>1196</v>
      </c>
      <c r="D567" t="s">
        <v>1210</v>
      </c>
      <c r="E567">
        <v>3</v>
      </c>
      <c r="F567">
        <v>135000</v>
      </c>
      <c r="G567">
        <v>0</v>
      </c>
      <c r="H567">
        <v>-135000</v>
      </c>
      <c r="I567" t="s">
        <v>1152</v>
      </c>
      <c r="J567" t="s">
        <v>5</v>
      </c>
    </row>
    <row r="568" spans="1:10" x14ac:dyDescent="0.25">
      <c r="A568" t="s">
        <v>627</v>
      </c>
      <c r="B568" t="s">
        <v>1192</v>
      </c>
      <c r="C568" t="s">
        <v>1208</v>
      </c>
      <c r="D568" t="s">
        <v>1213</v>
      </c>
      <c r="E568">
        <v>4</v>
      </c>
      <c r="F568">
        <v>1000000</v>
      </c>
      <c r="G568">
        <v>10000</v>
      </c>
      <c r="H568">
        <v>990000</v>
      </c>
      <c r="I568" t="s">
        <v>1121</v>
      </c>
      <c r="J568" t="s">
        <v>10</v>
      </c>
    </row>
    <row r="569" spans="1:10" x14ac:dyDescent="0.25">
      <c r="A569" t="s">
        <v>628</v>
      </c>
      <c r="B569" t="s">
        <v>1195</v>
      </c>
      <c r="C569" t="s">
        <v>1196</v>
      </c>
      <c r="D569" t="s">
        <v>1210</v>
      </c>
      <c r="E569">
        <v>2</v>
      </c>
      <c r="F569">
        <v>240000</v>
      </c>
      <c r="G569">
        <v>10000</v>
      </c>
      <c r="H569">
        <v>230000</v>
      </c>
      <c r="I569" t="s">
        <v>1267</v>
      </c>
      <c r="J569" t="s">
        <v>10</v>
      </c>
    </row>
    <row r="570" spans="1:10" x14ac:dyDescent="0.25">
      <c r="A570" t="s">
        <v>629</v>
      </c>
      <c r="B570" t="s">
        <v>1195</v>
      </c>
      <c r="C570" t="s">
        <v>1204</v>
      </c>
      <c r="D570" t="s">
        <v>1197</v>
      </c>
      <c r="E570">
        <v>8</v>
      </c>
      <c r="F570">
        <v>2000000</v>
      </c>
      <c r="G570">
        <v>0</v>
      </c>
      <c r="H570">
        <v>2000000</v>
      </c>
      <c r="I570" t="s">
        <v>1396</v>
      </c>
      <c r="J570" t="s">
        <v>33</v>
      </c>
    </row>
    <row r="571" spans="1:10" x14ac:dyDescent="0.25">
      <c r="A571" t="s">
        <v>630</v>
      </c>
      <c r="B571" t="s">
        <v>1192</v>
      </c>
      <c r="C571" t="s">
        <v>29</v>
      </c>
      <c r="D571" t="s">
        <v>1197</v>
      </c>
      <c r="E571">
        <v>9</v>
      </c>
      <c r="F571">
        <v>1080000</v>
      </c>
      <c r="G571">
        <v>0</v>
      </c>
      <c r="H571">
        <v>1080000</v>
      </c>
      <c r="I571" t="s">
        <v>391</v>
      </c>
      <c r="J571" t="s">
        <v>10</v>
      </c>
    </row>
    <row r="572" spans="1:10" x14ac:dyDescent="0.25">
      <c r="A572" t="s">
        <v>631</v>
      </c>
      <c r="B572" t="s">
        <v>1192</v>
      </c>
      <c r="C572" t="s">
        <v>29</v>
      </c>
      <c r="D572" t="s">
        <v>1210</v>
      </c>
      <c r="E572">
        <v>8</v>
      </c>
      <c r="F572">
        <v>360000</v>
      </c>
      <c r="G572">
        <v>5000</v>
      </c>
      <c r="H572">
        <v>355000</v>
      </c>
      <c r="I572" t="s">
        <v>1268</v>
      </c>
      <c r="J572" t="s">
        <v>20</v>
      </c>
    </row>
    <row r="573" spans="1:10" x14ac:dyDescent="0.25">
      <c r="A573" t="s">
        <v>632</v>
      </c>
      <c r="B573" t="s">
        <v>1206</v>
      </c>
      <c r="C573" t="s">
        <v>29</v>
      </c>
      <c r="D573" t="s">
        <v>1210</v>
      </c>
      <c r="E573">
        <v>6</v>
      </c>
      <c r="F573">
        <v>720000</v>
      </c>
      <c r="G573">
        <v>0</v>
      </c>
      <c r="H573">
        <v>720000</v>
      </c>
      <c r="I573" t="s">
        <v>1418</v>
      </c>
      <c r="J573" t="s">
        <v>5</v>
      </c>
    </row>
    <row r="574" spans="1:10" x14ac:dyDescent="0.25">
      <c r="A574" t="s">
        <v>633</v>
      </c>
      <c r="B574" t="s">
        <v>1199</v>
      </c>
      <c r="C574" t="s">
        <v>1200</v>
      </c>
      <c r="D574" t="s">
        <v>1194</v>
      </c>
      <c r="E574">
        <v>1</v>
      </c>
      <c r="F574">
        <v>120000</v>
      </c>
      <c r="G574">
        <v>10000</v>
      </c>
      <c r="H574">
        <v>110000</v>
      </c>
      <c r="I574" t="s">
        <v>1207</v>
      </c>
      <c r="J574" t="s">
        <v>20</v>
      </c>
    </row>
    <row r="575" spans="1:10" x14ac:dyDescent="0.25">
      <c r="A575" t="s">
        <v>634</v>
      </c>
      <c r="B575" t="s">
        <v>1206</v>
      </c>
      <c r="C575" t="s">
        <v>29</v>
      </c>
      <c r="D575" t="s">
        <v>1210</v>
      </c>
      <c r="E575">
        <v>2</v>
      </c>
      <c r="F575">
        <v>500000</v>
      </c>
      <c r="G575">
        <v>5000</v>
      </c>
      <c r="H575">
        <v>495000</v>
      </c>
      <c r="I575" t="s">
        <v>1391</v>
      </c>
      <c r="J575" t="s">
        <v>10</v>
      </c>
    </row>
    <row r="576" spans="1:10" x14ac:dyDescent="0.25">
      <c r="A576" t="s">
        <v>635</v>
      </c>
      <c r="B576" t="s">
        <v>1192</v>
      </c>
      <c r="C576" t="s">
        <v>1265</v>
      </c>
      <c r="D576" t="s">
        <v>1197</v>
      </c>
      <c r="E576">
        <v>6</v>
      </c>
      <c r="F576">
        <v>1110000</v>
      </c>
      <c r="G576">
        <v>10000</v>
      </c>
      <c r="H576">
        <v>1100000</v>
      </c>
      <c r="I576" t="s">
        <v>271</v>
      </c>
      <c r="J576" t="s">
        <v>33</v>
      </c>
    </row>
    <row r="577" spans="1:10" x14ac:dyDescent="0.25">
      <c r="A577" t="s">
        <v>636</v>
      </c>
      <c r="B577" t="s">
        <v>1225</v>
      </c>
      <c r="C577" t="s">
        <v>1200</v>
      </c>
      <c r="D577" t="s">
        <v>1210</v>
      </c>
      <c r="E577">
        <v>8</v>
      </c>
      <c r="F577">
        <v>600000</v>
      </c>
      <c r="G577">
        <v>15000</v>
      </c>
      <c r="H577">
        <v>585000</v>
      </c>
      <c r="I577" t="s">
        <v>1340</v>
      </c>
      <c r="J577" t="s">
        <v>5</v>
      </c>
    </row>
    <row r="578" spans="1:10" x14ac:dyDescent="0.25">
      <c r="A578" t="s">
        <v>637</v>
      </c>
      <c r="B578" t="s">
        <v>1195</v>
      </c>
      <c r="C578" t="s">
        <v>1285</v>
      </c>
      <c r="D578" t="s">
        <v>1213</v>
      </c>
      <c r="E578">
        <v>6</v>
      </c>
      <c r="F578">
        <v>450000</v>
      </c>
      <c r="G578">
        <v>0</v>
      </c>
      <c r="H578">
        <v>450000</v>
      </c>
      <c r="I578" t="s">
        <v>1296</v>
      </c>
      <c r="J578" t="s">
        <v>33</v>
      </c>
    </row>
    <row r="579" spans="1:10" x14ac:dyDescent="0.25">
      <c r="A579" t="s">
        <v>638</v>
      </c>
      <c r="B579" t="s">
        <v>1195</v>
      </c>
      <c r="C579" t="s">
        <v>1193</v>
      </c>
      <c r="D579" t="s">
        <v>1194</v>
      </c>
      <c r="E579">
        <v>10</v>
      </c>
      <c r="F579">
        <v>1200000</v>
      </c>
      <c r="G579">
        <v>0</v>
      </c>
      <c r="H579">
        <v>1200000</v>
      </c>
      <c r="I579" t="s">
        <v>1383</v>
      </c>
      <c r="J579" t="s">
        <v>5</v>
      </c>
    </row>
    <row r="580" spans="1:10" x14ac:dyDescent="0.25">
      <c r="A580" t="s">
        <v>639</v>
      </c>
      <c r="B580" t="s">
        <v>1199</v>
      </c>
      <c r="C580" t="s">
        <v>1200</v>
      </c>
      <c r="D580" t="s">
        <v>1210</v>
      </c>
      <c r="E580">
        <v>7</v>
      </c>
      <c r="F580">
        <v>1750000</v>
      </c>
      <c r="G580">
        <v>0</v>
      </c>
      <c r="H580">
        <v>1750000</v>
      </c>
      <c r="I580" t="s">
        <v>1344</v>
      </c>
      <c r="J580" t="s">
        <v>33</v>
      </c>
    </row>
    <row r="581" spans="1:10" x14ac:dyDescent="0.25">
      <c r="A581" t="s">
        <v>640</v>
      </c>
      <c r="B581" t="s">
        <v>1206</v>
      </c>
      <c r="C581" t="s">
        <v>1204</v>
      </c>
      <c r="D581" t="s">
        <v>1203</v>
      </c>
      <c r="E581">
        <v>9</v>
      </c>
      <c r="F581">
        <v>1665000</v>
      </c>
      <c r="G581">
        <v>0</v>
      </c>
      <c r="H581">
        <v>1665000</v>
      </c>
      <c r="I581" t="s">
        <v>1347</v>
      </c>
      <c r="J581" t="s">
        <v>10</v>
      </c>
    </row>
    <row r="582" spans="1:10" x14ac:dyDescent="0.25">
      <c r="A582" t="s">
        <v>641</v>
      </c>
      <c r="B582" t="s">
        <v>1199</v>
      </c>
      <c r="C582" t="s">
        <v>1196</v>
      </c>
      <c r="D582" t="s">
        <v>1213</v>
      </c>
      <c r="E582">
        <v>10</v>
      </c>
      <c r="F582">
        <v>450000</v>
      </c>
      <c r="G582">
        <v>0</v>
      </c>
      <c r="H582" t="s">
        <v>1237</v>
      </c>
      <c r="I582" t="s">
        <v>46</v>
      </c>
      <c r="J582" t="s">
        <v>10</v>
      </c>
    </row>
    <row r="583" spans="1:10" x14ac:dyDescent="0.25">
      <c r="A583" t="s">
        <v>642</v>
      </c>
      <c r="B583" t="s">
        <v>1195</v>
      </c>
      <c r="C583" t="s">
        <v>1265</v>
      </c>
      <c r="D583" t="s">
        <v>1210</v>
      </c>
      <c r="E583">
        <v>6</v>
      </c>
      <c r="F583">
        <v>1500000</v>
      </c>
      <c r="G583">
        <v>5000</v>
      </c>
      <c r="H583">
        <v>-1495000</v>
      </c>
      <c r="I583" t="s">
        <v>22</v>
      </c>
      <c r="J583" t="s">
        <v>10</v>
      </c>
    </row>
    <row r="584" spans="1:10" x14ac:dyDescent="0.25">
      <c r="A584" t="s">
        <v>643</v>
      </c>
      <c r="B584" t="s">
        <v>1225</v>
      </c>
      <c r="C584" t="s">
        <v>1193</v>
      </c>
      <c r="D584" t="s">
        <v>1213</v>
      </c>
      <c r="E584">
        <v>4</v>
      </c>
      <c r="F584">
        <v>180000</v>
      </c>
      <c r="G584">
        <v>15000</v>
      </c>
      <c r="H584">
        <v>165000</v>
      </c>
      <c r="I584" t="s">
        <v>1357</v>
      </c>
      <c r="J584" t="s">
        <v>33</v>
      </c>
    </row>
    <row r="585" spans="1:10" x14ac:dyDescent="0.25">
      <c r="A585" t="s">
        <v>644</v>
      </c>
      <c r="B585" t="s">
        <v>1195</v>
      </c>
      <c r="C585" t="s">
        <v>1208</v>
      </c>
      <c r="D585" t="s">
        <v>1203</v>
      </c>
      <c r="E585">
        <v>1</v>
      </c>
      <c r="F585">
        <v>250000</v>
      </c>
      <c r="G585">
        <v>0</v>
      </c>
      <c r="H585">
        <v>250000</v>
      </c>
      <c r="I585" t="s">
        <v>1429</v>
      </c>
      <c r="J585" t="s">
        <v>20</v>
      </c>
    </row>
    <row r="586" spans="1:10" x14ac:dyDescent="0.25">
      <c r="A586" t="s">
        <v>645</v>
      </c>
      <c r="B586" t="s">
        <v>1206</v>
      </c>
      <c r="C586" t="s">
        <v>1204</v>
      </c>
      <c r="D586" t="s">
        <v>1213</v>
      </c>
      <c r="E586">
        <v>5</v>
      </c>
      <c r="F586">
        <v>1250000</v>
      </c>
      <c r="G586">
        <v>0</v>
      </c>
      <c r="H586" t="s">
        <v>92</v>
      </c>
      <c r="I586" t="s">
        <v>402</v>
      </c>
      <c r="J586" t="s">
        <v>10</v>
      </c>
    </row>
    <row r="587" spans="1:10" x14ac:dyDescent="0.25">
      <c r="A587" t="s">
        <v>646</v>
      </c>
      <c r="B587" t="s">
        <v>1206</v>
      </c>
      <c r="C587" t="s">
        <v>29</v>
      </c>
      <c r="D587" t="s">
        <v>1210</v>
      </c>
      <c r="E587">
        <v>6</v>
      </c>
      <c r="F587">
        <v>450000</v>
      </c>
      <c r="G587">
        <v>10000</v>
      </c>
      <c r="H587">
        <v>440000</v>
      </c>
      <c r="I587" t="s">
        <v>1249</v>
      </c>
      <c r="J587" t="s">
        <v>10</v>
      </c>
    </row>
    <row r="588" spans="1:10" x14ac:dyDescent="0.25">
      <c r="A588" t="s">
        <v>647</v>
      </c>
      <c r="B588" t="s">
        <v>1192</v>
      </c>
      <c r="C588" t="s">
        <v>1196</v>
      </c>
      <c r="D588" t="s">
        <v>1194</v>
      </c>
      <c r="E588">
        <v>4</v>
      </c>
      <c r="F588">
        <v>180000</v>
      </c>
      <c r="G588">
        <v>0</v>
      </c>
      <c r="H588">
        <v>180000</v>
      </c>
      <c r="I588" t="s">
        <v>1341</v>
      </c>
      <c r="J588" t="s">
        <v>33</v>
      </c>
    </row>
    <row r="589" spans="1:10" x14ac:dyDescent="0.25">
      <c r="A589" t="s">
        <v>648</v>
      </c>
      <c r="B589" t="s">
        <v>1195</v>
      </c>
      <c r="C589" t="s">
        <v>1196</v>
      </c>
      <c r="D589" t="s">
        <v>1203</v>
      </c>
      <c r="E589">
        <v>7</v>
      </c>
      <c r="F589">
        <v>840000</v>
      </c>
      <c r="G589">
        <v>0</v>
      </c>
      <c r="H589">
        <v>840000</v>
      </c>
      <c r="I589" t="s">
        <v>1408</v>
      </c>
      <c r="J589" t="s">
        <v>33</v>
      </c>
    </row>
    <row r="590" spans="1:10" x14ac:dyDescent="0.25">
      <c r="A590" t="s">
        <v>649</v>
      </c>
      <c r="B590" t="s">
        <v>1206</v>
      </c>
      <c r="C590" t="s">
        <v>29</v>
      </c>
      <c r="D590" t="s">
        <v>1197</v>
      </c>
      <c r="E590">
        <v>3</v>
      </c>
      <c r="F590">
        <v>750000</v>
      </c>
      <c r="G590">
        <v>5000</v>
      </c>
      <c r="H590">
        <v>745000</v>
      </c>
      <c r="I590" t="s">
        <v>1430</v>
      </c>
      <c r="J590" t="s">
        <v>5</v>
      </c>
    </row>
    <row r="591" spans="1:10" x14ac:dyDescent="0.25">
      <c r="A591" t="s">
        <v>650</v>
      </c>
      <c r="B591" t="s">
        <v>1199</v>
      </c>
      <c r="C591" t="s">
        <v>29</v>
      </c>
      <c r="D591" t="s">
        <v>1197</v>
      </c>
      <c r="E591">
        <v>5</v>
      </c>
      <c r="F591">
        <v>375000</v>
      </c>
      <c r="G591">
        <v>0</v>
      </c>
      <c r="H591">
        <v>375000</v>
      </c>
      <c r="I591" t="s">
        <v>263</v>
      </c>
      <c r="J591" t="s">
        <v>10</v>
      </c>
    </row>
    <row r="592" spans="1:10" x14ac:dyDescent="0.25">
      <c r="B592" t="s">
        <v>1192</v>
      </c>
      <c r="C592" t="s">
        <v>1196</v>
      </c>
      <c r="D592" t="s">
        <v>1203</v>
      </c>
      <c r="E592">
        <v>2</v>
      </c>
      <c r="F592">
        <v>500000</v>
      </c>
      <c r="G592">
        <v>10000</v>
      </c>
      <c r="H592">
        <v>490000</v>
      </c>
      <c r="I592" t="s">
        <v>312</v>
      </c>
      <c r="J592" t="s">
        <v>33</v>
      </c>
    </row>
    <row r="593" spans="1:10" x14ac:dyDescent="0.25">
      <c r="A593" t="s">
        <v>651</v>
      </c>
      <c r="B593" t="s">
        <v>1206</v>
      </c>
      <c r="C593" t="s">
        <v>1200</v>
      </c>
      <c r="D593" t="s">
        <v>1210</v>
      </c>
      <c r="E593">
        <v>3</v>
      </c>
      <c r="F593">
        <v>360000</v>
      </c>
      <c r="G593">
        <v>5000</v>
      </c>
      <c r="H593">
        <v>355000</v>
      </c>
      <c r="I593" t="s">
        <v>1273</v>
      </c>
      <c r="J593" t="s">
        <v>5</v>
      </c>
    </row>
    <row r="594" spans="1:10" x14ac:dyDescent="0.25">
      <c r="A594" t="s">
        <v>652</v>
      </c>
      <c r="B594" t="s">
        <v>1239</v>
      </c>
      <c r="C594" t="s">
        <v>1193</v>
      </c>
      <c r="D594" t="s">
        <v>1203</v>
      </c>
      <c r="E594">
        <v>1</v>
      </c>
      <c r="F594">
        <v>75000</v>
      </c>
      <c r="G594">
        <v>0</v>
      </c>
      <c r="H594">
        <v>75000</v>
      </c>
      <c r="I594" t="s">
        <v>464</v>
      </c>
      <c r="J594" t="s">
        <v>20</v>
      </c>
    </row>
    <row r="595" spans="1:10" x14ac:dyDescent="0.25">
      <c r="A595" t="s">
        <v>653</v>
      </c>
      <c r="B595" t="s">
        <v>1195</v>
      </c>
      <c r="C595" t="s">
        <v>1196</v>
      </c>
      <c r="D595" t="s">
        <v>1213</v>
      </c>
      <c r="E595">
        <v>8</v>
      </c>
      <c r="F595">
        <v>1480000</v>
      </c>
      <c r="G595">
        <v>10000</v>
      </c>
      <c r="H595">
        <v>1470000</v>
      </c>
      <c r="I595" t="s">
        <v>1135</v>
      </c>
      <c r="J595" t="s">
        <v>33</v>
      </c>
    </row>
    <row r="596" spans="1:10" x14ac:dyDescent="0.25">
      <c r="A596" t="s">
        <v>654</v>
      </c>
      <c r="B596" t="s">
        <v>1192</v>
      </c>
      <c r="C596" t="s">
        <v>1196</v>
      </c>
      <c r="D596" t="s">
        <v>1213</v>
      </c>
      <c r="E596">
        <v>1</v>
      </c>
      <c r="F596">
        <v>185000</v>
      </c>
      <c r="G596">
        <v>0</v>
      </c>
      <c r="H596">
        <v>185000</v>
      </c>
      <c r="I596" t="s">
        <v>1152</v>
      </c>
      <c r="J596" t="s">
        <v>33</v>
      </c>
    </row>
    <row r="597" spans="1:10" x14ac:dyDescent="0.25">
      <c r="A597" t="s">
        <v>655</v>
      </c>
      <c r="B597" t="s">
        <v>1199</v>
      </c>
      <c r="C597" t="s">
        <v>1196</v>
      </c>
      <c r="D597" t="s">
        <v>1210</v>
      </c>
      <c r="E597">
        <v>9</v>
      </c>
      <c r="F597">
        <v>405000</v>
      </c>
      <c r="G597">
        <v>0</v>
      </c>
      <c r="H597">
        <v>405000</v>
      </c>
      <c r="I597" t="s">
        <v>1280</v>
      </c>
      <c r="J597" t="s">
        <v>10</v>
      </c>
    </row>
    <row r="598" spans="1:10" x14ac:dyDescent="0.25">
      <c r="A598" t="s">
        <v>656</v>
      </c>
      <c r="B598" t="s">
        <v>1206</v>
      </c>
      <c r="C598" t="s">
        <v>1193</v>
      </c>
      <c r="D598" t="s">
        <v>1210</v>
      </c>
      <c r="E598">
        <v>6</v>
      </c>
      <c r="F598">
        <v>1110000</v>
      </c>
      <c r="G598">
        <v>0</v>
      </c>
      <c r="H598">
        <v>1110000</v>
      </c>
      <c r="I598" t="s">
        <v>1391</v>
      </c>
      <c r="J598" t="s">
        <v>5</v>
      </c>
    </row>
    <row r="599" spans="1:10" x14ac:dyDescent="0.25">
      <c r="A599" t="s">
        <v>657</v>
      </c>
      <c r="B599" t="s">
        <v>1199</v>
      </c>
      <c r="C599" t="s">
        <v>1196</v>
      </c>
      <c r="D599" t="s">
        <v>1213</v>
      </c>
      <c r="E599">
        <v>4</v>
      </c>
      <c r="F599">
        <v>740000</v>
      </c>
      <c r="G599">
        <v>0</v>
      </c>
      <c r="H599">
        <v>740000</v>
      </c>
      <c r="I599" t="s">
        <v>1152</v>
      </c>
      <c r="J599" t="s">
        <v>20</v>
      </c>
    </row>
    <row r="600" spans="1:10" x14ac:dyDescent="0.25">
      <c r="A600" t="s">
        <v>658</v>
      </c>
      <c r="B600" t="s">
        <v>1206</v>
      </c>
      <c r="C600" t="s">
        <v>1285</v>
      </c>
      <c r="D600" t="s">
        <v>1203</v>
      </c>
      <c r="E600">
        <v>8</v>
      </c>
      <c r="F600">
        <v>2000000</v>
      </c>
      <c r="G600">
        <v>0</v>
      </c>
      <c r="H600">
        <v>2000000</v>
      </c>
      <c r="I600" t="s">
        <v>1304</v>
      </c>
      <c r="J600" t="s">
        <v>5</v>
      </c>
    </row>
    <row r="601" spans="1:10" x14ac:dyDescent="0.25">
      <c r="A601" t="s">
        <v>659</v>
      </c>
      <c r="B601" t="s">
        <v>1199</v>
      </c>
      <c r="C601" t="s">
        <v>1193</v>
      </c>
      <c r="D601" t="s">
        <v>1194</v>
      </c>
      <c r="E601">
        <v>6</v>
      </c>
      <c r="F601">
        <v>1110000</v>
      </c>
      <c r="G601">
        <v>0</v>
      </c>
      <c r="H601">
        <v>1110000</v>
      </c>
      <c r="I601" t="s">
        <v>412</v>
      </c>
      <c r="J601" t="s">
        <v>20</v>
      </c>
    </row>
    <row r="602" spans="1:10" x14ac:dyDescent="0.25">
      <c r="A602" t="s">
        <v>660</v>
      </c>
      <c r="B602" t="s">
        <v>1206</v>
      </c>
      <c r="C602" t="s">
        <v>1226</v>
      </c>
      <c r="D602" t="s">
        <v>1213</v>
      </c>
      <c r="E602">
        <v>1</v>
      </c>
      <c r="F602">
        <v>250000</v>
      </c>
      <c r="G602">
        <v>0</v>
      </c>
      <c r="H602">
        <v>250000</v>
      </c>
      <c r="I602" t="s">
        <v>338</v>
      </c>
      <c r="J602" t="s">
        <v>33</v>
      </c>
    </row>
    <row r="603" spans="1:10" x14ac:dyDescent="0.25">
      <c r="B603" t="s">
        <v>1195</v>
      </c>
      <c r="C603" t="s">
        <v>1285</v>
      </c>
      <c r="D603" t="s">
        <v>1197</v>
      </c>
      <c r="E603">
        <v>5</v>
      </c>
      <c r="F603">
        <v>375000</v>
      </c>
      <c r="G603">
        <v>0</v>
      </c>
      <c r="H603">
        <v>375000</v>
      </c>
      <c r="I603" t="s">
        <v>261</v>
      </c>
      <c r="J603" t="s">
        <v>33</v>
      </c>
    </row>
    <row r="604" spans="1:10" x14ac:dyDescent="0.25">
      <c r="A604" t="s">
        <v>661</v>
      </c>
      <c r="B604" t="s">
        <v>1225</v>
      </c>
      <c r="C604" t="s">
        <v>1204</v>
      </c>
      <c r="D604" t="s">
        <v>1210</v>
      </c>
      <c r="E604">
        <v>10</v>
      </c>
      <c r="F604">
        <v>1850000</v>
      </c>
      <c r="G604">
        <v>0</v>
      </c>
      <c r="H604">
        <v>-1850000</v>
      </c>
      <c r="I604" t="s">
        <v>1154</v>
      </c>
      <c r="J604" t="s">
        <v>5</v>
      </c>
    </row>
    <row r="605" spans="1:10" x14ac:dyDescent="0.25">
      <c r="A605" t="s">
        <v>662</v>
      </c>
      <c r="B605" t="s">
        <v>1192</v>
      </c>
      <c r="C605" t="s">
        <v>1193</v>
      </c>
      <c r="D605" t="s">
        <v>1197</v>
      </c>
      <c r="E605">
        <v>7</v>
      </c>
      <c r="F605">
        <v>1750000</v>
      </c>
      <c r="G605">
        <v>0</v>
      </c>
      <c r="H605">
        <v>1750000</v>
      </c>
      <c r="I605" t="s">
        <v>61</v>
      </c>
      <c r="J605" t="s">
        <v>5</v>
      </c>
    </row>
    <row r="606" spans="1:10" x14ac:dyDescent="0.25">
      <c r="A606" t="s">
        <v>663</v>
      </c>
      <c r="B606" t="s">
        <v>1192</v>
      </c>
      <c r="C606" t="s">
        <v>1200</v>
      </c>
      <c r="D606" t="s">
        <v>1213</v>
      </c>
      <c r="E606">
        <v>9</v>
      </c>
      <c r="F606">
        <v>405000</v>
      </c>
      <c r="G606">
        <v>0</v>
      </c>
      <c r="H606">
        <v>405000</v>
      </c>
      <c r="I606" t="s">
        <v>1341</v>
      </c>
      <c r="J606" t="s">
        <v>10</v>
      </c>
    </row>
    <row r="607" spans="1:10" x14ac:dyDescent="0.25">
      <c r="A607" t="s">
        <v>664</v>
      </c>
      <c r="B607" t="s">
        <v>1195</v>
      </c>
      <c r="C607" t="s">
        <v>1196</v>
      </c>
      <c r="D607" t="s">
        <v>1213</v>
      </c>
      <c r="E607">
        <v>1</v>
      </c>
      <c r="F607">
        <v>185000</v>
      </c>
      <c r="G607">
        <v>0</v>
      </c>
      <c r="H607">
        <v>185000</v>
      </c>
      <c r="I607" t="s">
        <v>1342</v>
      </c>
      <c r="J607" t="s">
        <v>10</v>
      </c>
    </row>
    <row r="608" spans="1:10" x14ac:dyDescent="0.25">
      <c r="A608" t="s">
        <v>665</v>
      </c>
      <c r="B608" t="s">
        <v>1195</v>
      </c>
      <c r="C608" t="s">
        <v>1204</v>
      </c>
      <c r="D608" t="s">
        <v>1194</v>
      </c>
      <c r="E608">
        <v>2</v>
      </c>
      <c r="F608">
        <v>90000</v>
      </c>
      <c r="G608">
        <v>0</v>
      </c>
      <c r="H608">
        <v>90000</v>
      </c>
      <c r="I608" t="s">
        <v>14</v>
      </c>
      <c r="J608" t="s">
        <v>10</v>
      </c>
    </row>
    <row r="609" spans="1:10" x14ac:dyDescent="0.25">
      <c r="A609" t="s">
        <v>666</v>
      </c>
      <c r="B609" t="s">
        <v>1206</v>
      </c>
      <c r="C609" t="s">
        <v>1200</v>
      </c>
      <c r="D609" t="s">
        <v>1210</v>
      </c>
      <c r="E609">
        <v>5</v>
      </c>
      <c r="F609">
        <v>925000</v>
      </c>
      <c r="G609">
        <v>0</v>
      </c>
      <c r="H609">
        <v>925000</v>
      </c>
      <c r="I609" t="s">
        <v>1300</v>
      </c>
      <c r="J609" t="s">
        <v>10</v>
      </c>
    </row>
    <row r="610" spans="1:10" x14ac:dyDescent="0.25">
      <c r="A610" t="s">
        <v>667</v>
      </c>
      <c r="B610" t="s">
        <v>1192</v>
      </c>
      <c r="C610" t="s">
        <v>1193</v>
      </c>
      <c r="D610" t="s">
        <v>1203</v>
      </c>
      <c r="E610">
        <v>8</v>
      </c>
      <c r="F610">
        <v>360000</v>
      </c>
      <c r="G610">
        <v>0</v>
      </c>
      <c r="H610">
        <v>-360000</v>
      </c>
      <c r="I610" t="s">
        <v>1156</v>
      </c>
      <c r="J610" t="s">
        <v>20</v>
      </c>
    </row>
    <row r="611" spans="1:10" x14ac:dyDescent="0.25">
      <c r="A611" t="s">
        <v>668</v>
      </c>
      <c r="B611" t="s">
        <v>1206</v>
      </c>
      <c r="C611" t="s">
        <v>1200</v>
      </c>
      <c r="D611" t="s">
        <v>1213</v>
      </c>
      <c r="E611">
        <v>10</v>
      </c>
      <c r="F611">
        <v>750000</v>
      </c>
      <c r="G611">
        <v>0</v>
      </c>
      <c r="H611" t="s">
        <v>1260</v>
      </c>
      <c r="I611" t="s">
        <v>267</v>
      </c>
      <c r="J611" t="s">
        <v>20</v>
      </c>
    </row>
    <row r="612" spans="1:10" x14ac:dyDescent="0.25">
      <c r="A612" t="s">
        <v>669</v>
      </c>
      <c r="B612" t="s">
        <v>1251</v>
      </c>
      <c r="C612" t="s">
        <v>1196</v>
      </c>
      <c r="D612" t="s">
        <v>1197</v>
      </c>
      <c r="E612">
        <v>6</v>
      </c>
      <c r="F612">
        <v>1110000</v>
      </c>
      <c r="G612">
        <v>0</v>
      </c>
      <c r="H612">
        <v>1110000</v>
      </c>
      <c r="I612" t="s">
        <v>1283</v>
      </c>
      <c r="J612" t="s">
        <v>20</v>
      </c>
    </row>
    <row r="613" spans="1:10" x14ac:dyDescent="0.25">
      <c r="A613" t="s">
        <v>670</v>
      </c>
      <c r="B613" t="s">
        <v>1199</v>
      </c>
      <c r="C613" t="s">
        <v>1196</v>
      </c>
      <c r="D613" t="s">
        <v>1197</v>
      </c>
      <c r="E613">
        <v>8</v>
      </c>
      <c r="F613">
        <v>1480000</v>
      </c>
      <c r="G613">
        <v>0</v>
      </c>
      <c r="H613">
        <v>1480000</v>
      </c>
      <c r="I613" t="s">
        <v>195</v>
      </c>
      <c r="J613" t="s">
        <v>33</v>
      </c>
    </row>
    <row r="614" spans="1:10" x14ac:dyDescent="0.25">
      <c r="A614" t="s">
        <v>671</v>
      </c>
      <c r="B614" t="s">
        <v>1199</v>
      </c>
      <c r="C614" t="s">
        <v>1200</v>
      </c>
      <c r="D614" t="s">
        <v>1210</v>
      </c>
      <c r="E614">
        <v>5</v>
      </c>
      <c r="F614">
        <v>375000</v>
      </c>
      <c r="G614">
        <v>5000</v>
      </c>
      <c r="H614">
        <v>370000</v>
      </c>
      <c r="I614" t="s">
        <v>1431</v>
      </c>
      <c r="J614" t="s">
        <v>10</v>
      </c>
    </row>
    <row r="615" spans="1:10" x14ac:dyDescent="0.25">
      <c r="A615" t="s">
        <v>672</v>
      </c>
      <c r="B615" t="s">
        <v>1192</v>
      </c>
      <c r="C615" t="s">
        <v>1200</v>
      </c>
      <c r="D615" t="s">
        <v>1203</v>
      </c>
      <c r="E615">
        <v>5</v>
      </c>
      <c r="F615">
        <v>1250000</v>
      </c>
      <c r="G615">
        <v>0</v>
      </c>
      <c r="H615">
        <v>1250000</v>
      </c>
      <c r="I615" t="s">
        <v>1327</v>
      </c>
      <c r="J615" t="s">
        <v>20</v>
      </c>
    </row>
    <row r="616" spans="1:10" x14ac:dyDescent="0.25">
      <c r="A616" t="s">
        <v>673</v>
      </c>
      <c r="B616" t="s">
        <v>1206</v>
      </c>
      <c r="C616" t="s">
        <v>1208</v>
      </c>
      <c r="D616" t="s">
        <v>1197</v>
      </c>
      <c r="E616">
        <v>9</v>
      </c>
      <c r="F616">
        <v>1665000</v>
      </c>
      <c r="G616">
        <v>0</v>
      </c>
      <c r="H616">
        <v>1665000</v>
      </c>
      <c r="I616" t="s">
        <v>61</v>
      </c>
      <c r="J616" t="s">
        <v>5</v>
      </c>
    </row>
    <row r="617" spans="1:10" x14ac:dyDescent="0.25">
      <c r="A617" t="s">
        <v>674</v>
      </c>
      <c r="B617" t="s">
        <v>1195</v>
      </c>
      <c r="C617" t="s">
        <v>1208</v>
      </c>
      <c r="D617" t="s">
        <v>1197</v>
      </c>
      <c r="E617">
        <v>2</v>
      </c>
      <c r="F617">
        <v>370000</v>
      </c>
      <c r="G617">
        <v>0</v>
      </c>
      <c r="H617">
        <v>370000</v>
      </c>
      <c r="I617" t="s">
        <v>1166</v>
      </c>
      <c r="J617" t="s">
        <v>20</v>
      </c>
    </row>
    <row r="618" spans="1:10" x14ac:dyDescent="0.25">
      <c r="A618" t="s">
        <v>675</v>
      </c>
      <c r="B618" t="s">
        <v>1192</v>
      </c>
      <c r="C618" t="s">
        <v>1196</v>
      </c>
      <c r="D618" t="s">
        <v>1194</v>
      </c>
      <c r="E618">
        <v>4</v>
      </c>
      <c r="F618">
        <v>480000</v>
      </c>
      <c r="G618">
        <v>10000</v>
      </c>
      <c r="H618">
        <v>470000</v>
      </c>
      <c r="I618" t="s">
        <v>566</v>
      </c>
      <c r="J618" t="s">
        <v>20</v>
      </c>
    </row>
    <row r="619" spans="1:10" x14ac:dyDescent="0.25">
      <c r="A619" t="s">
        <v>676</v>
      </c>
      <c r="B619" t="s">
        <v>1192</v>
      </c>
      <c r="C619" t="s">
        <v>1193</v>
      </c>
      <c r="D619" t="s">
        <v>1194</v>
      </c>
      <c r="E619">
        <v>4</v>
      </c>
      <c r="F619">
        <v>1000000</v>
      </c>
      <c r="G619">
        <v>0</v>
      </c>
      <c r="H619">
        <v>1000000</v>
      </c>
      <c r="I619" t="s">
        <v>1277</v>
      </c>
      <c r="J619" t="s">
        <v>20</v>
      </c>
    </row>
    <row r="620" spans="1:10" x14ac:dyDescent="0.25">
      <c r="A620" t="s">
        <v>677</v>
      </c>
      <c r="B620" t="s">
        <v>1195</v>
      </c>
      <c r="C620" t="s">
        <v>1204</v>
      </c>
      <c r="D620" t="s">
        <v>1197</v>
      </c>
      <c r="E620">
        <v>6</v>
      </c>
      <c r="F620">
        <v>450000</v>
      </c>
      <c r="G620">
        <v>0</v>
      </c>
      <c r="H620">
        <v>450000</v>
      </c>
      <c r="I620" t="s">
        <v>51</v>
      </c>
      <c r="J620" t="s">
        <v>10</v>
      </c>
    </row>
    <row r="621" spans="1:10" x14ac:dyDescent="0.25">
      <c r="A621" t="s">
        <v>72</v>
      </c>
      <c r="B621" t="s">
        <v>1195</v>
      </c>
      <c r="C621" t="s">
        <v>1204</v>
      </c>
      <c r="D621" t="s">
        <v>1197</v>
      </c>
      <c r="E621">
        <v>1</v>
      </c>
      <c r="F621">
        <v>75000</v>
      </c>
      <c r="G621">
        <v>0</v>
      </c>
      <c r="H621">
        <v>75000</v>
      </c>
      <c r="I621" t="s">
        <v>115</v>
      </c>
      <c r="J621" t="s">
        <v>33</v>
      </c>
    </row>
    <row r="622" spans="1:10" x14ac:dyDescent="0.25">
      <c r="A622" t="s">
        <v>678</v>
      </c>
      <c r="B622" t="s">
        <v>1206</v>
      </c>
      <c r="C622" t="s">
        <v>1200</v>
      </c>
      <c r="D622" t="s">
        <v>1213</v>
      </c>
      <c r="E622">
        <v>8</v>
      </c>
      <c r="F622">
        <v>1480000</v>
      </c>
      <c r="G622">
        <v>0</v>
      </c>
      <c r="H622">
        <v>1480000</v>
      </c>
      <c r="I622" t="s">
        <v>238</v>
      </c>
      <c r="J622" t="s">
        <v>20</v>
      </c>
    </row>
    <row r="623" spans="1:10" x14ac:dyDescent="0.25">
      <c r="A623" t="s">
        <v>679</v>
      </c>
      <c r="B623" t="s">
        <v>1239</v>
      </c>
      <c r="C623" t="s">
        <v>1204</v>
      </c>
      <c r="D623" t="s">
        <v>1203</v>
      </c>
      <c r="E623">
        <v>9</v>
      </c>
      <c r="F623">
        <v>405000</v>
      </c>
      <c r="G623">
        <v>15000</v>
      </c>
      <c r="H623">
        <v>390000</v>
      </c>
      <c r="I623" t="s">
        <v>1209</v>
      </c>
      <c r="J623" t="s">
        <v>10</v>
      </c>
    </row>
    <row r="624" spans="1:10" x14ac:dyDescent="0.25">
      <c r="A624" t="s">
        <v>680</v>
      </c>
      <c r="B624" t="s">
        <v>1206</v>
      </c>
      <c r="C624" t="s">
        <v>1193</v>
      </c>
      <c r="D624" t="s">
        <v>1203</v>
      </c>
      <c r="E624">
        <v>9</v>
      </c>
      <c r="F624">
        <v>2250000</v>
      </c>
      <c r="G624">
        <v>0</v>
      </c>
      <c r="H624">
        <v>2250000</v>
      </c>
      <c r="I624" t="s">
        <v>1140</v>
      </c>
      <c r="J624" t="s">
        <v>10</v>
      </c>
    </row>
    <row r="625" spans="1:10" x14ac:dyDescent="0.25">
      <c r="A625" t="s">
        <v>681</v>
      </c>
      <c r="B625" t="s">
        <v>1195</v>
      </c>
      <c r="C625" t="s">
        <v>1193</v>
      </c>
      <c r="D625" t="s">
        <v>1194</v>
      </c>
      <c r="E625">
        <v>6</v>
      </c>
      <c r="F625">
        <v>720000</v>
      </c>
      <c r="G625">
        <v>0</v>
      </c>
      <c r="H625">
        <v>720000</v>
      </c>
      <c r="I625" t="s">
        <v>1432</v>
      </c>
      <c r="J625" t="s">
        <v>10</v>
      </c>
    </row>
    <row r="626" spans="1:10" x14ac:dyDescent="0.25">
      <c r="A626" t="s">
        <v>682</v>
      </c>
      <c r="B626" t="s">
        <v>1192</v>
      </c>
      <c r="C626" t="s">
        <v>1208</v>
      </c>
      <c r="D626" t="s">
        <v>1197</v>
      </c>
      <c r="E626">
        <v>10</v>
      </c>
      <c r="F626">
        <v>2500000</v>
      </c>
      <c r="G626">
        <v>0</v>
      </c>
      <c r="H626">
        <v>2500000</v>
      </c>
      <c r="I626" t="s">
        <v>412</v>
      </c>
      <c r="J626" t="s">
        <v>10</v>
      </c>
    </row>
    <row r="627" spans="1:10" x14ac:dyDescent="0.25">
      <c r="A627" t="s">
        <v>683</v>
      </c>
      <c r="B627" t="s">
        <v>1199</v>
      </c>
      <c r="C627" t="s">
        <v>1193</v>
      </c>
      <c r="D627" t="s">
        <v>1197</v>
      </c>
      <c r="E627">
        <v>9</v>
      </c>
      <c r="F627">
        <v>1665000</v>
      </c>
      <c r="G627">
        <v>10000</v>
      </c>
      <c r="H627">
        <v>1655000</v>
      </c>
      <c r="I627" t="s">
        <v>113</v>
      </c>
      <c r="J627" t="s">
        <v>20</v>
      </c>
    </row>
    <row r="628" spans="1:10" x14ac:dyDescent="0.25">
      <c r="A628" t="s">
        <v>684</v>
      </c>
      <c r="B628" t="s">
        <v>1206</v>
      </c>
      <c r="C628" t="s">
        <v>1265</v>
      </c>
      <c r="D628" t="s">
        <v>1210</v>
      </c>
      <c r="E628">
        <v>10</v>
      </c>
      <c r="F628">
        <v>450000</v>
      </c>
      <c r="G628">
        <v>10000</v>
      </c>
      <c r="H628">
        <v>440000</v>
      </c>
      <c r="I628" t="s">
        <v>267</v>
      </c>
      <c r="J628" t="s">
        <v>5</v>
      </c>
    </row>
    <row r="629" spans="1:10" x14ac:dyDescent="0.25">
      <c r="A629" t="s">
        <v>685</v>
      </c>
      <c r="B629" t="s">
        <v>1230</v>
      </c>
      <c r="C629" t="s">
        <v>29</v>
      </c>
      <c r="D629" t="s">
        <v>1210</v>
      </c>
      <c r="E629">
        <v>4</v>
      </c>
      <c r="F629">
        <v>1000000</v>
      </c>
      <c r="G629">
        <v>5000</v>
      </c>
      <c r="H629">
        <v>995000</v>
      </c>
      <c r="I629" t="s">
        <v>220</v>
      </c>
      <c r="J629" t="s">
        <v>5</v>
      </c>
    </row>
    <row r="630" spans="1:10" x14ac:dyDescent="0.25">
      <c r="A630" t="s">
        <v>686</v>
      </c>
      <c r="B630" t="s">
        <v>1199</v>
      </c>
      <c r="C630" t="s">
        <v>29</v>
      </c>
      <c r="D630" t="s">
        <v>1213</v>
      </c>
      <c r="E630">
        <v>1</v>
      </c>
      <c r="F630">
        <v>250000</v>
      </c>
      <c r="G630">
        <v>0</v>
      </c>
      <c r="H630">
        <v>250000</v>
      </c>
      <c r="I630" t="s">
        <v>267</v>
      </c>
      <c r="J630" t="s">
        <v>5</v>
      </c>
    </row>
    <row r="631" spans="1:10" x14ac:dyDescent="0.25">
      <c r="A631" t="s">
        <v>687</v>
      </c>
      <c r="B631" t="s">
        <v>1206</v>
      </c>
      <c r="C631" t="s">
        <v>29</v>
      </c>
      <c r="D631" t="s">
        <v>1194</v>
      </c>
      <c r="E631">
        <v>2</v>
      </c>
      <c r="F631">
        <v>240000</v>
      </c>
      <c r="G631">
        <v>15000</v>
      </c>
      <c r="H631">
        <v>225000</v>
      </c>
      <c r="I631" t="s">
        <v>688</v>
      </c>
      <c r="J631" t="s">
        <v>10</v>
      </c>
    </row>
    <row r="632" spans="1:10" x14ac:dyDescent="0.25">
      <c r="A632" t="s">
        <v>689</v>
      </c>
      <c r="B632" t="s">
        <v>1239</v>
      </c>
      <c r="C632" t="s">
        <v>1196</v>
      </c>
      <c r="D632" t="s">
        <v>1194</v>
      </c>
      <c r="E632">
        <v>8</v>
      </c>
      <c r="F632">
        <v>600000</v>
      </c>
      <c r="G632">
        <v>10000</v>
      </c>
      <c r="H632">
        <v>590000</v>
      </c>
      <c r="I632" t="s">
        <v>1207</v>
      </c>
      <c r="J632" t="s">
        <v>10</v>
      </c>
    </row>
    <row r="633" spans="1:10" x14ac:dyDescent="0.25">
      <c r="A633" t="s">
        <v>690</v>
      </c>
      <c r="B633" t="s">
        <v>1192</v>
      </c>
      <c r="C633" t="s">
        <v>1193</v>
      </c>
      <c r="D633" t="s">
        <v>1213</v>
      </c>
      <c r="E633">
        <v>8</v>
      </c>
      <c r="F633">
        <v>2000000</v>
      </c>
      <c r="G633">
        <v>0</v>
      </c>
      <c r="H633">
        <v>2000000</v>
      </c>
      <c r="I633" t="s">
        <v>1283</v>
      </c>
      <c r="J633" t="s">
        <v>5</v>
      </c>
    </row>
    <row r="634" spans="1:10" x14ac:dyDescent="0.25">
      <c r="A634" t="s">
        <v>691</v>
      </c>
      <c r="B634" t="s">
        <v>1225</v>
      </c>
      <c r="C634" t="s">
        <v>1196</v>
      </c>
      <c r="D634" t="s">
        <v>1194</v>
      </c>
      <c r="E634">
        <v>5</v>
      </c>
      <c r="F634">
        <v>600000</v>
      </c>
      <c r="G634">
        <v>0</v>
      </c>
      <c r="H634">
        <v>600000</v>
      </c>
      <c r="I634" t="s">
        <v>39</v>
      </c>
      <c r="J634" t="s">
        <v>20</v>
      </c>
    </row>
    <row r="635" spans="1:10" x14ac:dyDescent="0.25">
      <c r="A635" t="s">
        <v>692</v>
      </c>
      <c r="B635" t="s">
        <v>1206</v>
      </c>
      <c r="C635" t="s">
        <v>1208</v>
      </c>
      <c r="D635" t="s">
        <v>1210</v>
      </c>
      <c r="E635">
        <v>2</v>
      </c>
      <c r="F635">
        <v>150000</v>
      </c>
      <c r="G635">
        <v>5000</v>
      </c>
      <c r="H635">
        <v>145000</v>
      </c>
      <c r="I635" t="s">
        <v>1372</v>
      </c>
      <c r="J635" t="s">
        <v>10</v>
      </c>
    </row>
    <row r="636" spans="1:10" x14ac:dyDescent="0.25">
      <c r="A636" t="s">
        <v>693</v>
      </c>
      <c r="B636" t="s">
        <v>1195</v>
      </c>
      <c r="C636" t="s">
        <v>1193</v>
      </c>
      <c r="D636" t="s">
        <v>1213</v>
      </c>
      <c r="E636">
        <v>6</v>
      </c>
      <c r="F636">
        <v>1110000</v>
      </c>
      <c r="G636">
        <v>0</v>
      </c>
      <c r="H636">
        <v>1110000</v>
      </c>
      <c r="I636" t="s">
        <v>1279</v>
      </c>
      <c r="J636" t="s">
        <v>10</v>
      </c>
    </row>
    <row r="637" spans="1:10" x14ac:dyDescent="0.25">
      <c r="A637" t="s">
        <v>694</v>
      </c>
      <c r="B637" t="s">
        <v>1199</v>
      </c>
      <c r="C637" t="s">
        <v>1196</v>
      </c>
      <c r="D637" t="s">
        <v>1203</v>
      </c>
      <c r="E637">
        <v>7</v>
      </c>
      <c r="F637">
        <v>315000</v>
      </c>
      <c r="G637">
        <v>5000</v>
      </c>
      <c r="H637">
        <v>310000</v>
      </c>
      <c r="I637" t="s">
        <v>1367</v>
      </c>
      <c r="J637" t="s">
        <v>20</v>
      </c>
    </row>
    <row r="638" spans="1:10" x14ac:dyDescent="0.25">
      <c r="A638" t="s">
        <v>695</v>
      </c>
      <c r="B638" t="s">
        <v>1199</v>
      </c>
      <c r="C638" t="s">
        <v>1208</v>
      </c>
      <c r="D638" t="s">
        <v>1194</v>
      </c>
      <c r="E638">
        <v>10</v>
      </c>
      <c r="F638">
        <v>1200000</v>
      </c>
      <c r="G638">
        <v>0</v>
      </c>
      <c r="H638" t="s">
        <v>1271</v>
      </c>
      <c r="I638" t="s">
        <v>1293</v>
      </c>
      <c r="J638" t="s">
        <v>33</v>
      </c>
    </row>
    <row r="639" spans="1:10" x14ac:dyDescent="0.25">
      <c r="A639" t="s">
        <v>696</v>
      </c>
      <c r="B639" t="s">
        <v>1251</v>
      </c>
      <c r="C639" t="s">
        <v>1196</v>
      </c>
      <c r="D639" t="s">
        <v>1194</v>
      </c>
      <c r="E639">
        <v>10</v>
      </c>
      <c r="F639">
        <v>2500000</v>
      </c>
      <c r="G639">
        <v>0</v>
      </c>
      <c r="H639">
        <v>2500000</v>
      </c>
      <c r="I639" t="s">
        <v>1174</v>
      </c>
      <c r="J639" t="s">
        <v>5</v>
      </c>
    </row>
    <row r="640" spans="1:10" x14ac:dyDescent="0.25">
      <c r="A640" t="s">
        <v>697</v>
      </c>
      <c r="B640" t="s">
        <v>1199</v>
      </c>
      <c r="C640" t="s">
        <v>1200</v>
      </c>
      <c r="D640" t="s">
        <v>1203</v>
      </c>
      <c r="E640">
        <v>5</v>
      </c>
      <c r="F640">
        <v>225000</v>
      </c>
      <c r="G640">
        <v>0</v>
      </c>
      <c r="H640">
        <v>225000</v>
      </c>
      <c r="I640" t="s">
        <v>1293</v>
      </c>
      <c r="J640" t="s">
        <v>20</v>
      </c>
    </row>
    <row r="641" spans="1:10" x14ac:dyDescent="0.25">
      <c r="A641" t="s">
        <v>698</v>
      </c>
      <c r="B641" t="s">
        <v>1206</v>
      </c>
      <c r="C641" t="s">
        <v>29</v>
      </c>
      <c r="D641" t="s">
        <v>1194</v>
      </c>
      <c r="E641">
        <v>2</v>
      </c>
      <c r="F641">
        <v>500000</v>
      </c>
      <c r="G641">
        <v>0</v>
      </c>
      <c r="H641">
        <v>500000</v>
      </c>
      <c r="I641" t="s">
        <v>1376</v>
      </c>
      <c r="J641" t="s">
        <v>33</v>
      </c>
    </row>
    <row r="642" spans="1:10" x14ac:dyDescent="0.25">
      <c r="A642" t="s">
        <v>699</v>
      </c>
      <c r="B642" t="s">
        <v>1195</v>
      </c>
      <c r="C642" t="s">
        <v>1200</v>
      </c>
      <c r="D642" t="s">
        <v>1194</v>
      </c>
      <c r="E642">
        <v>2</v>
      </c>
      <c r="F642">
        <v>500000</v>
      </c>
      <c r="G642">
        <v>0</v>
      </c>
      <c r="H642">
        <v>500000</v>
      </c>
      <c r="I642" t="s">
        <v>1384</v>
      </c>
      <c r="J642" t="s">
        <v>20</v>
      </c>
    </row>
    <row r="643" spans="1:10" x14ac:dyDescent="0.25">
      <c r="A643" t="s">
        <v>700</v>
      </c>
      <c r="B643" t="s">
        <v>1195</v>
      </c>
      <c r="C643" t="s">
        <v>1200</v>
      </c>
      <c r="D643" t="s">
        <v>1197</v>
      </c>
      <c r="E643">
        <v>8</v>
      </c>
      <c r="F643">
        <v>2000000</v>
      </c>
      <c r="G643">
        <v>0</v>
      </c>
      <c r="H643">
        <v>2000000</v>
      </c>
      <c r="I643" t="s">
        <v>1256</v>
      </c>
      <c r="J643" t="s">
        <v>5</v>
      </c>
    </row>
    <row r="644" spans="1:10" x14ac:dyDescent="0.25">
      <c r="A644" t="s">
        <v>701</v>
      </c>
      <c r="B644" t="s">
        <v>1251</v>
      </c>
      <c r="C644" t="s">
        <v>1200</v>
      </c>
      <c r="D644" t="s">
        <v>1210</v>
      </c>
      <c r="E644">
        <v>10</v>
      </c>
      <c r="F644">
        <v>2500000</v>
      </c>
      <c r="G644">
        <v>10000</v>
      </c>
      <c r="H644">
        <v>2490000</v>
      </c>
      <c r="I644" t="s">
        <v>1345</v>
      </c>
      <c r="J644" t="s">
        <v>20</v>
      </c>
    </row>
    <row r="645" spans="1:10" x14ac:dyDescent="0.25">
      <c r="A645" t="s">
        <v>702</v>
      </c>
      <c r="B645" t="s">
        <v>1195</v>
      </c>
      <c r="C645" t="s">
        <v>29</v>
      </c>
      <c r="D645" t="s">
        <v>1213</v>
      </c>
      <c r="E645">
        <v>1</v>
      </c>
      <c r="F645">
        <v>185000</v>
      </c>
      <c r="G645">
        <v>0</v>
      </c>
      <c r="H645">
        <v>185000</v>
      </c>
      <c r="I645" t="s">
        <v>1347</v>
      </c>
      <c r="J645" t="s">
        <v>20</v>
      </c>
    </row>
    <row r="646" spans="1:10" x14ac:dyDescent="0.25">
      <c r="A646" t="s">
        <v>703</v>
      </c>
      <c r="B646" t="s">
        <v>1192</v>
      </c>
      <c r="C646" t="s">
        <v>1208</v>
      </c>
      <c r="D646" t="s">
        <v>1210</v>
      </c>
      <c r="E646">
        <v>8</v>
      </c>
      <c r="F646">
        <v>360000</v>
      </c>
      <c r="G646">
        <v>15000</v>
      </c>
      <c r="H646">
        <v>345000</v>
      </c>
      <c r="I646" t="s">
        <v>412</v>
      </c>
      <c r="J646" t="s">
        <v>20</v>
      </c>
    </row>
    <row r="647" spans="1:10" x14ac:dyDescent="0.25">
      <c r="A647" t="s">
        <v>704</v>
      </c>
      <c r="B647" t="s">
        <v>1199</v>
      </c>
      <c r="C647" t="s">
        <v>1204</v>
      </c>
      <c r="D647" t="s">
        <v>1213</v>
      </c>
      <c r="E647">
        <v>9</v>
      </c>
      <c r="F647">
        <v>1665000</v>
      </c>
      <c r="G647">
        <v>0</v>
      </c>
      <c r="H647">
        <v>1665000</v>
      </c>
      <c r="I647" t="s">
        <v>1172</v>
      </c>
      <c r="J647" t="s">
        <v>20</v>
      </c>
    </row>
    <row r="648" spans="1:10" x14ac:dyDescent="0.25">
      <c r="A648" t="s">
        <v>705</v>
      </c>
      <c r="B648" t="s">
        <v>1199</v>
      </c>
      <c r="C648" t="s">
        <v>1204</v>
      </c>
      <c r="D648" t="s">
        <v>1210</v>
      </c>
      <c r="E648">
        <v>9</v>
      </c>
      <c r="F648">
        <v>2250000</v>
      </c>
      <c r="G648">
        <v>0</v>
      </c>
      <c r="H648">
        <v>2250000</v>
      </c>
      <c r="I648" t="s">
        <v>1395</v>
      </c>
      <c r="J648" t="s">
        <v>10</v>
      </c>
    </row>
    <row r="649" spans="1:10" x14ac:dyDescent="0.25">
      <c r="A649" t="s">
        <v>706</v>
      </c>
      <c r="B649" t="s">
        <v>1192</v>
      </c>
      <c r="C649" t="s">
        <v>29</v>
      </c>
      <c r="D649" t="s">
        <v>1203</v>
      </c>
      <c r="E649">
        <v>7</v>
      </c>
      <c r="F649">
        <v>840000</v>
      </c>
      <c r="G649">
        <v>0</v>
      </c>
      <c r="H649">
        <v>840000</v>
      </c>
      <c r="I649" t="s">
        <v>1332</v>
      </c>
      <c r="J649" t="s">
        <v>10</v>
      </c>
    </row>
    <row r="650" spans="1:10" x14ac:dyDescent="0.25">
      <c r="A650" t="s">
        <v>707</v>
      </c>
      <c r="B650" t="s">
        <v>1199</v>
      </c>
      <c r="C650" t="s">
        <v>1193</v>
      </c>
      <c r="D650" t="s">
        <v>1197</v>
      </c>
      <c r="E650">
        <v>10</v>
      </c>
      <c r="F650">
        <v>450000</v>
      </c>
      <c r="G650">
        <v>0</v>
      </c>
      <c r="H650">
        <v>450000</v>
      </c>
      <c r="I650" t="s">
        <v>1309</v>
      </c>
      <c r="J650" t="s">
        <v>5</v>
      </c>
    </row>
    <row r="651" spans="1:10" x14ac:dyDescent="0.25">
      <c r="A651" t="s">
        <v>708</v>
      </c>
      <c r="B651" t="s">
        <v>1192</v>
      </c>
      <c r="C651" t="s">
        <v>1200</v>
      </c>
      <c r="D651" t="s">
        <v>1197</v>
      </c>
      <c r="E651">
        <v>4</v>
      </c>
      <c r="F651">
        <v>180000</v>
      </c>
      <c r="G651">
        <v>0</v>
      </c>
      <c r="H651">
        <v>180000</v>
      </c>
      <c r="I651" t="s">
        <v>1300</v>
      </c>
      <c r="J651" t="s">
        <v>5</v>
      </c>
    </row>
    <row r="652" spans="1:10" x14ac:dyDescent="0.25">
      <c r="A652" t="s">
        <v>709</v>
      </c>
      <c r="B652" t="s">
        <v>1206</v>
      </c>
      <c r="C652" t="s">
        <v>1193</v>
      </c>
      <c r="D652" t="s">
        <v>1197</v>
      </c>
      <c r="E652">
        <v>6</v>
      </c>
      <c r="F652">
        <v>450000</v>
      </c>
      <c r="G652">
        <v>15000</v>
      </c>
      <c r="H652">
        <v>435000</v>
      </c>
      <c r="I652" t="s">
        <v>1159</v>
      </c>
      <c r="J652" t="s">
        <v>33</v>
      </c>
    </row>
    <row r="653" spans="1:10" x14ac:dyDescent="0.25">
      <c r="A653" t="s">
        <v>710</v>
      </c>
      <c r="B653" t="s">
        <v>1199</v>
      </c>
      <c r="C653" t="s">
        <v>1204</v>
      </c>
      <c r="D653" t="s">
        <v>1197</v>
      </c>
      <c r="E653">
        <v>1</v>
      </c>
      <c r="F653">
        <v>75000</v>
      </c>
      <c r="G653">
        <v>0</v>
      </c>
      <c r="H653">
        <v>75000</v>
      </c>
      <c r="I653" t="s">
        <v>1433</v>
      </c>
      <c r="J653" t="s">
        <v>5</v>
      </c>
    </row>
    <row r="654" spans="1:10" x14ac:dyDescent="0.25">
      <c r="A654" t="s">
        <v>711</v>
      </c>
      <c r="B654" t="s">
        <v>1206</v>
      </c>
      <c r="C654" t="s">
        <v>1193</v>
      </c>
      <c r="D654" t="s">
        <v>1197</v>
      </c>
      <c r="E654">
        <v>9</v>
      </c>
      <c r="F654">
        <v>675000</v>
      </c>
      <c r="G654">
        <v>0</v>
      </c>
      <c r="H654">
        <v>675000</v>
      </c>
      <c r="I654" t="s">
        <v>1434</v>
      </c>
      <c r="J654" t="s">
        <v>10</v>
      </c>
    </row>
    <row r="655" spans="1:10" x14ac:dyDescent="0.25">
      <c r="A655" t="s">
        <v>712</v>
      </c>
      <c r="B655" t="s">
        <v>1195</v>
      </c>
      <c r="C655" t="s">
        <v>1219</v>
      </c>
      <c r="D655" t="s">
        <v>1197</v>
      </c>
      <c r="E655">
        <v>5</v>
      </c>
      <c r="F655">
        <v>375000</v>
      </c>
      <c r="G655">
        <v>0</v>
      </c>
      <c r="H655">
        <v>375000</v>
      </c>
      <c r="I655" t="s">
        <v>1435</v>
      </c>
      <c r="J655" t="s">
        <v>33</v>
      </c>
    </row>
    <row r="656" spans="1:10" x14ac:dyDescent="0.25">
      <c r="A656" t="s">
        <v>713</v>
      </c>
      <c r="B656" t="s">
        <v>1195</v>
      </c>
      <c r="C656" t="s">
        <v>1285</v>
      </c>
      <c r="D656" t="s">
        <v>1213</v>
      </c>
      <c r="E656">
        <v>8</v>
      </c>
      <c r="F656">
        <v>600000</v>
      </c>
      <c r="G656">
        <v>0</v>
      </c>
      <c r="H656">
        <v>600000</v>
      </c>
      <c r="I656" t="s">
        <v>1412</v>
      </c>
      <c r="J656" t="s">
        <v>33</v>
      </c>
    </row>
    <row r="657" spans="1:10" x14ac:dyDescent="0.25">
      <c r="A657" t="s">
        <v>714</v>
      </c>
      <c r="B657" t="s">
        <v>1192</v>
      </c>
      <c r="C657" t="s">
        <v>1262</v>
      </c>
      <c r="D657" t="s">
        <v>1213</v>
      </c>
      <c r="E657">
        <v>8</v>
      </c>
      <c r="F657">
        <v>360000</v>
      </c>
      <c r="G657">
        <v>0</v>
      </c>
      <c r="H657">
        <v>360000</v>
      </c>
      <c r="I657" t="s">
        <v>532</v>
      </c>
      <c r="J657" t="s">
        <v>5</v>
      </c>
    </row>
    <row r="658" spans="1:10" x14ac:dyDescent="0.25">
      <c r="A658" t="s">
        <v>715</v>
      </c>
      <c r="B658" t="s">
        <v>1199</v>
      </c>
      <c r="C658" t="s">
        <v>1196</v>
      </c>
      <c r="D658" t="s">
        <v>1203</v>
      </c>
      <c r="E658">
        <v>8</v>
      </c>
      <c r="F658">
        <v>1480000</v>
      </c>
      <c r="G658">
        <v>0</v>
      </c>
      <c r="H658">
        <v>1480000</v>
      </c>
      <c r="I658" t="s">
        <v>1304</v>
      </c>
      <c r="J658" t="s">
        <v>10</v>
      </c>
    </row>
    <row r="659" spans="1:10" x14ac:dyDescent="0.25">
      <c r="A659" t="s">
        <v>716</v>
      </c>
      <c r="B659" t="s">
        <v>1195</v>
      </c>
      <c r="C659" t="s">
        <v>1204</v>
      </c>
      <c r="D659" t="s">
        <v>1203</v>
      </c>
      <c r="E659">
        <v>6</v>
      </c>
      <c r="F659">
        <v>1110000</v>
      </c>
      <c r="G659">
        <v>0</v>
      </c>
      <c r="H659">
        <v>1110000</v>
      </c>
      <c r="I659" t="s">
        <v>1436</v>
      </c>
      <c r="J659" t="s">
        <v>33</v>
      </c>
    </row>
    <row r="660" spans="1:10" x14ac:dyDescent="0.25">
      <c r="A660" t="s">
        <v>717</v>
      </c>
      <c r="B660" t="s">
        <v>1199</v>
      </c>
      <c r="C660" t="s">
        <v>1196</v>
      </c>
      <c r="D660" t="s">
        <v>1213</v>
      </c>
      <c r="E660">
        <v>6</v>
      </c>
      <c r="F660">
        <v>1110000</v>
      </c>
      <c r="G660">
        <v>0</v>
      </c>
      <c r="H660">
        <v>1110000</v>
      </c>
      <c r="I660" t="s">
        <v>1304</v>
      </c>
      <c r="J660" t="s">
        <v>33</v>
      </c>
    </row>
    <row r="661" spans="1:10" x14ac:dyDescent="0.25">
      <c r="A661" t="s">
        <v>718</v>
      </c>
      <c r="B661" t="s">
        <v>1195</v>
      </c>
      <c r="C661" t="s">
        <v>1196</v>
      </c>
      <c r="D661" t="s">
        <v>1213</v>
      </c>
      <c r="E661">
        <v>6</v>
      </c>
      <c r="F661">
        <v>1110000</v>
      </c>
      <c r="G661">
        <v>0</v>
      </c>
      <c r="H661">
        <v>1110000</v>
      </c>
      <c r="I661" t="s">
        <v>1223</v>
      </c>
      <c r="J661" t="s">
        <v>20</v>
      </c>
    </row>
    <row r="662" spans="1:10" x14ac:dyDescent="0.25">
      <c r="A662" t="s">
        <v>719</v>
      </c>
      <c r="B662" t="s">
        <v>1192</v>
      </c>
      <c r="C662" t="s">
        <v>1208</v>
      </c>
      <c r="D662" t="s">
        <v>1213</v>
      </c>
      <c r="E662">
        <v>1</v>
      </c>
      <c r="F662">
        <v>250000</v>
      </c>
      <c r="G662">
        <v>0</v>
      </c>
      <c r="H662">
        <v>250000</v>
      </c>
      <c r="I662" t="s">
        <v>1437</v>
      </c>
      <c r="J662" t="s">
        <v>33</v>
      </c>
    </row>
    <row r="663" spans="1:10" x14ac:dyDescent="0.25">
      <c r="A663" t="s">
        <v>720</v>
      </c>
      <c r="B663" t="s">
        <v>1192</v>
      </c>
      <c r="C663" t="s">
        <v>1200</v>
      </c>
      <c r="D663" t="s">
        <v>1194</v>
      </c>
      <c r="E663">
        <v>2</v>
      </c>
      <c r="F663">
        <v>370000</v>
      </c>
      <c r="G663">
        <v>0</v>
      </c>
      <c r="H663">
        <v>370000</v>
      </c>
      <c r="I663" t="s">
        <v>1438</v>
      </c>
      <c r="J663" t="s">
        <v>33</v>
      </c>
    </row>
    <row r="664" spans="1:10" x14ac:dyDescent="0.25">
      <c r="A664" t="s">
        <v>721</v>
      </c>
      <c r="B664" t="s">
        <v>1225</v>
      </c>
      <c r="C664" t="s">
        <v>1193</v>
      </c>
      <c r="D664" t="s">
        <v>1194</v>
      </c>
      <c r="E664">
        <v>2</v>
      </c>
      <c r="F664">
        <v>500000</v>
      </c>
      <c r="G664">
        <v>0</v>
      </c>
      <c r="H664" t="s">
        <v>1343</v>
      </c>
      <c r="I664" t="s">
        <v>271</v>
      </c>
      <c r="J664" t="s">
        <v>5</v>
      </c>
    </row>
    <row r="665" spans="1:10" x14ac:dyDescent="0.25">
      <c r="A665" t="s">
        <v>722</v>
      </c>
      <c r="B665" t="s">
        <v>1206</v>
      </c>
      <c r="C665" t="s">
        <v>1193</v>
      </c>
      <c r="D665" t="s">
        <v>1203</v>
      </c>
      <c r="E665">
        <v>9</v>
      </c>
      <c r="F665">
        <v>405000</v>
      </c>
      <c r="G665">
        <v>0</v>
      </c>
      <c r="H665">
        <v>405000</v>
      </c>
      <c r="I665" t="s">
        <v>195</v>
      </c>
      <c r="J665" t="s">
        <v>5</v>
      </c>
    </row>
    <row r="666" spans="1:10" x14ac:dyDescent="0.25">
      <c r="A666" t="s">
        <v>723</v>
      </c>
      <c r="B666" t="s">
        <v>1195</v>
      </c>
      <c r="C666" t="s">
        <v>1208</v>
      </c>
      <c r="D666" t="s">
        <v>1203</v>
      </c>
      <c r="E666">
        <v>4</v>
      </c>
      <c r="F666">
        <v>480000</v>
      </c>
      <c r="G666">
        <v>0</v>
      </c>
      <c r="H666">
        <v>480000</v>
      </c>
      <c r="I666" t="s">
        <v>1170</v>
      </c>
      <c r="J666" t="s">
        <v>10</v>
      </c>
    </row>
    <row r="667" spans="1:10" x14ac:dyDescent="0.25">
      <c r="A667" t="s">
        <v>724</v>
      </c>
      <c r="B667" t="s">
        <v>1225</v>
      </c>
      <c r="C667" t="s">
        <v>1208</v>
      </c>
      <c r="D667" t="s">
        <v>1210</v>
      </c>
      <c r="E667">
        <v>7</v>
      </c>
      <c r="F667">
        <v>1750000</v>
      </c>
      <c r="G667">
        <v>0</v>
      </c>
      <c r="H667">
        <v>1750000</v>
      </c>
      <c r="I667" t="s">
        <v>22</v>
      </c>
      <c r="J667" t="s">
        <v>20</v>
      </c>
    </row>
    <row r="668" spans="1:10" x14ac:dyDescent="0.25">
      <c r="A668" t="s">
        <v>725</v>
      </c>
      <c r="B668" t="s">
        <v>1251</v>
      </c>
      <c r="C668" t="s">
        <v>1204</v>
      </c>
      <c r="D668" t="s">
        <v>1213</v>
      </c>
      <c r="E668">
        <v>2</v>
      </c>
      <c r="F668">
        <v>150000</v>
      </c>
      <c r="G668">
        <v>0</v>
      </c>
      <c r="H668">
        <v>-150000</v>
      </c>
      <c r="I668" t="s">
        <v>1157</v>
      </c>
      <c r="J668" t="s">
        <v>33</v>
      </c>
    </row>
    <row r="669" spans="1:10" x14ac:dyDescent="0.25">
      <c r="A669" t="s">
        <v>726</v>
      </c>
      <c r="B669" t="s">
        <v>1195</v>
      </c>
      <c r="C669" t="s">
        <v>1196</v>
      </c>
      <c r="D669" t="s">
        <v>1213</v>
      </c>
      <c r="E669">
        <v>3</v>
      </c>
      <c r="F669">
        <v>135000</v>
      </c>
      <c r="G669">
        <v>0</v>
      </c>
      <c r="H669">
        <v>135000</v>
      </c>
      <c r="I669" t="s">
        <v>1145</v>
      </c>
      <c r="J669" t="s">
        <v>5</v>
      </c>
    </row>
    <row r="670" spans="1:10" x14ac:dyDescent="0.25">
      <c r="A670" t="s">
        <v>727</v>
      </c>
      <c r="B670" t="s">
        <v>1192</v>
      </c>
      <c r="C670" t="s">
        <v>1196</v>
      </c>
      <c r="D670" t="s">
        <v>1213</v>
      </c>
      <c r="E670">
        <v>2</v>
      </c>
      <c r="F670">
        <v>500000</v>
      </c>
      <c r="G670">
        <v>5000</v>
      </c>
      <c r="H670">
        <v>495000</v>
      </c>
      <c r="I670" t="s">
        <v>1439</v>
      </c>
      <c r="J670" t="s">
        <v>20</v>
      </c>
    </row>
    <row r="671" spans="1:10" x14ac:dyDescent="0.25">
      <c r="A671" t="s">
        <v>728</v>
      </c>
      <c r="B671" t="s">
        <v>1199</v>
      </c>
      <c r="C671" t="s">
        <v>1208</v>
      </c>
      <c r="D671" t="s">
        <v>1194</v>
      </c>
      <c r="E671">
        <v>3</v>
      </c>
      <c r="F671">
        <v>360000</v>
      </c>
      <c r="G671">
        <v>0</v>
      </c>
      <c r="H671" t="s">
        <v>1231</v>
      </c>
      <c r="I671" t="s">
        <v>1330</v>
      </c>
      <c r="J671" t="s">
        <v>20</v>
      </c>
    </row>
    <row r="672" spans="1:10" x14ac:dyDescent="0.25">
      <c r="A672" t="s">
        <v>729</v>
      </c>
      <c r="B672" t="s">
        <v>1206</v>
      </c>
      <c r="C672" t="s">
        <v>1204</v>
      </c>
      <c r="D672" t="s">
        <v>1213</v>
      </c>
      <c r="E672">
        <v>9</v>
      </c>
      <c r="F672">
        <v>1080000</v>
      </c>
      <c r="G672">
        <v>0</v>
      </c>
      <c r="H672">
        <v>1080000</v>
      </c>
      <c r="I672" t="s">
        <v>1270</v>
      </c>
      <c r="J672" t="s">
        <v>20</v>
      </c>
    </row>
    <row r="673" spans="1:10" x14ac:dyDescent="0.25">
      <c r="A673" t="s">
        <v>730</v>
      </c>
      <c r="B673" t="s">
        <v>1195</v>
      </c>
      <c r="C673" t="s">
        <v>1208</v>
      </c>
      <c r="D673" t="s">
        <v>1210</v>
      </c>
      <c r="E673">
        <v>6</v>
      </c>
      <c r="F673">
        <v>450000</v>
      </c>
      <c r="G673">
        <v>0</v>
      </c>
      <c r="H673">
        <v>450000</v>
      </c>
      <c r="I673" t="s">
        <v>1440</v>
      </c>
      <c r="J673" t="s">
        <v>10</v>
      </c>
    </row>
    <row r="674" spans="1:10" x14ac:dyDescent="0.25">
      <c r="A674" t="s">
        <v>731</v>
      </c>
      <c r="B674" t="s">
        <v>1195</v>
      </c>
      <c r="C674" t="s">
        <v>1204</v>
      </c>
      <c r="D674" t="s">
        <v>1213</v>
      </c>
      <c r="E674">
        <v>2</v>
      </c>
      <c r="F674">
        <v>500000</v>
      </c>
      <c r="G674">
        <v>0</v>
      </c>
      <c r="H674">
        <v>500000</v>
      </c>
      <c r="I674" t="s">
        <v>1212</v>
      </c>
      <c r="J674" t="s">
        <v>20</v>
      </c>
    </row>
    <row r="675" spans="1:10" x14ac:dyDescent="0.25">
      <c r="A675" t="s">
        <v>732</v>
      </c>
      <c r="B675" t="s">
        <v>1192</v>
      </c>
      <c r="C675" t="s">
        <v>1208</v>
      </c>
      <c r="D675" t="s">
        <v>1213</v>
      </c>
      <c r="E675">
        <v>3</v>
      </c>
      <c r="F675">
        <v>360000</v>
      </c>
      <c r="G675">
        <v>0</v>
      </c>
      <c r="H675">
        <v>360000</v>
      </c>
      <c r="I675" t="s">
        <v>1179</v>
      </c>
      <c r="J675" t="s">
        <v>10</v>
      </c>
    </row>
    <row r="676" spans="1:10" x14ac:dyDescent="0.25">
      <c r="A676" t="s">
        <v>733</v>
      </c>
      <c r="B676" t="s">
        <v>1195</v>
      </c>
      <c r="C676" t="s">
        <v>1200</v>
      </c>
      <c r="D676" t="s">
        <v>1203</v>
      </c>
      <c r="E676">
        <v>7</v>
      </c>
      <c r="F676">
        <v>1750000</v>
      </c>
      <c r="G676">
        <v>0</v>
      </c>
      <c r="H676">
        <v>1750000</v>
      </c>
      <c r="I676" t="s">
        <v>1344</v>
      </c>
      <c r="J676" t="s">
        <v>10</v>
      </c>
    </row>
    <row r="677" spans="1:10" x14ac:dyDescent="0.25">
      <c r="A677" t="s">
        <v>734</v>
      </c>
      <c r="B677" t="s">
        <v>1199</v>
      </c>
      <c r="C677" t="s">
        <v>1200</v>
      </c>
      <c r="D677" t="s">
        <v>1203</v>
      </c>
      <c r="E677">
        <v>4</v>
      </c>
      <c r="F677">
        <v>300000</v>
      </c>
      <c r="G677">
        <v>0</v>
      </c>
      <c r="H677" t="s">
        <v>1286</v>
      </c>
      <c r="I677" t="s">
        <v>1337</v>
      </c>
      <c r="J677" t="s">
        <v>20</v>
      </c>
    </row>
    <row r="678" spans="1:10" x14ac:dyDescent="0.25">
      <c r="A678" t="s">
        <v>735</v>
      </c>
      <c r="B678" t="s">
        <v>1192</v>
      </c>
      <c r="C678" t="s">
        <v>29</v>
      </c>
      <c r="D678" t="s">
        <v>1194</v>
      </c>
      <c r="E678">
        <v>6</v>
      </c>
      <c r="F678">
        <v>1110000</v>
      </c>
      <c r="G678">
        <v>0</v>
      </c>
      <c r="H678">
        <v>1110000</v>
      </c>
      <c r="I678" t="s">
        <v>1293</v>
      </c>
      <c r="J678" t="s">
        <v>5</v>
      </c>
    </row>
    <row r="679" spans="1:10" x14ac:dyDescent="0.25">
      <c r="A679" t="s">
        <v>736</v>
      </c>
      <c r="B679" t="s">
        <v>1195</v>
      </c>
      <c r="C679" t="s">
        <v>1193</v>
      </c>
      <c r="D679" t="s">
        <v>1210</v>
      </c>
      <c r="E679">
        <v>8</v>
      </c>
      <c r="F679">
        <v>2000000</v>
      </c>
      <c r="G679">
        <v>0</v>
      </c>
      <c r="H679" t="s">
        <v>1377</v>
      </c>
      <c r="I679" t="s">
        <v>1263</v>
      </c>
      <c r="J679" t="s">
        <v>20</v>
      </c>
    </row>
    <row r="680" spans="1:10" x14ac:dyDescent="0.25">
      <c r="A680" t="s">
        <v>737</v>
      </c>
      <c r="B680" t="s">
        <v>1206</v>
      </c>
      <c r="C680" t="s">
        <v>1193</v>
      </c>
      <c r="D680" t="s">
        <v>1213</v>
      </c>
      <c r="E680">
        <v>5</v>
      </c>
      <c r="F680">
        <v>225000</v>
      </c>
      <c r="G680">
        <v>5000</v>
      </c>
      <c r="H680" t="s">
        <v>92</v>
      </c>
      <c r="I680" t="s">
        <v>183</v>
      </c>
      <c r="J680" t="s">
        <v>10</v>
      </c>
    </row>
    <row r="681" spans="1:10" x14ac:dyDescent="0.25">
      <c r="A681" t="s">
        <v>738</v>
      </c>
      <c r="B681" t="s">
        <v>1192</v>
      </c>
      <c r="C681" t="s">
        <v>29</v>
      </c>
      <c r="D681" t="s">
        <v>1213</v>
      </c>
      <c r="E681">
        <v>4</v>
      </c>
      <c r="F681">
        <v>1000000</v>
      </c>
      <c r="G681">
        <v>0</v>
      </c>
      <c r="H681">
        <v>1000000</v>
      </c>
      <c r="I681" t="s">
        <v>1338</v>
      </c>
      <c r="J681" t="s">
        <v>20</v>
      </c>
    </row>
    <row r="682" spans="1:10" x14ac:dyDescent="0.25">
      <c r="A682" t="s">
        <v>739</v>
      </c>
      <c r="B682" t="s">
        <v>1195</v>
      </c>
      <c r="C682" t="s">
        <v>1226</v>
      </c>
      <c r="D682" t="s">
        <v>1210</v>
      </c>
      <c r="E682">
        <v>10</v>
      </c>
      <c r="F682">
        <v>450000</v>
      </c>
      <c r="G682">
        <v>0</v>
      </c>
      <c r="H682">
        <v>450000</v>
      </c>
      <c r="I682" t="s">
        <v>195</v>
      </c>
      <c r="J682" t="s">
        <v>5</v>
      </c>
    </row>
    <row r="683" spans="1:10" x14ac:dyDescent="0.25">
      <c r="A683" t="s">
        <v>740</v>
      </c>
      <c r="B683" t="s">
        <v>1199</v>
      </c>
      <c r="C683" t="s">
        <v>1208</v>
      </c>
      <c r="D683" t="s">
        <v>1203</v>
      </c>
      <c r="E683">
        <v>3</v>
      </c>
      <c r="F683">
        <v>555000</v>
      </c>
      <c r="G683">
        <v>15000</v>
      </c>
      <c r="H683" t="s">
        <v>92</v>
      </c>
      <c r="I683" t="s">
        <v>76</v>
      </c>
      <c r="J683" t="s">
        <v>10</v>
      </c>
    </row>
    <row r="684" spans="1:10" x14ac:dyDescent="0.25">
      <c r="A684" t="s">
        <v>741</v>
      </c>
      <c r="B684" t="s">
        <v>1230</v>
      </c>
      <c r="C684" t="s">
        <v>1196</v>
      </c>
      <c r="D684" t="s">
        <v>1210</v>
      </c>
      <c r="E684">
        <v>7</v>
      </c>
      <c r="F684">
        <v>1295000</v>
      </c>
      <c r="G684">
        <v>15000</v>
      </c>
      <c r="H684">
        <v>1280000</v>
      </c>
      <c r="I684" t="s">
        <v>1304</v>
      </c>
      <c r="J684" t="s">
        <v>10</v>
      </c>
    </row>
    <row r="685" spans="1:10" x14ac:dyDescent="0.25">
      <c r="A685" t="s">
        <v>742</v>
      </c>
      <c r="B685" t="s">
        <v>1199</v>
      </c>
      <c r="C685" t="s">
        <v>1193</v>
      </c>
      <c r="D685" t="s">
        <v>1213</v>
      </c>
      <c r="E685">
        <v>3</v>
      </c>
      <c r="F685">
        <v>135000</v>
      </c>
      <c r="G685">
        <v>0</v>
      </c>
      <c r="H685">
        <v>135000</v>
      </c>
      <c r="I685" t="s">
        <v>1172</v>
      </c>
      <c r="J685" t="s">
        <v>33</v>
      </c>
    </row>
    <row r="686" spans="1:10" x14ac:dyDescent="0.25">
      <c r="A686" t="s">
        <v>743</v>
      </c>
      <c r="B686" t="s">
        <v>1206</v>
      </c>
      <c r="C686" t="s">
        <v>1200</v>
      </c>
      <c r="D686" t="s">
        <v>1213</v>
      </c>
      <c r="E686">
        <v>10</v>
      </c>
      <c r="F686">
        <v>1850000</v>
      </c>
      <c r="G686">
        <v>0</v>
      </c>
      <c r="H686">
        <v>1850000</v>
      </c>
      <c r="I686" t="s">
        <v>1441</v>
      </c>
      <c r="J686" t="s">
        <v>20</v>
      </c>
    </row>
    <row r="687" spans="1:10" x14ac:dyDescent="0.25">
      <c r="A687" t="s">
        <v>744</v>
      </c>
      <c r="B687" t="s">
        <v>1192</v>
      </c>
      <c r="C687" t="s">
        <v>1208</v>
      </c>
      <c r="D687" t="s">
        <v>1194</v>
      </c>
      <c r="E687">
        <v>1</v>
      </c>
      <c r="F687">
        <v>75000</v>
      </c>
      <c r="G687">
        <v>0</v>
      </c>
      <c r="H687">
        <v>75000</v>
      </c>
      <c r="I687" t="s">
        <v>22</v>
      </c>
      <c r="J687" t="s">
        <v>5</v>
      </c>
    </row>
    <row r="688" spans="1:10" x14ac:dyDescent="0.25">
      <c r="A688" t="s">
        <v>745</v>
      </c>
      <c r="B688" t="s">
        <v>1225</v>
      </c>
      <c r="C688" t="s">
        <v>29</v>
      </c>
      <c r="D688" t="s">
        <v>1197</v>
      </c>
      <c r="E688">
        <v>5</v>
      </c>
      <c r="F688">
        <v>600000</v>
      </c>
      <c r="G688">
        <v>5000</v>
      </c>
      <c r="H688">
        <v>595000</v>
      </c>
      <c r="I688" t="s">
        <v>1201</v>
      </c>
      <c r="J688" t="s">
        <v>10</v>
      </c>
    </row>
    <row r="689" spans="1:10" x14ac:dyDescent="0.25">
      <c r="A689" t="s">
        <v>746</v>
      </c>
      <c r="B689" t="s">
        <v>1206</v>
      </c>
      <c r="C689" t="s">
        <v>1204</v>
      </c>
      <c r="D689" t="s">
        <v>1197</v>
      </c>
      <c r="E689">
        <v>3</v>
      </c>
      <c r="F689">
        <v>750000</v>
      </c>
      <c r="G689">
        <v>0</v>
      </c>
      <c r="H689">
        <v>750000</v>
      </c>
      <c r="I689" t="s">
        <v>1157</v>
      </c>
      <c r="J689" t="s">
        <v>5</v>
      </c>
    </row>
    <row r="690" spans="1:10" x14ac:dyDescent="0.25">
      <c r="A690" t="s">
        <v>747</v>
      </c>
      <c r="B690" t="s">
        <v>1192</v>
      </c>
      <c r="C690" t="s">
        <v>1193</v>
      </c>
      <c r="D690" t="s">
        <v>1213</v>
      </c>
      <c r="E690">
        <v>4</v>
      </c>
      <c r="F690">
        <v>480000</v>
      </c>
      <c r="G690">
        <v>5000</v>
      </c>
      <c r="H690">
        <v>475000</v>
      </c>
      <c r="I690" t="s">
        <v>1152</v>
      </c>
      <c r="J690" t="s">
        <v>33</v>
      </c>
    </row>
    <row r="691" spans="1:10" x14ac:dyDescent="0.25">
      <c r="A691" t="s">
        <v>748</v>
      </c>
      <c r="B691" t="s">
        <v>1199</v>
      </c>
      <c r="C691" t="s">
        <v>1285</v>
      </c>
      <c r="D691" t="s">
        <v>1213</v>
      </c>
      <c r="E691">
        <v>8</v>
      </c>
      <c r="F691">
        <v>600000</v>
      </c>
      <c r="G691">
        <v>5000</v>
      </c>
      <c r="H691">
        <v>-595000</v>
      </c>
      <c r="I691" t="s">
        <v>1159</v>
      </c>
      <c r="J691" t="s">
        <v>20</v>
      </c>
    </row>
    <row r="692" spans="1:10" x14ac:dyDescent="0.25">
      <c r="A692" t="s">
        <v>749</v>
      </c>
      <c r="B692" t="s">
        <v>1192</v>
      </c>
      <c r="C692" t="s">
        <v>29</v>
      </c>
      <c r="D692" t="s">
        <v>1210</v>
      </c>
      <c r="E692">
        <v>5</v>
      </c>
      <c r="F692">
        <v>600000</v>
      </c>
      <c r="G692">
        <v>15000</v>
      </c>
      <c r="H692">
        <v>585000</v>
      </c>
      <c r="I692" t="s">
        <v>22</v>
      </c>
      <c r="J692" t="s">
        <v>5</v>
      </c>
    </row>
    <row r="693" spans="1:10" x14ac:dyDescent="0.25">
      <c r="A693" t="s">
        <v>750</v>
      </c>
      <c r="B693" t="s">
        <v>1199</v>
      </c>
      <c r="C693" t="s">
        <v>1204</v>
      </c>
      <c r="D693" t="s">
        <v>1197</v>
      </c>
      <c r="E693">
        <v>9</v>
      </c>
      <c r="F693">
        <v>1665000</v>
      </c>
      <c r="G693">
        <v>0</v>
      </c>
      <c r="H693">
        <v>1665000</v>
      </c>
      <c r="I693" t="s">
        <v>22</v>
      </c>
      <c r="J693" t="s">
        <v>33</v>
      </c>
    </row>
    <row r="694" spans="1:10" x14ac:dyDescent="0.25">
      <c r="A694" t="s">
        <v>751</v>
      </c>
      <c r="B694" t="s">
        <v>1206</v>
      </c>
      <c r="C694" t="s">
        <v>1208</v>
      </c>
      <c r="D694" t="s">
        <v>1194</v>
      </c>
      <c r="E694">
        <v>2</v>
      </c>
      <c r="F694">
        <v>90000</v>
      </c>
      <c r="G694">
        <v>0</v>
      </c>
      <c r="H694">
        <v>90000</v>
      </c>
      <c r="I694" t="s">
        <v>1282</v>
      </c>
      <c r="J694" t="s">
        <v>5</v>
      </c>
    </row>
    <row r="695" spans="1:10" x14ac:dyDescent="0.25">
      <c r="A695" t="s">
        <v>752</v>
      </c>
      <c r="B695" t="s">
        <v>1195</v>
      </c>
      <c r="C695" t="s">
        <v>1202</v>
      </c>
      <c r="D695" t="s">
        <v>1210</v>
      </c>
      <c r="E695">
        <v>7</v>
      </c>
      <c r="F695">
        <v>1295000</v>
      </c>
      <c r="G695">
        <v>0</v>
      </c>
      <c r="H695">
        <v>1295000</v>
      </c>
      <c r="I695" t="s">
        <v>1347</v>
      </c>
      <c r="J695" t="s">
        <v>10</v>
      </c>
    </row>
    <row r="696" spans="1:10" x14ac:dyDescent="0.25">
      <c r="A696" t="s">
        <v>753</v>
      </c>
      <c r="B696" t="s">
        <v>1225</v>
      </c>
      <c r="C696" t="s">
        <v>1200</v>
      </c>
      <c r="D696" t="s">
        <v>1194</v>
      </c>
      <c r="E696">
        <v>9</v>
      </c>
      <c r="F696">
        <v>405000</v>
      </c>
      <c r="G696">
        <v>0</v>
      </c>
      <c r="H696">
        <v>405000</v>
      </c>
      <c r="I696" t="s">
        <v>1371</v>
      </c>
      <c r="J696" t="s">
        <v>20</v>
      </c>
    </row>
    <row r="697" spans="1:10" x14ac:dyDescent="0.25">
      <c r="A697" t="s">
        <v>754</v>
      </c>
      <c r="B697" t="s">
        <v>1206</v>
      </c>
      <c r="C697" t="s">
        <v>1200</v>
      </c>
      <c r="D697" t="s">
        <v>1203</v>
      </c>
      <c r="E697">
        <v>9</v>
      </c>
      <c r="F697">
        <v>1080000</v>
      </c>
      <c r="G697">
        <v>0</v>
      </c>
      <c r="H697">
        <v>1080000</v>
      </c>
      <c r="I697" t="s">
        <v>1280</v>
      </c>
      <c r="J697" t="s">
        <v>5</v>
      </c>
    </row>
    <row r="698" spans="1:10" x14ac:dyDescent="0.25">
      <c r="A698" t="s">
        <v>755</v>
      </c>
      <c r="B698" t="s">
        <v>1192</v>
      </c>
      <c r="C698" t="s">
        <v>1204</v>
      </c>
      <c r="D698" t="s">
        <v>1210</v>
      </c>
      <c r="E698">
        <v>4</v>
      </c>
      <c r="F698">
        <v>300000</v>
      </c>
      <c r="G698">
        <v>0</v>
      </c>
      <c r="H698">
        <v>-300000</v>
      </c>
      <c r="I698" t="s">
        <v>1160</v>
      </c>
      <c r="J698" t="s">
        <v>5</v>
      </c>
    </row>
    <row r="699" spans="1:10" x14ac:dyDescent="0.25">
      <c r="A699" t="s">
        <v>756</v>
      </c>
      <c r="B699" t="s">
        <v>1206</v>
      </c>
      <c r="C699" t="s">
        <v>1196</v>
      </c>
      <c r="D699" t="s">
        <v>1194</v>
      </c>
      <c r="E699">
        <v>5</v>
      </c>
      <c r="F699">
        <v>600000</v>
      </c>
      <c r="G699">
        <v>0</v>
      </c>
      <c r="H699">
        <v>600000</v>
      </c>
      <c r="I699" t="s">
        <v>1279</v>
      </c>
      <c r="J699" t="s">
        <v>33</v>
      </c>
    </row>
    <row r="700" spans="1:10" x14ac:dyDescent="0.25">
      <c r="A700" t="s">
        <v>757</v>
      </c>
      <c r="B700" t="s">
        <v>1199</v>
      </c>
      <c r="C700" t="s">
        <v>1202</v>
      </c>
      <c r="D700" t="s">
        <v>1197</v>
      </c>
      <c r="E700">
        <v>8</v>
      </c>
      <c r="F700">
        <v>2000000</v>
      </c>
      <c r="G700">
        <v>0</v>
      </c>
      <c r="H700">
        <v>2000000</v>
      </c>
      <c r="I700" t="s">
        <v>1238</v>
      </c>
      <c r="J700" t="s">
        <v>5</v>
      </c>
    </row>
    <row r="701" spans="1:10" x14ac:dyDescent="0.25">
      <c r="A701" t="s">
        <v>758</v>
      </c>
      <c r="B701" t="s">
        <v>1192</v>
      </c>
      <c r="C701" t="s">
        <v>29</v>
      </c>
      <c r="D701" t="s">
        <v>1197</v>
      </c>
      <c r="E701">
        <v>1</v>
      </c>
      <c r="F701">
        <v>250000</v>
      </c>
      <c r="G701">
        <v>0</v>
      </c>
      <c r="H701">
        <v>250000</v>
      </c>
      <c r="I701" t="s">
        <v>1284</v>
      </c>
      <c r="J701" t="s">
        <v>33</v>
      </c>
    </row>
    <row r="702" spans="1:10" x14ac:dyDescent="0.25">
      <c r="A702" t="s">
        <v>759</v>
      </c>
      <c r="B702" t="s">
        <v>1195</v>
      </c>
      <c r="C702" t="s">
        <v>1196</v>
      </c>
      <c r="D702" t="s">
        <v>1210</v>
      </c>
      <c r="E702">
        <v>7</v>
      </c>
      <c r="F702">
        <v>525000</v>
      </c>
      <c r="G702">
        <v>5000</v>
      </c>
      <c r="H702">
        <v>520000</v>
      </c>
      <c r="I702" t="s">
        <v>1328</v>
      </c>
      <c r="J702" t="s">
        <v>20</v>
      </c>
    </row>
    <row r="703" spans="1:10" x14ac:dyDescent="0.25">
      <c r="A703" t="s">
        <v>760</v>
      </c>
      <c r="B703" t="s">
        <v>1206</v>
      </c>
      <c r="C703" t="s">
        <v>1204</v>
      </c>
      <c r="D703" t="s">
        <v>1197</v>
      </c>
      <c r="E703">
        <v>1</v>
      </c>
      <c r="F703">
        <v>75000</v>
      </c>
      <c r="G703">
        <v>0</v>
      </c>
      <c r="H703">
        <v>75000</v>
      </c>
      <c r="I703" t="s">
        <v>1323</v>
      </c>
      <c r="J703" t="s">
        <v>10</v>
      </c>
    </row>
    <row r="704" spans="1:10" x14ac:dyDescent="0.25">
      <c r="A704" t="s">
        <v>761</v>
      </c>
      <c r="B704" t="s">
        <v>1195</v>
      </c>
      <c r="C704" t="s">
        <v>1208</v>
      </c>
      <c r="D704" t="s">
        <v>1213</v>
      </c>
      <c r="E704">
        <v>5</v>
      </c>
      <c r="F704">
        <v>1250000</v>
      </c>
      <c r="G704">
        <v>0</v>
      </c>
      <c r="H704">
        <v>1250000</v>
      </c>
      <c r="I704" t="s">
        <v>1175</v>
      </c>
      <c r="J704" t="s">
        <v>10</v>
      </c>
    </row>
    <row r="705" spans="1:10" x14ac:dyDescent="0.25">
      <c r="A705" t="s">
        <v>762</v>
      </c>
      <c r="B705" t="s">
        <v>1192</v>
      </c>
      <c r="C705" t="s">
        <v>1200</v>
      </c>
      <c r="D705" t="s">
        <v>1194</v>
      </c>
      <c r="E705">
        <v>5</v>
      </c>
      <c r="F705">
        <v>225000</v>
      </c>
      <c r="G705">
        <v>15000</v>
      </c>
      <c r="H705" t="s">
        <v>92</v>
      </c>
      <c r="I705" t="s">
        <v>688</v>
      </c>
      <c r="J705" t="s">
        <v>20</v>
      </c>
    </row>
    <row r="706" spans="1:10" x14ac:dyDescent="0.25">
      <c r="A706" t="s">
        <v>763</v>
      </c>
      <c r="B706" t="s">
        <v>1230</v>
      </c>
      <c r="C706" t="s">
        <v>1204</v>
      </c>
      <c r="D706" t="s">
        <v>1213</v>
      </c>
      <c r="E706">
        <v>3</v>
      </c>
      <c r="F706">
        <v>555000</v>
      </c>
      <c r="G706">
        <v>0</v>
      </c>
      <c r="H706">
        <v>555000</v>
      </c>
      <c r="I706" t="s">
        <v>1442</v>
      </c>
      <c r="J706" t="s">
        <v>10</v>
      </c>
    </row>
    <row r="707" spans="1:10" x14ac:dyDescent="0.25">
      <c r="A707" t="s">
        <v>764</v>
      </c>
      <c r="B707" t="s">
        <v>1206</v>
      </c>
      <c r="C707" t="s">
        <v>1202</v>
      </c>
      <c r="D707" t="s">
        <v>1203</v>
      </c>
      <c r="E707">
        <v>8</v>
      </c>
      <c r="F707">
        <v>2000000</v>
      </c>
      <c r="G707">
        <v>0</v>
      </c>
      <c r="H707" t="s">
        <v>1377</v>
      </c>
      <c r="I707" t="s">
        <v>1340</v>
      </c>
      <c r="J707" t="s">
        <v>33</v>
      </c>
    </row>
    <row r="708" spans="1:10" x14ac:dyDescent="0.25">
      <c r="A708" t="s">
        <v>765</v>
      </c>
      <c r="B708" t="s">
        <v>1192</v>
      </c>
      <c r="C708" t="s">
        <v>29</v>
      </c>
      <c r="D708" t="s">
        <v>1203</v>
      </c>
      <c r="E708">
        <v>10</v>
      </c>
      <c r="F708">
        <v>750000</v>
      </c>
      <c r="G708">
        <v>0</v>
      </c>
      <c r="H708">
        <v>750000</v>
      </c>
      <c r="I708" t="s">
        <v>1222</v>
      </c>
      <c r="J708" t="s">
        <v>5</v>
      </c>
    </row>
    <row r="709" spans="1:10" x14ac:dyDescent="0.25">
      <c r="A709" t="s">
        <v>766</v>
      </c>
      <c r="B709" t="s">
        <v>1199</v>
      </c>
      <c r="C709" t="s">
        <v>29</v>
      </c>
      <c r="D709" t="s">
        <v>1197</v>
      </c>
      <c r="E709">
        <v>5</v>
      </c>
      <c r="F709">
        <v>600000</v>
      </c>
      <c r="G709">
        <v>10000</v>
      </c>
      <c r="H709" t="s">
        <v>1443</v>
      </c>
      <c r="I709" t="s">
        <v>1444</v>
      </c>
      <c r="J709" t="s">
        <v>10</v>
      </c>
    </row>
    <row r="710" spans="1:10" x14ac:dyDescent="0.25">
      <c r="A710" t="s">
        <v>767</v>
      </c>
      <c r="B710" t="s">
        <v>1199</v>
      </c>
      <c r="C710" t="s">
        <v>1226</v>
      </c>
      <c r="D710" t="s">
        <v>1203</v>
      </c>
      <c r="E710">
        <v>8</v>
      </c>
      <c r="F710">
        <v>1480000</v>
      </c>
      <c r="G710">
        <v>0</v>
      </c>
      <c r="H710">
        <v>1480000</v>
      </c>
      <c r="I710" t="s">
        <v>138</v>
      </c>
      <c r="J710" t="s">
        <v>33</v>
      </c>
    </row>
    <row r="711" spans="1:10" x14ac:dyDescent="0.25">
      <c r="A711" t="s">
        <v>768</v>
      </c>
      <c r="B711" t="s">
        <v>1199</v>
      </c>
      <c r="C711" t="s">
        <v>1200</v>
      </c>
      <c r="D711" t="s">
        <v>1213</v>
      </c>
      <c r="E711">
        <v>4</v>
      </c>
      <c r="F711">
        <v>1000000</v>
      </c>
      <c r="G711">
        <v>0</v>
      </c>
      <c r="H711">
        <v>1000000</v>
      </c>
      <c r="I711" t="s">
        <v>1354</v>
      </c>
      <c r="J711" t="s">
        <v>33</v>
      </c>
    </row>
    <row r="712" spans="1:10" x14ac:dyDescent="0.25">
      <c r="A712" t="s">
        <v>769</v>
      </c>
      <c r="B712" t="s">
        <v>1192</v>
      </c>
      <c r="C712" t="s">
        <v>29</v>
      </c>
      <c r="D712" t="s">
        <v>1197</v>
      </c>
      <c r="E712">
        <v>10</v>
      </c>
      <c r="F712">
        <v>750000</v>
      </c>
      <c r="G712">
        <v>0</v>
      </c>
      <c r="H712">
        <v>750000</v>
      </c>
      <c r="I712" t="s">
        <v>1214</v>
      </c>
      <c r="J712" t="s">
        <v>5</v>
      </c>
    </row>
    <row r="713" spans="1:10" x14ac:dyDescent="0.25">
      <c r="A713" t="s">
        <v>770</v>
      </c>
      <c r="B713" t="s">
        <v>1206</v>
      </c>
      <c r="C713" t="s">
        <v>1204</v>
      </c>
      <c r="D713" t="s">
        <v>1194</v>
      </c>
      <c r="E713">
        <v>4</v>
      </c>
      <c r="F713">
        <v>300000</v>
      </c>
      <c r="G713">
        <v>0</v>
      </c>
      <c r="H713">
        <v>-300000</v>
      </c>
      <c r="I713" t="s">
        <v>1161</v>
      </c>
      <c r="J713" t="s">
        <v>5</v>
      </c>
    </row>
    <row r="714" spans="1:10" x14ac:dyDescent="0.25">
      <c r="A714" t="s">
        <v>771</v>
      </c>
      <c r="B714" t="s">
        <v>1192</v>
      </c>
      <c r="C714" t="s">
        <v>29</v>
      </c>
      <c r="D714" t="s">
        <v>1194</v>
      </c>
      <c r="E714">
        <v>6</v>
      </c>
      <c r="F714">
        <v>450000</v>
      </c>
      <c r="G714">
        <v>0</v>
      </c>
      <c r="H714" t="s">
        <v>92</v>
      </c>
      <c r="I714" t="s">
        <v>566</v>
      </c>
      <c r="J714" t="s">
        <v>33</v>
      </c>
    </row>
    <row r="715" spans="1:10" x14ac:dyDescent="0.25">
      <c r="A715" t="s">
        <v>772</v>
      </c>
      <c r="B715" t="s">
        <v>1195</v>
      </c>
      <c r="C715" t="s">
        <v>1208</v>
      </c>
      <c r="D715" t="s">
        <v>1197</v>
      </c>
      <c r="E715">
        <v>10</v>
      </c>
      <c r="F715">
        <v>1200000</v>
      </c>
      <c r="G715">
        <v>0</v>
      </c>
      <c r="H715">
        <v>1200000</v>
      </c>
      <c r="I715" t="s">
        <v>1241</v>
      </c>
      <c r="J715" t="s">
        <v>33</v>
      </c>
    </row>
    <row r="716" spans="1:10" x14ac:dyDescent="0.25">
      <c r="A716" t="s">
        <v>773</v>
      </c>
      <c r="B716" t="s">
        <v>1206</v>
      </c>
      <c r="C716" t="s">
        <v>1204</v>
      </c>
      <c r="D716" t="s">
        <v>1197</v>
      </c>
      <c r="E716">
        <v>4</v>
      </c>
      <c r="F716">
        <v>480000</v>
      </c>
      <c r="G716">
        <v>0</v>
      </c>
      <c r="H716" t="s">
        <v>1445</v>
      </c>
      <c r="I716" t="s">
        <v>1419</v>
      </c>
      <c r="J716" t="s">
        <v>33</v>
      </c>
    </row>
    <row r="717" spans="1:10" x14ac:dyDescent="0.25">
      <c r="A717" t="s">
        <v>774</v>
      </c>
      <c r="B717" t="s">
        <v>1195</v>
      </c>
      <c r="C717" t="s">
        <v>1196</v>
      </c>
      <c r="D717" t="s">
        <v>1197</v>
      </c>
      <c r="E717">
        <v>2</v>
      </c>
      <c r="F717">
        <v>370000</v>
      </c>
      <c r="G717">
        <v>0</v>
      </c>
      <c r="H717">
        <v>370000</v>
      </c>
      <c r="I717" t="s">
        <v>1284</v>
      </c>
      <c r="J717" t="s">
        <v>5</v>
      </c>
    </row>
    <row r="718" spans="1:10" x14ac:dyDescent="0.25">
      <c r="A718" t="s">
        <v>775</v>
      </c>
      <c r="B718" t="s">
        <v>1199</v>
      </c>
      <c r="C718" t="s">
        <v>1196</v>
      </c>
      <c r="D718" t="s">
        <v>1203</v>
      </c>
      <c r="E718">
        <v>2</v>
      </c>
      <c r="F718">
        <v>90000</v>
      </c>
      <c r="G718">
        <v>0</v>
      </c>
      <c r="H718">
        <v>90000</v>
      </c>
      <c r="I718" t="s">
        <v>1121</v>
      </c>
      <c r="J718" t="s">
        <v>33</v>
      </c>
    </row>
    <row r="719" spans="1:10" x14ac:dyDescent="0.25">
      <c r="A719" t="s">
        <v>776</v>
      </c>
      <c r="B719" t="s">
        <v>1206</v>
      </c>
      <c r="C719" t="s">
        <v>1208</v>
      </c>
      <c r="D719" t="s">
        <v>1213</v>
      </c>
      <c r="E719">
        <v>8</v>
      </c>
      <c r="F719">
        <v>960000</v>
      </c>
      <c r="G719">
        <v>0</v>
      </c>
      <c r="H719">
        <v>960000</v>
      </c>
      <c r="I719" t="s">
        <v>1259</v>
      </c>
      <c r="J719" t="s">
        <v>5</v>
      </c>
    </row>
    <row r="720" spans="1:10" x14ac:dyDescent="0.25">
      <c r="A720" t="s">
        <v>777</v>
      </c>
      <c r="B720" t="s">
        <v>1192</v>
      </c>
      <c r="C720" t="s">
        <v>1204</v>
      </c>
      <c r="D720" t="s">
        <v>1213</v>
      </c>
      <c r="E720">
        <v>9</v>
      </c>
      <c r="F720">
        <v>2250000</v>
      </c>
      <c r="G720">
        <v>0</v>
      </c>
      <c r="H720">
        <v>2250000</v>
      </c>
      <c r="I720" t="s">
        <v>1354</v>
      </c>
      <c r="J720" t="s">
        <v>33</v>
      </c>
    </row>
    <row r="721" spans="1:10" x14ac:dyDescent="0.25">
      <c r="A721" t="s">
        <v>778</v>
      </c>
      <c r="B721" t="s">
        <v>1192</v>
      </c>
      <c r="C721" t="s">
        <v>1193</v>
      </c>
      <c r="D721" t="s">
        <v>1210</v>
      </c>
      <c r="E721">
        <v>4</v>
      </c>
      <c r="F721">
        <v>740000</v>
      </c>
      <c r="G721">
        <v>0</v>
      </c>
      <c r="H721">
        <v>740000</v>
      </c>
      <c r="I721" t="s">
        <v>1446</v>
      </c>
      <c r="J721" t="s">
        <v>33</v>
      </c>
    </row>
    <row r="722" spans="1:10" x14ac:dyDescent="0.25">
      <c r="A722" t="s">
        <v>779</v>
      </c>
      <c r="B722" t="s">
        <v>1192</v>
      </c>
      <c r="C722" t="s">
        <v>1193</v>
      </c>
      <c r="D722" t="s">
        <v>1203</v>
      </c>
      <c r="E722">
        <v>2</v>
      </c>
      <c r="F722">
        <v>370000</v>
      </c>
      <c r="G722">
        <v>15000</v>
      </c>
      <c r="H722">
        <v>355000</v>
      </c>
      <c r="I722" t="s">
        <v>1273</v>
      </c>
      <c r="J722" t="s">
        <v>20</v>
      </c>
    </row>
    <row r="723" spans="1:10" x14ac:dyDescent="0.25">
      <c r="A723" t="s">
        <v>780</v>
      </c>
      <c r="B723" t="s">
        <v>1195</v>
      </c>
      <c r="C723" t="s">
        <v>1285</v>
      </c>
      <c r="D723" t="s">
        <v>1197</v>
      </c>
      <c r="E723">
        <v>3</v>
      </c>
      <c r="F723">
        <v>555000</v>
      </c>
      <c r="G723">
        <v>10000</v>
      </c>
      <c r="H723">
        <v>545000</v>
      </c>
      <c r="I723" t="s">
        <v>1161</v>
      </c>
      <c r="J723" t="s">
        <v>33</v>
      </c>
    </row>
    <row r="724" spans="1:10" x14ac:dyDescent="0.25">
      <c r="A724" t="s">
        <v>781</v>
      </c>
      <c r="B724" t="s">
        <v>1206</v>
      </c>
      <c r="C724" t="s">
        <v>29</v>
      </c>
      <c r="D724" t="s">
        <v>1197</v>
      </c>
      <c r="E724">
        <v>10</v>
      </c>
      <c r="F724">
        <v>450000</v>
      </c>
      <c r="G724">
        <v>0</v>
      </c>
      <c r="H724">
        <v>450000</v>
      </c>
      <c r="I724" t="s">
        <v>1207</v>
      </c>
      <c r="J724" t="s">
        <v>10</v>
      </c>
    </row>
    <row r="725" spans="1:10" x14ac:dyDescent="0.25">
      <c r="A725" t="s">
        <v>782</v>
      </c>
      <c r="B725" t="s">
        <v>1195</v>
      </c>
      <c r="C725" t="s">
        <v>1262</v>
      </c>
      <c r="D725" t="s">
        <v>1194</v>
      </c>
      <c r="E725">
        <v>2</v>
      </c>
      <c r="F725">
        <v>150000</v>
      </c>
      <c r="G725">
        <v>0</v>
      </c>
      <c r="H725">
        <v>150000</v>
      </c>
      <c r="I725" t="s">
        <v>391</v>
      </c>
      <c r="J725" t="s">
        <v>33</v>
      </c>
    </row>
    <row r="726" spans="1:10" x14ac:dyDescent="0.25">
      <c r="A726" t="s">
        <v>783</v>
      </c>
      <c r="B726" t="s">
        <v>1192</v>
      </c>
      <c r="C726" t="s">
        <v>1196</v>
      </c>
      <c r="D726" t="s">
        <v>1194</v>
      </c>
      <c r="E726">
        <v>8</v>
      </c>
      <c r="F726">
        <v>600000</v>
      </c>
      <c r="G726">
        <v>0</v>
      </c>
      <c r="H726">
        <v>600000</v>
      </c>
      <c r="I726" t="s">
        <v>1320</v>
      </c>
      <c r="J726" t="s">
        <v>10</v>
      </c>
    </row>
    <row r="727" spans="1:10" x14ac:dyDescent="0.25">
      <c r="A727" t="s">
        <v>784</v>
      </c>
      <c r="B727" t="s">
        <v>1199</v>
      </c>
      <c r="C727" t="s">
        <v>1196</v>
      </c>
      <c r="D727" t="s">
        <v>1210</v>
      </c>
      <c r="E727">
        <v>3</v>
      </c>
      <c r="F727">
        <v>135000</v>
      </c>
      <c r="G727">
        <v>15000</v>
      </c>
      <c r="H727">
        <v>120000</v>
      </c>
      <c r="I727" t="s">
        <v>1304</v>
      </c>
      <c r="J727" t="s">
        <v>10</v>
      </c>
    </row>
    <row r="728" spans="1:10" x14ac:dyDescent="0.25">
      <c r="A728" t="s">
        <v>785</v>
      </c>
      <c r="B728" t="s">
        <v>1251</v>
      </c>
      <c r="C728" t="s">
        <v>1208</v>
      </c>
      <c r="D728" t="s">
        <v>1194</v>
      </c>
      <c r="E728">
        <v>9</v>
      </c>
      <c r="F728">
        <v>675000</v>
      </c>
      <c r="G728">
        <v>0</v>
      </c>
      <c r="H728">
        <v>675000</v>
      </c>
      <c r="I728" t="s">
        <v>1447</v>
      </c>
      <c r="J728" t="s">
        <v>33</v>
      </c>
    </row>
    <row r="729" spans="1:10" x14ac:dyDescent="0.25">
      <c r="A729" t="s">
        <v>786</v>
      </c>
      <c r="B729" t="s">
        <v>1206</v>
      </c>
      <c r="C729" t="s">
        <v>1226</v>
      </c>
      <c r="D729" t="s">
        <v>1197</v>
      </c>
      <c r="E729">
        <v>9</v>
      </c>
      <c r="F729">
        <v>1080000</v>
      </c>
      <c r="G729">
        <v>0</v>
      </c>
      <c r="H729">
        <v>1080000</v>
      </c>
      <c r="I729" t="s">
        <v>1307</v>
      </c>
      <c r="J729" t="s">
        <v>20</v>
      </c>
    </row>
    <row r="730" spans="1:10" x14ac:dyDescent="0.25">
      <c r="A730" t="s">
        <v>787</v>
      </c>
      <c r="B730" t="s">
        <v>1192</v>
      </c>
      <c r="C730" t="s">
        <v>1202</v>
      </c>
      <c r="D730" t="s">
        <v>1197</v>
      </c>
      <c r="E730">
        <v>6</v>
      </c>
      <c r="F730">
        <v>450000</v>
      </c>
      <c r="G730">
        <v>0</v>
      </c>
      <c r="H730">
        <v>450000</v>
      </c>
      <c r="I730" t="s">
        <v>1282</v>
      </c>
      <c r="J730" t="s">
        <v>10</v>
      </c>
    </row>
    <row r="731" spans="1:10" x14ac:dyDescent="0.25">
      <c r="A731" t="s">
        <v>788</v>
      </c>
      <c r="B731" t="s">
        <v>1251</v>
      </c>
      <c r="C731" t="s">
        <v>29</v>
      </c>
      <c r="D731" t="s">
        <v>1194</v>
      </c>
      <c r="E731">
        <v>1</v>
      </c>
      <c r="F731">
        <v>120000</v>
      </c>
      <c r="G731">
        <v>0</v>
      </c>
      <c r="H731" t="s">
        <v>1303</v>
      </c>
      <c r="I731" t="s">
        <v>1139</v>
      </c>
      <c r="J731" t="s">
        <v>5</v>
      </c>
    </row>
    <row r="732" spans="1:10" x14ac:dyDescent="0.25">
      <c r="A732" t="s">
        <v>789</v>
      </c>
      <c r="B732" t="s">
        <v>1206</v>
      </c>
      <c r="C732" t="s">
        <v>1200</v>
      </c>
      <c r="D732" t="s">
        <v>1210</v>
      </c>
      <c r="E732">
        <v>7</v>
      </c>
      <c r="F732">
        <v>525000</v>
      </c>
      <c r="G732">
        <v>5000</v>
      </c>
      <c r="H732">
        <v>520000</v>
      </c>
      <c r="I732" t="s">
        <v>1279</v>
      </c>
      <c r="J732" t="s">
        <v>33</v>
      </c>
    </row>
    <row r="733" spans="1:10" x14ac:dyDescent="0.25">
      <c r="A733" t="s">
        <v>790</v>
      </c>
      <c r="B733" t="s">
        <v>1192</v>
      </c>
      <c r="C733" t="s">
        <v>1196</v>
      </c>
      <c r="D733" t="s">
        <v>1210</v>
      </c>
      <c r="E733">
        <v>5</v>
      </c>
      <c r="F733">
        <v>600000</v>
      </c>
      <c r="G733">
        <v>0</v>
      </c>
      <c r="H733">
        <v>-600000</v>
      </c>
      <c r="I733" t="s">
        <v>1163</v>
      </c>
      <c r="J733" t="s">
        <v>33</v>
      </c>
    </row>
    <row r="734" spans="1:10" x14ac:dyDescent="0.25">
      <c r="A734" t="s">
        <v>791</v>
      </c>
      <c r="B734" t="s">
        <v>1206</v>
      </c>
      <c r="C734" t="s">
        <v>1193</v>
      </c>
      <c r="D734" t="s">
        <v>1203</v>
      </c>
      <c r="E734">
        <v>7</v>
      </c>
      <c r="F734">
        <v>315000</v>
      </c>
      <c r="G734">
        <v>0</v>
      </c>
      <c r="H734">
        <v>315000</v>
      </c>
      <c r="I734" t="s">
        <v>1257</v>
      </c>
      <c r="J734" t="s">
        <v>10</v>
      </c>
    </row>
    <row r="735" spans="1:10" x14ac:dyDescent="0.25">
      <c r="A735" t="s">
        <v>792</v>
      </c>
      <c r="B735" t="s">
        <v>1225</v>
      </c>
      <c r="C735" t="s">
        <v>1200</v>
      </c>
      <c r="D735" t="s">
        <v>1210</v>
      </c>
      <c r="E735">
        <v>6</v>
      </c>
      <c r="F735">
        <v>270000</v>
      </c>
      <c r="G735">
        <v>0</v>
      </c>
      <c r="H735">
        <v>270000</v>
      </c>
      <c r="I735" t="s">
        <v>331</v>
      </c>
      <c r="J735" t="s">
        <v>33</v>
      </c>
    </row>
    <row r="736" spans="1:10" x14ac:dyDescent="0.25">
      <c r="A736" t="s">
        <v>793</v>
      </c>
      <c r="B736" t="s">
        <v>1199</v>
      </c>
      <c r="C736" t="s">
        <v>29</v>
      </c>
      <c r="D736" t="s">
        <v>1203</v>
      </c>
      <c r="E736">
        <v>4</v>
      </c>
      <c r="F736">
        <v>1000000</v>
      </c>
      <c r="G736">
        <v>5000</v>
      </c>
      <c r="H736" t="s">
        <v>1448</v>
      </c>
      <c r="I736" t="s">
        <v>1273</v>
      </c>
      <c r="J736" t="s">
        <v>20</v>
      </c>
    </row>
    <row r="737" spans="1:10" x14ac:dyDescent="0.25">
      <c r="A737" t="s">
        <v>794</v>
      </c>
      <c r="B737" t="s">
        <v>1195</v>
      </c>
      <c r="C737" t="s">
        <v>1200</v>
      </c>
      <c r="D737" t="s">
        <v>1194</v>
      </c>
      <c r="E737">
        <v>1</v>
      </c>
      <c r="F737">
        <v>45000</v>
      </c>
      <c r="G737">
        <v>5000</v>
      </c>
      <c r="H737">
        <v>40000</v>
      </c>
      <c r="I737" t="s">
        <v>1360</v>
      </c>
      <c r="J737" t="s">
        <v>10</v>
      </c>
    </row>
    <row r="738" spans="1:10" x14ac:dyDescent="0.25">
      <c r="A738" t="s">
        <v>795</v>
      </c>
      <c r="B738" t="s">
        <v>1195</v>
      </c>
      <c r="C738" t="s">
        <v>29</v>
      </c>
      <c r="D738" t="s">
        <v>1203</v>
      </c>
      <c r="E738">
        <v>3</v>
      </c>
      <c r="F738">
        <v>135000</v>
      </c>
      <c r="G738">
        <v>0</v>
      </c>
      <c r="H738">
        <v>135000</v>
      </c>
      <c r="I738" t="s">
        <v>1408</v>
      </c>
      <c r="J738" t="s">
        <v>5</v>
      </c>
    </row>
    <row r="739" spans="1:10" x14ac:dyDescent="0.25">
      <c r="A739" t="s">
        <v>796</v>
      </c>
      <c r="B739" t="s">
        <v>1199</v>
      </c>
      <c r="C739" t="s">
        <v>1193</v>
      </c>
      <c r="D739" t="s">
        <v>1197</v>
      </c>
      <c r="E739">
        <v>4</v>
      </c>
      <c r="F739">
        <v>480000</v>
      </c>
      <c r="G739">
        <v>0</v>
      </c>
      <c r="H739">
        <v>480000</v>
      </c>
      <c r="I739" t="s">
        <v>1307</v>
      </c>
      <c r="J739" t="s">
        <v>5</v>
      </c>
    </row>
    <row r="740" spans="1:10" x14ac:dyDescent="0.25">
      <c r="A740" t="s">
        <v>797</v>
      </c>
      <c r="B740" t="s">
        <v>1195</v>
      </c>
      <c r="C740" t="s">
        <v>1200</v>
      </c>
      <c r="D740" t="s">
        <v>1203</v>
      </c>
      <c r="E740">
        <v>7</v>
      </c>
      <c r="F740">
        <v>1750000</v>
      </c>
      <c r="G740">
        <v>0</v>
      </c>
      <c r="H740">
        <v>1750000</v>
      </c>
      <c r="I740" t="s">
        <v>1304</v>
      </c>
      <c r="J740" t="s">
        <v>20</v>
      </c>
    </row>
    <row r="741" spans="1:10" x14ac:dyDescent="0.25">
      <c r="A741" t="s">
        <v>798</v>
      </c>
      <c r="B741" t="s">
        <v>1195</v>
      </c>
      <c r="C741" t="s">
        <v>1208</v>
      </c>
      <c r="D741" t="s">
        <v>1203</v>
      </c>
      <c r="E741">
        <v>10</v>
      </c>
      <c r="F741">
        <v>750000</v>
      </c>
      <c r="G741">
        <v>0</v>
      </c>
      <c r="H741">
        <v>750000</v>
      </c>
      <c r="I741" t="s">
        <v>1282</v>
      </c>
      <c r="J741" t="s">
        <v>20</v>
      </c>
    </row>
    <row r="742" spans="1:10" x14ac:dyDescent="0.25">
      <c r="A742" t="s">
        <v>799</v>
      </c>
      <c r="B742" t="s">
        <v>1206</v>
      </c>
      <c r="C742" t="s">
        <v>1200</v>
      </c>
      <c r="D742" t="s">
        <v>1194</v>
      </c>
      <c r="E742">
        <v>2</v>
      </c>
      <c r="F742">
        <v>500000</v>
      </c>
      <c r="G742">
        <v>15000</v>
      </c>
      <c r="H742">
        <v>485000</v>
      </c>
      <c r="I742" t="s">
        <v>84</v>
      </c>
      <c r="J742" t="s">
        <v>20</v>
      </c>
    </row>
    <row r="743" spans="1:10" x14ac:dyDescent="0.25">
      <c r="A743" t="s">
        <v>800</v>
      </c>
      <c r="B743" t="s">
        <v>1195</v>
      </c>
      <c r="C743" t="s">
        <v>1204</v>
      </c>
      <c r="D743" t="s">
        <v>1210</v>
      </c>
      <c r="E743">
        <v>8</v>
      </c>
      <c r="F743">
        <v>2000000</v>
      </c>
      <c r="G743">
        <v>10000</v>
      </c>
      <c r="H743" t="s">
        <v>1449</v>
      </c>
      <c r="I743" t="s">
        <v>378</v>
      </c>
      <c r="J743" t="s">
        <v>20</v>
      </c>
    </row>
    <row r="744" spans="1:10" x14ac:dyDescent="0.25">
      <c r="A744" t="s">
        <v>801</v>
      </c>
      <c r="B744" t="s">
        <v>1206</v>
      </c>
      <c r="C744" t="s">
        <v>1219</v>
      </c>
      <c r="D744" t="s">
        <v>1194</v>
      </c>
      <c r="E744">
        <v>1</v>
      </c>
      <c r="F744">
        <v>250000</v>
      </c>
      <c r="G744">
        <v>0</v>
      </c>
      <c r="H744">
        <v>250000</v>
      </c>
      <c r="I744" t="s">
        <v>203</v>
      </c>
      <c r="J744" t="s">
        <v>20</v>
      </c>
    </row>
    <row r="745" spans="1:10" x14ac:dyDescent="0.25">
      <c r="A745" t="s">
        <v>802</v>
      </c>
      <c r="B745" t="s">
        <v>1192</v>
      </c>
      <c r="C745" t="s">
        <v>1200</v>
      </c>
      <c r="D745" t="s">
        <v>1213</v>
      </c>
      <c r="E745">
        <v>1</v>
      </c>
      <c r="F745">
        <v>185000</v>
      </c>
      <c r="G745">
        <v>0</v>
      </c>
      <c r="H745">
        <v>185000</v>
      </c>
      <c r="I745" t="s">
        <v>1450</v>
      </c>
      <c r="J745" t="s">
        <v>5</v>
      </c>
    </row>
    <row r="746" spans="1:10" x14ac:dyDescent="0.25">
      <c r="A746" t="s">
        <v>803</v>
      </c>
      <c r="B746" t="s">
        <v>1192</v>
      </c>
      <c r="C746" t="s">
        <v>1204</v>
      </c>
      <c r="D746" t="s">
        <v>1213</v>
      </c>
      <c r="E746">
        <v>6</v>
      </c>
      <c r="F746">
        <v>720000</v>
      </c>
      <c r="G746">
        <v>0</v>
      </c>
      <c r="H746">
        <v>720000</v>
      </c>
      <c r="I746" t="s">
        <v>1293</v>
      </c>
      <c r="J746" t="s">
        <v>10</v>
      </c>
    </row>
    <row r="747" spans="1:10" x14ac:dyDescent="0.25">
      <c r="A747" t="s">
        <v>804</v>
      </c>
      <c r="B747" t="s">
        <v>1199</v>
      </c>
      <c r="C747" t="s">
        <v>1285</v>
      </c>
      <c r="D747" t="s">
        <v>1210</v>
      </c>
      <c r="E747">
        <v>3</v>
      </c>
      <c r="F747">
        <v>750000</v>
      </c>
      <c r="G747">
        <v>0</v>
      </c>
      <c r="H747">
        <v>750000</v>
      </c>
      <c r="I747" t="s">
        <v>1451</v>
      </c>
      <c r="J747" t="s">
        <v>10</v>
      </c>
    </row>
    <row r="748" spans="1:10" x14ac:dyDescent="0.25">
      <c r="A748" t="s">
        <v>805</v>
      </c>
      <c r="B748" t="s">
        <v>1199</v>
      </c>
      <c r="C748" t="s">
        <v>1200</v>
      </c>
      <c r="D748" t="s">
        <v>1203</v>
      </c>
      <c r="E748">
        <v>1</v>
      </c>
      <c r="F748">
        <v>250000</v>
      </c>
      <c r="G748">
        <v>0</v>
      </c>
      <c r="H748">
        <v>250000</v>
      </c>
      <c r="I748" t="s">
        <v>1305</v>
      </c>
      <c r="J748" t="s">
        <v>5</v>
      </c>
    </row>
    <row r="749" spans="1:10" x14ac:dyDescent="0.25">
      <c r="A749" t="s">
        <v>806</v>
      </c>
      <c r="B749" t="s">
        <v>1192</v>
      </c>
      <c r="C749" t="s">
        <v>1204</v>
      </c>
      <c r="D749" t="s">
        <v>1210</v>
      </c>
      <c r="E749">
        <v>10</v>
      </c>
      <c r="F749">
        <v>2500000</v>
      </c>
      <c r="G749">
        <v>0</v>
      </c>
      <c r="H749">
        <v>2500000</v>
      </c>
      <c r="I749" t="s">
        <v>1295</v>
      </c>
      <c r="J749" t="s">
        <v>20</v>
      </c>
    </row>
    <row r="750" spans="1:10" x14ac:dyDescent="0.25">
      <c r="A750" t="s">
        <v>807</v>
      </c>
      <c r="B750" t="s">
        <v>1195</v>
      </c>
      <c r="C750" t="s">
        <v>1285</v>
      </c>
      <c r="D750" t="s">
        <v>1194</v>
      </c>
      <c r="E750">
        <v>6</v>
      </c>
      <c r="F750">
        <v>450000</v>
      </c>
      <c r="G750">
        <v>0</v>
      </c>
      <c r="H750">
        <v>450000</v>
      </c>
      <c r="I750" t="s">
        <v>1452</v>
      </c>
      <c r="J750" t="s">
        <v>10</v>
      </c>
    </row>
    <row r="751" spans="1:10" x14ac:dyDescent="0.25">
      <c r="A751" t="s">
        <v>808</v>
      </c>
      <c r="B751" t="s">
        <v>1192</v>
      </c>
      <c r="C751" t="s">
        <v>1200</v>
      </c>
      <c r="D751" t="s">
        <v>1203</v>
      </c>
      <c r="E751">
        <v>3</v>
      </c>
      <c r="F751">
        <v>750000</v>
      </c>
      <c r="G751">
        <v>0</v>
      </c>
      <c r="H751">
        <v>750000</v>
      </c>
      <c r="I751" t="s">
        <v>22</v>
      </c>
      <c r="J751" t="s">
        <v>10</v>
      </c>
    </row>
    <row r="752" spans="1:10" x14ac:dyDescent="0.25">
      <c r="A752" t="s">
        <v>809</v>
      </c>
      <c r="B752" t="s">
        <v>1199</v>
      </c>
      <c r="C752" t="s">
        <v>1204</v>
      </c>
      <c r="D752" t="s">
        <v>1213</v>
      </c>
      <c r="E752">
        <v>5</v>
      </c>
      <c r="F752">
        <v>1250000</v>
      </c>
      <c r="G752">
        <v>0</v>
      </c>
      <c r="H752">
        <v>1250000</v>
      </c>
      <c r="I752" t="s">
        <v>1159</v>
      </c>
      <c r="J752" t="s">
        <v>10</v>
      </c>
    </row>
    <row r="753" spans="1:10" x14ac:dyDescent="0.25">
      <c r="A753" t="s">
        <v>810</v>
      </c>
      <c r="B753" t="s">
        <v>1206</v>
      </c>
      <c r="C753" t="s">
        <v>29</v>
      </c>
      <c r="D753" t="s">
        <v>1210</v>
      </c>
      <c r="E753">
        <v>1</v>
      </c>
      <c r="F753">
        <v>75000</v>
      </c>
      <c r="G753">
        <v>0</v>
      </c>
      <c r="H753">
        <v>-75000</v>
      </c>
      <c r="I753" t="s">
        <v>1165</v>
      </c>
      <c r="J753" t="s">
        <v>20</v>
      </c>
    </row>
    <row r="754" spans="1:10" x14ac:dyDescent="0.25">
      <c r="A754" t="s">
        <v>811</v>
      </c>
      <c r="B754" t="s">
        <v>1195</v>
      </c>
      <c r="C754" t="s">
        <v>1204</v>
      </c>
      <c r="D754" t="s">
        <v>1213</v>
      </c>
      <c r="E754">
        <v>5</v>
      </c>
      <c r="F754">
        <v>1250000</v>
      </c>
      <c r="G754">
        <v>5000</v>
      </c>
      <c r="H754">
        <v>1245000</v>
      </c>
      <c r="I754" t="s">
        <v>1453</v>
      </c>
      <c r="J754" t="s">
        <v>10</v>
      </c>
    </row>
    <row r="755" spans="1:10" x14ac:dyDescent="0.25">
      <c r="A755" t="s">
        <v>812</v>
      </c>
      <c r="B755" t="s">
        <v>1195</v>
      </c>
      <c r="C755" t="s">
        <v>1204</v>
      </c>
      <c r="D755" t="s">
        <v>1194</v>
      </c>
      <c r="E755">
        <v>9</v>
      </c>
      <c r="F755">
        <v>1665000</v>
      </c>
      <c r="G755">
        <v>0</v>
      </c>
      <c r="H755">
        <v>1665000</v>
      </c>
      <c r="I755" t="s">
        <v>1384</v>
      </c>
      <c r="J755" t="s">
        <v>5</v>
      </c>
    </row>
    <row r="756" spans="1:10" x14ac:dyDescent="0.25">
      <c r="A756" t="s">
        <v>813</v>
      </c>
      <c r="B756" t="s">
        <v>1195</v>
      </c>
      <c r="C756" t="s">
        <v>1196</v>
      </c>
      <c r="D756" t="s">
        <v>1194</v>
      </c>
      <c r="E756">
        <v>10</v>
      </c>
      <c r="F756">
        <v>1850000</v>
      </c>
      <c r="G756">
        <v>0</v>
      </c>
      <c r="H756">
        <v>1850000</v>
      </c>
      <c r="I756" t="s">
        <v>378</v>
      </c>
      <c r="J756" t="s">
        <v>10</v>
      </c>
    </row>
    <row r="757" spans="1:10" x14ac:dyDescent="0.25">
      <c r="A757" t="s">
        <v>814</v>
      </c>
      <c r="B757" t="s">
        <v>1199</v>
      </c>
      <c r="C757" t="s">
        <v>1204</v>
      </c>
      <c r="D757" t="s">
        <v>1203</v>
      </c>
      <c r="E757">
        <v>9</v>
      </c>
      <c r="F757">
        <v>1080000</v>
      </c>
      <c r="G757">
        <v>10000</v>
      </c>
      <c r="H757">
        <v>1070000</v>
      </c>
      <c r="I757" t="s">
        <v>22</v>
      </c>
      <c r="J757" t="s">
        <v>5</v>
      </c>
    </row>
    <row r="758" spans="1:10" x14ac:dyDescent="0.25">
      <c r="A758" t="s">
        <v>815</v>
      </c>
      <c r="B758" t="s">
        <v>1192</v>
      </c>
      <c r="C758" t="s">
        <v>1193</v>
      </c>
      <c r="D758" t="s">
        <v>1210</v>
      </c>
      <c r="E758">
        <v>5</v>
      </c>
      <c r="F758">
        <v>225000</v>
      </c>
      <c r="G758">
        <v>0</v>
      </c>
      <c r="H758">
        <v>225000</v>
      </c>
      <c r="I758" t="s">
        <v>1454</v>
      </c>
      <c r="J758" t="s">
        <v>33</v>
      </c>
    </row>
    <row r="759" spans="1:10" x14ac:dyDescent="0.25">
      <c r="A759" t="s">
        <v>816</v>
      </c>
      <c r="B759" t="s">
        <v>1239</v>
      </c>
      <c r="C759" t="s">
        <v>1208</v>
      </c>
      <c r="D759" t="s">
        <v>1213</v>
      </c>
      <c r="E759">
        <v>1</v>
      </c>
      <c r="F759">
        <v>250000</v>
      </c>
      <c r="G759">
        <v>0</v>
      </c>
      <c r="H759">
        <v>250000</v>
      </c>
      <c r="I759" t="s">
        <v>14</v>
      </c>
      <c r="J759" t="s">
        <v>5</v>
      </c>
    </row>
    <row r="760" spans="1:10" x14ac:dyDescent="0.25">
      <c r="A760" t="s">
        <v>817</v>
      </c>
      <c r="B760" t="s">
        <v>1199</v>
      </c>
      <c r="C760" t="s">
        <v>1208</v>
      </c>
      <c r="D760" t="s">
        <v>1194</v>
      </c>
      <c r="E760">
        <v>2</v>
      </c>
      <c r="F760">
        <v>240000</v>
      </c>
      <c r="G760">
        <v>0</v>
      </c>
      <c r="H760">
        <v>240000</v>
      </c>
      <c r="I760" t="s">
        <v>1220</v>
      </c>
      <c r="J760" t="s">
        <v>10</v>
      </c>
    </row>
    <row r="761" spans="1:10" x14ac:dyDescent="0.25">
      <c r="A761" t="s">
        <v>818</v>
      </c>
      <c r="B761" t="s">
        <v>1195</v>
      </c>
      <c r="C761" t="s">
        <v>1200</v>
      </c>
      <c r="D761" t="s">
        <v>1210</v>
      </c>
      <c r="E761">
        <v>6</v>
      </c>
      <c r="F761">
        <v>1500000</v>
      </c>
      <c r="G761">
        <v>0</v>
      </c>
      <c r="H761">
        <v>1500000</v>
      </c>
      <c r="I761" t="s">
        <v>414</v>
      </c>
      <c r="J761" t="s">
        <v>10</v>
      </c>
    </row>
    <row r="762" spans="1:10" x14ac:dyDescent="0.25">
      <c r="A762" t="s">
        <v>819</v>
      </c>
      <c r="B762" t="s">
        <v>1206</v>
      </c>
      <c r="C762" t="s">
        <v>1208</v>
      </c>
      <c r="D762" t="s">
        <v>1210</v>
      </c>
      <c r="E762">
        <v>5</v>
      </c>
      <c r="F762">
        <v>925000</v>
      </c>
      <c r="G762">
        <v>0</v>
      </c>
      <c r="H762">
        <v>925000</v>
      </c>
      <c r="I762" t="s">
        <v>80</v>
      </c>
      <c r="J762" t="s">
        <v>33</v>
      </c>
    </row>
    <row r="763" spans="1:10" x14ac:dyDescent="0.25">
      <c r="A763" t="s">
        <v>820</v>
      </c>
      <c r="B763" t="s">
        <v>1192</v>
      </c>
      <c r="C763" t="s">
        <v>1196</v>
      </c>
      <c r="D763" t="s">
        <v>1197</v>
      </c>
      <c r="E763">
        <v>2</v>
      </c>
      <c r="F763">
        <v>150000</v>
      </c>
      <c r="G763">
        <v>0</v>
      </c>
      <c r="H763">
        <v>150000</v>
      </c>
      <c r="I763" t="s">
        <v>338</v>
      </c>
      <c r="J763" t="s">
        <v>20</v>
      </c>
    </row>
    <row r="764" spans="1:10" x14ac:dyDescent="0.25">
      <c r="A764" t="s">
        <v>821</v>
      </c>
      <c r="B764" t="s">
        <v>1192</v>
      </c>
      <c r="C764" t="s">
        <v>1208</v>
      </c>
      <c r="D764" t="s">
        <v>1194</v>
      </c>
      <c r="E764">
        <v>5</v>
      </c>
      <c r="F764">
        <v>925000</v>
      </c>
      <c r="G764">
        <v>0</v>
      </c>
      <c r="H764" t="s">
        <v>1291</v>
      </c>
      <c r="I764" t="s">
        <v>1407</v>
      </c>
      <c r="J764" t="s">
        <v>20</v>
      </c>
    </row>
    <row r="765" spans="1:10" x14ac:dyDescent="0.25">
      <c r="A765" t="s">
        <v>822</v>
      </c>
      <c r="B765" t="s">
        <v>1199</v>
      </c>
      <c r="C765" t="s">
        <v>1208</v>
      </c>
      <c r="D765" t="s">
        <v>1213</v>
      </c>
      <c r="E765">
        <v>9</v>
      </c>
      <c r="F765">
        <v>1080000</v>
      </c>
      <c r="G765">
        <v>0</v>
      </c>
      <c r="H765">
        <v>1080000</v>
      </c>
      <c r="I765" t="s">
        <v>1455</v>
      </c>
      <c r="J765" t="s">
        <v>33</v>
      </c>
    </row>
    <row r="766" spans="1:10" x14ac:dyDescent="0.25">
      <c r="A766" t="s">
        <v>16</v>
      </c>
      <c r="B766" t="s">
        <v>1206</v>
      </c>
      <c r="C766" t="s">
        <v>1196</v>
      </c>
      <c r="D766" t="s">
        <v>1213</v>
      </c>
      <c r="E766">
        <v>2</v>
      </c>
      <c r="F766">
        <v>150000</v>
      </c>
      <c r="G766">
        <v>10000</v>
      </c>
      <c r="H766">
        <v>140000</v>
      </c>
      <c r="I766" t="s">
        <v>823</v>
      </c>
      <c r="J766" t="s">
        <v>5</v>
      </c>
    </row>
    <row r="767" spans="1:10" x14ac:dyDescent="0.25">
      <c r="A767" t="s">
        <v>824</v>
      </c>
      <c r="B767" t="s">
        <v>1192</v>
      </c>
      <c r="C767" t="s">
        <v>1200</v>
      </c>
      <c r="D767" t="s">
        <v>1210</v>
      </c>
      <c r="E767">
        <v>4</v>
      </c>
      <c r="F767">
        <v>180000</v>
      </c>
      <c r="G767">
        <v>10000</v>
      </c>
      <c r="H767">
        <v>170000</v>
      </c>
      <c r="I767" t="s">
        <v>1456</v>
      </c>
      <c r="J767" t="s">
        <v>33</v>
      </c>
    </row>
    <row r="768" spans="1:10" x14ac:dyDescent="0.25">
      <c r="A768" t="s">
        <v>825</v>
      </c>
      <c r="B768" t="s">
        <v>1206</v>
      </c>
      <c r="C768" t="s">
        <v>1208</v>
      </c>
      <c r="D768" t="s">
        <v>1197</v>
      </c>
      <c r="E768">
        <v>5</v>
      </c>
      <c r="F768">
        <v>925000</v>
      </c>
      <c r="G768">
        <v>0</v>
      </c>
      <c r="H768">
        <v>925000</v>
      </c>
      <c r="I768" t="s">
        <v>1454</v>
      </c>
      <c r="J768" t="s">
        <v>10</v>
      </c>
    </row>
    <row r="769" spans="1:10" x14ac:dyDescent="0.25">
      <c r="A769" t="s">
        <v>826</v>
      </c>
      <c r="B769" t="s">
        <v>1206</v>
      </c>
      <c r="C769" t="s">
        <v>1262</v>
      </c>
      <c r="D769" t="s">
        <v>1210</v>
      </c>
      <c r="E769">
        <v>8</v>
      </c>
      <c r="F769">
        <v>600000</v>
      </c>
      <c r="G769">
        <v>0</v>
      </c>
      <c r="H769">
        <v>-600000</v>
      </c>
      <c r="I769" t="s">
        <v>1166</v>
      </c>
      <c r="J769" t="s">
        <v>33</v>
      </c>
    </row>
    <row r="770" spans="1:10" x14ac:dyDescent="0.25">
      <c r="A770" t="s">
        <v>827</v>
      </c>
      <c r="B770" t="s">
        <v>1206</v>
      </c>
      <c r="C770" t="s">
        <v>1208</v>
      </c>
      <c r="D770" t="s">
        <v>1210</v>
      </c>
      <c r="E770">
        <v>10</v>
      </c>
      <c r="F770">
        <v>450000</v>
      </c>
      <c r="G770">
        <v>0</v>
      </c>
      <c r="H770">
        <v>450000</v>
      </c>
      <c r="I770" t="s">
        <v>1331</v>
      </c>
      <c r="J770" t="s">
        <v>5</v>
      </c>
    </row>
    <row r="771" spans="1:10" x14ac:dyDescent="0.25">
      <c r="A771" t="s">
        <v>828</v>
      </c>
      <c r="B771" t="s">
        <v>1206</v>
      </c>
      <c r="C771" t="s">
        <v>1200</v>
      </c>
      <c r="D771" t="s">
        <v>1203</v>
      </c>
      <c r="E771">
        <v>6</v>
      </c>
      <c r="F771">
        <v>1110000</v>
      </c>
      <c r="G771">
        <v>0</v>
      </c>
      <c r="H771" t="s">
        <v>92</v>
      </c>
      <c r="I771" t="s">
        <v>829</v>
      </c>
      <c r="J771" t="s">
        <v>10</v>
      </c>
    </row>
    <row r="772" spans="1:10" x14ac:dyDescent="0.25">
      <c r="A772" t="s">
        <v>830</v>
      </c>
      <c r="B772" t="s">
        <v>1206</v>
      </c>
      <c r="C772" t="s">
        <v>1208</v>
      </c>
      <c r="D772" t="s">
        <v>1213</v>
      </c>
      <c r="E772">
        <v>9</v>
      </c>
      <c r="F772">
        <v>2250000</v>
      </c>
      <c r="G772">
        <v>10000</v>
      </c>
      <c r="H772">
        <v>2240000</v>
      </c>
      <c r="I772" t="s">
        <v>1246</v>
      </c>
      <c r="J772" t="s">
        <v>5</v>
      </c>
    </row>
    <row r="773" spans="1:10" x14ac:dyDescent="0.25">
      <c r="A773" t="s">
        <v>831</v>
      </c>
      <c r="B773" t="s">
        <v>1192</v>
      </c>
      <c r="C773" t="s">
        <v>1196</v>
      </c>
      <c r="D773" t="s">
        <v>1197</v>
      </c>
      <c r="E773">
        <v>7</v>
      </c>
      <c r="F773">
        <v>1295000</v>
      </c>
      <c r="G773">
        <v>0</v>
      </c>
      <c r="H773">
        <v>1295000</v>
      </c>
      <c r="I773" t="s">
        <v>1296</v>
      </c>
      <c r="J773" t="s">
        <v>5</v>
      </c>
    </row>
    <row r="774" spans="1:10" x14ac:dyDescent="0.25">
      <c r="A774" t="s">
        <v>832</v>
      </c>
      <c r="B774" t="s">
        <v>1199</v>
      </c>
      <c r="C774" t="s">
        <v>1200</v>
      </c>
      <c r="D774" t="s">
        <v>1197</v>
      </c>
      <c r="E774">
        <v>1</v>
      </c>
      <c r="F774">
        <v>185000</v>
      </c>
      <c r="G774">
        <v>10000</v>
      </c>
      <c r="H774">
        <v>175000</v>
      </c>
      <c r="I774" t="s">
        <v>354</v>
      </c>
      <c r="J774" t="s">
        <v>10</v>
      </c>
    </row>
    <row r="775" spans="1:10" x14ac:dyDescent="0.25">
      <c r="A775" t="s">
        <v>833</v>
      </c>
      <c r="B775" t="s">
        <v>1199</v>
      </c>
      <c r="C775" t="s">
        <v>1193</v>
      </c>
      <c r="D775" t="s">
        <v>1194</v>
      </c>
      <c r="E775">
        <v>10</v>
      </c>
      <c r="F775">
        <v>750000</v>
      </c>
      <c r="G775">
        <v>0</v>
      </c>
      <c r="H775">
        <v>750000</v>
      </c>
      <c r="I775" t="s">
        <v>1317</v>
      </c>
      <c r="J775" t="s">
        <v>20</v>
      </c>
    </row>
    <row r="776" spans="1:10" x14ac:dyDescent="0.25">
      <c r="A776" t="s">
        <v>834</v>
      </c>
      <c r="B776" t="s">
        <v>1225</v>
      </c>
      <c r="C776" t="s">
        <v>29</v>
      </c>
      <c r="D776" t="s">
        <v>1213</v>
      </c>
      <c r="E776">
        <v>10</v>
      </c>
      <c r="F776">
        <v>1850000</v>
      </c>
      <c r="G776">
        <v>0</v>
      </c>
      <c r="H776">
        <v>-1850000</v>
      </c>
      <c r="I776" t="s">
        <v>115</v>
      </c>
      <c r="J776" t="s">
        <v>10</v>
      </c>
    </row>
    <row r="777" spans="1:10" x14ac:dyDescent="0.25">
      <c r="A777" t="s">
        <v>835</v>
      </c>
      <c r="B777" t="s">
        <v>1195</v>
      </c>
      <c r="C777" t="s">
        <v>1200</v>
      </c>
      <c r="D777" t="s">
        <v>1197</v>
      </c>
      <c r="E777">
        <v>8</v>
      </c>
      <c r="F777">
        <v>1480000</v>
      </c>
      <c r="G777">
        <v>0</v>
      </c>
      <c r="H777">
        <v>1480000</v>
      </c>
      <c r="I777" t="s">
        <v>1383</v>
      </c>
      <c r="J777" t="s">
        <v>33</v>
      </c>
    </row>
    <row r="778" spans="1:10" x14ac:dyDescent="0.25">
      <c r="A778" t="s">
        <v>836</v>
      </c>
      <c r="B778" t="s">
        <v>1199</v>
      </c>
      <c r="C778" t="s">
        <v>1193</v>
      </c>
      <c r="D778" t="s">
        <v>1213</v>
      </c>
      <c r="E778">
        <v>10</v>
      </c>
      <c r="F778">
        <v>750000</v>
      </c>
      <c r="G778">
        <v>0</v>
      </c>
      <c r="H778">
        <v>750000</v>
      </c>
      <c r="I778" t="s">
        <v>43</v>
      </c>
      <c r="J778" t="s">
        <v>10</v>
      </c>
    </row>
    <row r="779" spans="1:10" x14ac:dyDescent="0.25">
      <c r="A779" t="s">
        <v>837</v>
      </c>
      <c r="B779" t="s">
        <v>1239</v>
      </c>
      <c r="C779" t="s">
        <v>1226</v>
      </c>
      <c r="D779" t="s">
        <v>1213</v>
      </c>
      <c r="E779">
        <v>7</v>
      </c>
      <c r="F779">
        <v>1750000</v>
      </c>
      <c r="G779">
        <v>0</v>
      </c>
      <c r="H779">
        <v>1750000</v>
      </c>
      <c r="I779" t="s">
        <v>1433</v>
      </c>
      <c r="J779" t="s">
        <v>33</v>
      </c>
    </row>
    <row r="780" spans="1:10" x14ac:dyDescent="0.25">
      <c r="A780" t="s">
        <v>838</v>
      </c>
      <c r="B780" t="s">
        <v>1199</v>
      </c>
      <c r="C780" t="s">
        <v>1200</v>
      </c>
      <c r="D780" t="s">
        <v>1213</v>
      </c>
      <c r="E780">
        <v>2</v>
      </c>
      <c r="F780">
        <v>500000</v>
      </c>
      <c r="G780">
        <v>0</v>
      </c>
      <c r="H780">
        <v>500000</v>
      </c>
      <c r="I780" t="s">
        <v>1356</v>
      </c>
      <c r="J780" t="s">
        <v>5</v>
      </c>
    </row>
    <row r="781" spans="1:10" x14ac:dyDescent="0.25">
      <c r="A781" t="s">
        <v>839</v>
      </c>
      <c r="B781" t="s">
        <v>1225</v>
      </c>
      <c r="C781" t="s">
        <v>1204</v>
      </c>
      <c r="D781" t="s">
        <v>1213</v>
      </c>
      <c r="E781">
        <v>2</v>
      </c>
      <c r="F781">
        <v>90000</v>
      </c>
      <c r="G781">
        <v>0</v>
      </c>
      <c r="H781">
        <v>90000</v>
      </c>
      <c r="I781" t="s">
        <v>1238</v>
      </c>
      <c r="J781" t="s">
        <v>10</v>
      </c>
    </row>
    <row r="782" spans="1:10" x14ac:dyDescent="0.25">
      <c r="A782" t="s">
        <v>840</v>
      </c>
      <c r="B782" t="s">
        <v>1199</v>
      </c>
      <c r="C782" t="s">
        <v>1193</v>
      </c>
      <c r="D782" t="s">
        <v>1203</v>
      </c>
      <c r="E782">
        <v>2</v>
      </c>
      <c r="F782">
        <v>500000</v>
      </c>
      <c r="G782">
        <v>0</v>
      </c>
      <c r="H782">
        <v>500000</v>
      </c>
      <c r="I782" t="s">
        <v>1394</v>
      </c>
      <c r="J782" t="s">
        <v>5</v>
      </c>
    </row>
    <row r="783" spans="1:10" x14ac:dyDescent="0.25">
      <c r="A783" t="s">
        <v>841</v>
      </c>
      <c r="B783" t="s">
        <v>1206</v>
      </c>
      <c r="C783" t="s">
        <v>1196</v>
      </c>
      <c r="D783" t="s">
        <v>1194</v>
      </c>
      <c r="E783">
        <v>8</v>
      </c>
      <c r="F783">
        <v>960000</v>
      </c>
      <c r="G783">
        <v>10000</v>
      </c>
      <c r="H783">
        <v>-950000</v>
      </c>
      <c r="I783" t="s">
        <v>1168</v>
      </c>
      <c r="J783" t="s">
        <v>10</v>
      </c>
    </row>
    <row r="784" spans="1:10" x14ac:dyDescent="0.25">
      <c r="A784" t="s">
        <v>842</v>
      </c>
      <c r="B784" t="s">
        <v>1195</v>
      </c>
      <c r="C784" t="s">
        <v>29</v>
      </c>
      <c r="D784" t="s">
        <v>1213</v>
      </c>
      <c r="E784">
        <v>2</v>
      </c>
      <c r="F784">
        <v>90000</v>
      </c>
      <c r="G784">
        <v>0</v>
      </c>
      <c r="H784">
        <v>90000</v>
      </c>
      <c r="I784" t="s">
        <v>1301</v>
      </c>
      <c r="J784" t="s">
        <v>5</v>
      </c>
    </row>
    <row r="785" spans="1:10" x14ac:dyDescent="0.25">
      <c r="A785" t="s">
        <v>843</v>
      </c>
      <c r="B785" t="s">
        <v>1251</v>
      </c>
      <c r="C785" t="s">
        <v>1204</v>
      </c>
      <c r="D785" t="s">
        <v>1194</v>
      </c>
      <c r="E785">
        <v>1</v>
      </c>
      <c r="F785">
        <v>250000</v>
      </c>
      <c r="G785">
        <v>0</v>
      </c>
      <c r="H785">
        <v>250000</v>
      </c>
      <c r="I785" t="s">
        <v>1394</v>
      </c>
      <c r="J785" t="s">
        <v>10</v>
      </c>
    </row>
    <row r="786" spans="1:10" x14ac:dyDescent="0.25">
      <c r="A786" t="s">
        <v>844</v>
      </c>
      <c r="B786" t="s">
        <v>1192</v>
      </c>
      <c r="C786" t="s">
        <v>1196</v>
      </c>
      <c r="D786" t="s">
        <v>1213</v>
      </c>
      <c r="E786">
        <v>8</v>
      </c>
      <c r="F786">
        <v>1480000</v>
      </c>
      <c r="G786">
        <v>0</v>
      </c>
      <c r="H786">
        <v>1480000</v>
      </c>
      <c r="I786" t="s">
        <v>1296</v>
      </c>
      <c r="J786" t="s">
        <v>5</v>
      </c>
    </row>
    <row r="787" spans="1:10" x14ac:dyDescent="0.25">
      <c r="A787" t="s">
        <v>845</v>
      </c>
      <c r="B787" t="s">
        <v>1195</v>
      </c>
      <c r="C787" t="s">
        <v>29</v>
      </c>
      <c r="D787" t="s">
        <v>1213</v>
      </c>
      <c r="E787">
        <v>4</v>
      </c>
      <c r="F787">
        <v>180000</v>
      </c>
      <c r="G787">
        <v>0</v>
      </c>
      <c r="H787">
        <v>180000</v>
      </c>
      <c r="I787" t="s">
        <v>1139</v>
      </c>
      <c r="J787" t="s">
        <v>33</v>
      </c>
    </row>
    <row r="788" spans="1:10" x14ac:dyDescent="0.25">
      <c r="A788" t="s">
        <v>846</v>
      </c>
      <c r="B788" t="s">
        <v>1199</v>
      </c>
      <c r="C788" t="s">
        <v>29</v>
      </c>
      <c r="D788" t="s">
        <v>1203</v>
      </c>
      <c r="E788">
        <v>9</v>
      </c>
      <c r="F788">
        <v>405000</v>
      </c>
      <c r="G788">
        <v>0</v>
      </c>
      <c r="H788">
        <v>405000</v>
      </c>
      <c r="I788" t="s">
        <v>1457</v>
      </c>
      <c r="J788" t="s">
        <v>5</v>
      </c>
    </row>
    <row r="789" spans="1:10" x14ac:dyDescent="0.25">
      <c r="A789" t="s">
        <v>847</v>
      </c>
      <c r="B789" t="s">
        <v>1239</v>
      </c>
      <c r="C789" t="s">
        <v>1200</v>
      </c>
      <c r="D789" t="s">
        <v>1197</v>
      </c>
      <c r="E789">
        <v>8</v>
      </c>
      <c r="F789">
        <v>360000</v>
      </c>
      <c r="G789">
        <v>0</v>
      </c>
      <c r="H789">
        <v>360000</v>
      </c>
      <c r="I789" t="s">
        <v>1451</v>
      </c>
      <c r="J789" t="s">
        <v>10</v>
      </c>
    </row>
    <row r="790" spans="1:10" x14ac:dyDescent="0.25">
      <c r="A790" t="s">
        <v>848</v>
      </c>
      <c r="B790" t="s">
        <v>1206</v>
      </c>
      <c r="C790" t="s">
        <v>1208</v>
      </c>
      <c r="D790" t="s">
        <v>1203</v>
      </c>
      <c r="E790">
        <v>10</v>
      </c>
      <c r="F790">
        <v>750000</v>
      </c>
      <c r="G790">
        <v>5000</v>
      </c>
      <c r="H790">
        <v>745000</v>
      </c>
      <c r="I790" t="s">
        <v>1371</v>
      </c>
      <c r="J790" t="s">
        <v>20</v>
      </c>
    </row>
    <row r="791" spans="1:10" x14ac:dyDescent="0.25">
      <c r="A791" t="s">
        <v>849</v>
      </c>
      <c r="B791" t="s">
        <v>1195</v>
      </c>
      <c r="C791" t="s">
        <v>1204</v>
      </c>
      <c r="D791" t="s">
        <v>1210</v>
      </c>
      <c r="E791">
        <v>2</v>
      </c>
      <c r="F791">
        <v>90000</v>
      </c>
      <c r="G791">
        <v>0</v>
      </c>
      <c r="H791">
        <v>90000</v>
      </c>
      <c r="I791" t="s">
        <v>1282</v>
      </c>
      <c r="J791" t="s">
        <v>33</v>
      </c>
    </row>
    <row r="792" spans="1:10" x14ac:dyDescent="0.25">
      <c r="A792" t="s">
        <v>850</v>
      </c>
      <c r="B792" t="s">
        <v>1192</v>
      </c>
      <c r="C792" t="s">
        <v>1208</v>
      </c>
      <c r="D792" t="s">
        <v>1197</v>
      </c>
      <c r="E792">
        <v>3</v>
      </c>
      <c r="F792">
        <v>360000</v>
      </c>
      <c r="G792">
        <v>0</v>
      </c>
      <c r="H792">
        <v>360000</v>
      </c>
      <c r="I792" t="s">
        <v>1232</v>
      </c>
      <c r="J792" t="s">
        <v>5</v>
      </c>
    </row>
    <row r="793" spans="1:10" x14ac:dyDescent="0.25">
      <c r="A793" t="s">
        <v>851</v>
      </c>
      <c r="B793" t="s">
        <v>1195</v>
      </c>
      <c r="C793" t="s">
        <v>1204</v>
      </c>
      <c r="D793" t="s">
        <v>1203</v>
      </c>
      <c r="E793">
        <v>10</v>
      </c>
      <c r="F793">
        <v>750000</v>
      </c>
      <c r="G793">
        <v>0</v>
      </c>
      <c r="H793">
        <v>750000</v>
      </c>
      <c r="I793" t="s">
        <v>1433</v>
      </c>
      <c r="J793" t="s">
        <v>33</v>
      </c>
    </row>
    <row r="794" spans="1:10" x14ac:dyDescent="0.25">
      <c r="A794" t="s">
        <v>852</v>
      </c>
      <c r="B794" t="s">
        <v>1192</v>
      </c>
      <c r="C794" t="s">
        <v>1204</v>
      </c>
      <c r="D794" t="s">
        <v>1194</v>
      </c>
      <c r="E794">
        <v>6</v>
      </c>
      <c r="F794">
        <v>270000</v>
      </c>
      <c r="G794">
        <v>0</v>
      </c>
      <c r="H794">
        <v>270000</v>
      </c>
      <c r="I794" t="s">
        <v>115</v>
      </c>
      <c r="J794" t="s">
        <v>10</v>
      </c>
    </row>
    <row r="795" spans="1:10" x14ac:dyDescent="0.25">
      <c r="A795" t="s">
        <v>853</v>
      </c>
      <c r="B795" t="s">
        <v>1206</v>
      </c>
      <c r="C795" t="s">
        <v>29</v>
      </c>
      <c r="D795" t="s">
        <v>1210</v>
      </c>
      <c r="E795">
        <v>10</v>
      </c>
      <c r="F795">
        <v>1200000</v>
      </c>
      <c r="G795">
        <v>15000</v>
      </c>
      <c r="H795" t="s">
        <v>1458</v>
      </c>
      <c r="I795" t="s">
        <v>1240</v>
      </c>
      <c r="J795" t="s">
        <v>20</v>
      </c>
    </row>
    <row r="796" spans="1:10" x14ac:dyDescent="0.25">
      <c r="A796" t="s">
        <v>854</v>
      </c>
      <c r="B796" t="s">
        <v>1195</v>
      </c>
      <c r="C796" t="s">
        <v>1196</v>
      </c>
      <c r="D796" t="s">
        <v>1203</v>
      </c>
      <c r="E796">
        <v>4</v>
      </c>
      <c r="F796">
        <v>180000</v>
      </c>
      <c r="G796">
        <v>0</v>
      </c>
      <c r="H796">
        <v>180000</v>
      </c>
      <c r="I796" t="s">
        <v>65</v>
      </c>
      <c r="J796" t="s">
        <v>33</v>
      </c>
    </row>
    <row r="797" spans="1:10" x14ac:dyDescent="0.25">
      <c r="A797" t="s">
        <v>47</v>
      </c>
      <c r="B797" t="s">
        <v>1192</v>
      </c>
      <c r="C797" t="s">
        <v>29</v>
      </c>
      <c r="D797" t="s">
        <v>1210</v>
      </c>
      <c r="E797">
        <v>7</v>
      </c>
      <c r="F797">
        <v>840000</v>
      </c>
      <c r="G797">
        <v>0</v>
      </c>
      <c r="H797">
        <v>840000</v>
      </c>
      <c r="I797" t="s">
        <v>414</v>
      </c>
      <c r="J797" t="s">
        <v>5</v>
      </c>
    </row>
    <row r="798" spans="1:10" x14ac:dyDescent="0.25">
      <c r="A798" t="s">
        <v>855</v>
      </c>
      <c r="B798" t="s">
        <v>1239</v>
      </c>
      <c r="C798" t="s">
        <v>1204</v>
      </c>
      <c r="D798" t="s">
        <v>1194</v>
      </c>
      <c r="E798">
        <v>10</v>
      </c>
      <c r="F798">
        <v>450000</v>
      </c>
      <c r="G798">
        <v>0</v>
      </c>
      <c r="H798">
        <v>450000</v>
      </c>
      <c r="I798" t="s">
        <v>1433</v>
      </c>
      <c r="J798" t="s">
        <v>10</v>
      </c>
    </row>
    <row r="799" spans="1:10" x14ac:dyDescent="0.25">
      <c r="A799" t="s">
        <v>856</v>
      </c>
      <c r="B799" t="s">
        <v>1192</v>
      </c>
      <c r="C799" t="s">
        <v>1208</v>
      </c>
      <c r="D799" t="s">
        <v>1213</v>
      </c>
      <c r="E799">
        <v>1</v>
      </c>
      <c r="F799">
        <v>185000</v>
      </c>
      <c r="G799">
        <v>0</v>
      </c>
      <c r="H799">
        <v>185000</v>
      </c>
      <c r="I799" t="s">
        <v>1433</v>
      </c>
      <c r="J799" t="s">
        <v>10</v>
      </c>
    </row>
    <row r="800" spans="1:10" x14ac:dyDescent="0.25">
      <c r="A800" t="s">
        <v>857</v>
      </c>
      <c r="B800" t="s">
        <v>1251</v>
      </c>
      <c r="C800" t="s">
        <v>1196</v>
      </c>
      <c r="D800" t="s">
        <v>1213</v>
      </c>
      <c r="E800">
        <v>6</v>
      </c>
      <c r="F800">
        <v>450000</v>
      </c>
      <c r="G800">
        <v>15000</v>
      </c>
      <c r="H800">
        <v>435000</v>
      </c>
      <c r="I800" t="s">
        <v>1327</v>
      </c>
      <c r="J800" t="s">
        <v>20</v>
      </c>
    </row>
    <row r="801" spans="1:10" x14ac:dyDescent="0.25">
      <c r="A801" t="s">
        <v>858</v>
      </c>
      <c r="B801" t="s">
        <v>1195</v>
      </c>
      <c r="C801" t="s">
        <v>1193</v>
      </c>
      <c r="D801" t="s">
        <v>1197</v>
      </c>
      <c r="E801">
        <v>5</v>
      </c>
      <c r="F801">
        <v>925000</v>
      </c>
      <c r="G801">
        <v>0</v>
      </c>
      <c r="H801">
        <v>925000</v>
      </c>
      <c r="I801" t="s">
        <v>1398</v>
      </c>
      <c r="J801" t="s">
        <v>33</v>
      </c>
    </row>
    <row r="802" spans="1:10" x14ac:dyDescent="0.25">
      <c r="A802" t="s">
        <v>859</v>
      </c>
      <c r="B802" t="s">
        <v>1192</v>
      </c>
      <c r="C802" t="s">
        <v>1208</v>
      </c>
      <c r="D802" t="s">
        <v>1213</v>
      </c>
      <c r="E802">
        <v>6</v>
      </c>
      <c r="F802">
        <v>1500000</v>
      </c>
      <c r="G802">
        <v>0</v>
      </c>
      <c r="H802" t="s">
        <v>1224</v>
      </c>
      <c r="I802" t="s">
        <v>1314</v>
      </c>
      <c r="J802" t="s">
        <v>10</v>
      </c>
    </row>
    <row r="803" spans="1:10" x14ac:dyDescent="0.25">
      <c r="A803" t="s">
        <v>860</v>
      </c>
      <c r="B803" t="s">
        <v>1192</v>
      </c>
      <c r="C803" t="s">
        <v>1208</v>
      </c>
      <c r="D803" t="s">
        <v>1194</v>
      </c>
      <c r="E803">
        <v>5</v>
      </c>
      <c r="F803">
        <v>375000</v>
      </c>
      <c r="G803">
        <v>15000</v>
      </c>
      <c r="H803">
        <v>360000</v>
      </c>
      <c r="I803" t="s">
        <v>1310</v>
      </c>
      <c r="J803" t="s">
        <v>33</v>
      </c>
    </row>
    <row r="804" spans="1:10" x14ac:dyDescent="0.25">
      <c r="A804" t="s">
        <v>861</v>
      </c>
      <c r="B804" t="s">
        <v>1192</v>
      </c>
      <c r="C804" t="s">
        <v>1219</v>
      </c>
      <c r="D804" t="s">
        <v>1210</v>
      </c>
      <c r="E804">
        <v>9</v>
      </c>
      <c r="F804">
        <v>1665000</v>
      </c>
      <c r="G804">
        <v>0</v>
      </c>
      <c r="H804">
        <v>1665000</v>
      </c>
      <c r="I804" t="s">
        <v>1284</v>
      </c>
      <c r="J804" t="s">
        <v>33</v>
      </c>
    </row>
    <row r="805" spans="1:10" x14ac:dyDescent="0.25">
      <c r="A805" t="s">
        <v>862</v>
      </c>
      <c r="B805" t="s">
        <v>1230</v>
      </c>
      <c r="C805" t="s">
        <v>1208</v>
      </c>
      <c r="D805" t="s">
        <v>1210</v>
      </c>
      <c r="E805">
        <v>4</v>
      </c>
      <c r="F805">
        <v>480000</v>
      </c>
      <c r="G805">
        <v>0</v>
      </c>
      <c r="H805">
        <v>480000</v>
      </c>
      <c r="I805" t="s">
        <v>22</v>
      </c>
      <c r="J805" t="s">
        <v>10</v>
      </c>
    </row>
    <row r="806" spans="1:10" x14ac:dyDescent="0.25">
      <c r="A806" t="s">
        <v>863</v>
      </c>
      <c r="B806" t="s">
        <v>1206</v>
      </c>
      <c r="C806" t="s">
        <v>1204</v>
      </c>
      <c r="D806" t="s">
        <v>1194</v>
      </c>
      <c r="E806">
        <v>2</v>
      </c>
      <c r="F806">
        <v>500000</v>
      </c>
      <c r="G806">
        <v>0</v>
      </c>
      <c r="H806">
        <v>500000</v>
      </c>
      <c r="I806" t="s">
        <v>1459</v>
      </c>
      <c r="J806" t="s">
        <v>33</v>
      </c>
    </row>
    <row r="807" spans="1:10" x14ac:dyDescent="0.25">
      <c r="A807" t="s">
        <v>864</v>
      </c>
      <c r="B807" t="s">
        <v>1206</v>
      </c>
      <c r="C807" t="s">
        <v>1262</v>
      </c>
      <c r="D807" t="s">
        <v>1203</v>
      </c>
      <c r="E807">
        <v>2</v>
      </c>
      <c r="F807">
        <v>500000</v>
      </c>
      <c r="G807">
        <v>0</v>
      </c>
      <c r="H807">
        <v>500000</v>
      </c>
      <c r="I807" t="s">
        <v>1460</v>
      </c>
      <c r="J807" t="s">
        <v>10</v>
      </c>
    </row>
    <row r="808" spans="1:10" x14ac:dyDescent="0.25">
      <c r="A808" t="s">
        <v>865</v>
      </c>
      <c r="B808" t="s">
        <v>1192</v>
      </c>
      <c r="C808" t="s">
        <v>1204</v>
      </c>
      <c r="D808" t="s">
        <v>1194</v>
      </c>
      <c r="E808">
        <v>2</v>
      </c>
      <c r="F808">
        <v>240000</v>
      </c>
      <c r="G808">
        <v>0</v>
      </c>
      <c r="H808">
        <v>240000</v>
      </c>
      <c r="I808" t="s">
        <v>1391</v>
      </c>
      <c r="J808" t="s">
        <v>33</v>
      </c>
    </row>
    <row r="809" spans="1:10" x14ac:dyDescent="0.25">
      <c r="A809" t="s">
        <v>866</v>
      </c>
      <c r="B809" t="s">
        <v>1206</v>
      </c>
      <c r="C809" t="s">
        <v>1193</v>
      </c>
      <c r="D809" t="s">
        <v>1203</v>
      </c>
      <c r="E809">
        <v>6</v>
      </c>
      <c r="F809">
        <v>1500000</v>
      </c>
      <c r="G809">
        <v>0</v>
      </c>
      <c r="H809">
        <v>1500000</v>
      </c>
      <c r="I809" t="s">
        <v>1380</v>
      </c>
      <c r="J809" t="s">
        <v>20</v>
      </c>
    </row>
    <row r="810" spans="1:10" x14ac:dyDescent="0.25">
      <c r="A810" t="s">
        <v>867</v>
      </c>
      <c r="B810" t="s">
        <v>1206</v>
      </c>
      <c r="C810" t="s">
        <v>1208</v>
      </c>
      <c r="D810" t="s">
        <v>1210</v>
      </c>
      <c r="E810">
        <v>2</v>
      </c>
      <c r="F810">
        <v>500000</v>
      </c>
      <c r="G810">
        <v>0</v>
      </c>
      <c r="H810">
        <v>500000</v>
      </c>
      <c r="I810" t="s">
        <v>1346</v>
      </c>
      <c r="J810" t="s">
        <v>20</v>
      </c>
    </row>
    <row r="811" spans="1:10" x14ac:dyDescent="0.25">
      <c r="A811" t="s">
        <v>868</v>
      </c>
      <c r="B811" t="s">
        <v>1239</v>
      </c>
      <c r="C811" t="s">
        <v>1193</v>
      </c>
      <c r="D811" t="s">
        <v>1213</v>
      </c>
      <c r="E811">
        <v>5</v>
      </c>
      <c r="F811">
        <v>600000</v>
      </c>
      <c r="G811">
        <v>5000</v>
      </c>
      <c r="H811">
        <v>595000</v>
      </c>
      <c r="I811" t="s">
        <v>271</v>
      </c>
      <c r="J811" t="s">
        <v>5</v>
      </c>
    </row>
    <row r="812" spans="1:10" x14ac:dyDescent="0.25">
      <c r="A812" t="s">
        <v>869</v>
      </c>
      <c r="B812" t="s">
        <v>1195</v>
      </c>
      <c r="C812" t="s">
        <v>1208</v>
      </c>
      <c r="D812" t="s">
        <v>1213</v>
      </c>
      <c r="E812">
        <v>10</v>
      </c>
      <c r="F812">
        <v>2500000</v>
      </c>
      <c r="G812">
        <v>0</v>
      </c>
      <c r="H812">
        <v>2500000</v>
      </c>
      <c r="I812" t="s">
        <v>138</v>
      </c>
      <c r="J812" t="s">
        <v>5</v>
      </c>
    </row>
    <row r="813" spans="1:10" x14ac:dyDescent="0.25">
      <c r="A813" t="s">
        <v>870</v>
      </c>
      <c r="B813" t="s">
        <v>1199</v>
      </c>
      <c r="C813" t="s">
        <v>1208</v>
      </c>
      <c r="D813" t="s">
        <v>1213</v>
      </c>
      <c r="E813">
        <v>2</v>
      </c>
      <c r="F813">
        <v>500000</v>
      </c>
      <c r="G813">
        <v>0</v>
      </c>
      <c r="H813">
        <v>500000</v>
      </c>
      <c r="I813" t="s">
        <v>312</v>
      </c>
      <c r="J813" t="s">
        <v>20</v>
      </c>
    </row>
    <row r="814" spans="1:10" x14ac:dyDescent="0.25">
      <c r="A814" t="s">
        <v>871</v>
      </c>
      <c r="B814" t="s">
        <v>1206</v>
      </c>
      <c r="C814" t="s">
        <v>1204</v>
      </c>
      <c r="D814" t="s">
        <v>1213</v>
      </c>
      <c r="E814">
        <v>1</v>
      </c>
      <c r="F814">
        <v>75000</v>
      </c>
      <c r="G814">
        <v>0</v>
      </c>
      <c r="H814">
        <v>75000</v>
      </c>
      <c r="I814" t="s">
        <v>331</v>
      </c>
      <c r="J814" t="s">
        <v>10</v>
      </c>
    </row>
    <row r="815" spans="1:10" x14ac:dyDescent="0.25">
      <c r="A815" t="s">
        <v>872</v>
      </c>
      <c r="B815" t="s">
        <v>1199</v>
      </c>
      <c r="C815" t="s">
        <v>1193</v>
      </c>
      <c r="D815" t="s">
        <v>1203</v>
      </c>
      <c r="E815">
        <v>3</v>
      </c>
      <c r="F815">
        <v>135000</v>
      </c>
      <c r="G815">
        <v>0</v>
      </c>
      <c r="H815" t="s">
        <v>1461</v>
      </c>
      <c r="I815" t="s">
        <v>203</v>
      </c>
      <c r="J815" t="s">
        <v>33</v>
      </c>
    </row>
    <row r="816" spans="1:10" x14ac:dyDescent="0.25">
      <c r="A816" t="s">
        <v>873</v>
      </c>
      <c r="B816" t="s">
        <v>1206</v>
      </c>
      <c r="C816" t="s">
        <v>1285</v>
      </c>
      <c r="D816" t="s">
        <v>1203</v>
      </c>
      <c r="E816">
        <v>2</v>
      </c>
      <c r="F816">
        <v>370000</v>
      </c>
      <c r="G816">
        <v>0</v>
      </c>
      <c r="H816" t="s">
        <v>92</v>
      </c>
      <c r="I816" t="s">
        <v>65</v>
      </c>
      <c r="J816" t="s">
        <v>33</v>
      </c>
    </row>
    <row r="817" spans="1:10" x14ac:dyDescent="0.25">
      <c r="B817" t="s">
        <v>1195</v>
      </c>
      <c r="C817" t="s">
        <v>1200</v>
      </c>
      <c r="D817" t="s">
        <v>1194</v>
      </c>
      <c r="E817">
        <v>4</v>
      </c>
      <c r="F817">
        <v>740000</v>
      </c>
      <c r="G817">
        <v>0</v>
      </c>
      <c r="H817" t="s">
        <v>1250</v>
      </c>
      <c r="I817" t="s">
        <v>464</v>
      </c>
      <c r="J817" t="s">
        <v>10</v>
      </c>
    </row>
    <row r="818" spans="1:10" x14ac:dyDescent="0.25">
      <c r="A818" t="s">
        <v>874</v>
      </c>
      <c r="B818" t="s">
        <v>1199</v>
      </c>
      <c r="C818" t="s">
        <v>1204</v>
      </c>
      <c r="D818" t="s">
        <v>1194</v>
      </c>
      <c r="E818">
        <v>7</v>
      </c>
      <c r="F818">
        <v>1750000</v>
      </c>
      <c r="G818">
        <v>0</v>
      </c>
      <c r="H818">
        <v>1750000</v>
      </c>
      <c r="I818" t="s">
        <v>391</v>
      </c>
      <c r="J818" t="s">
        <v>33</v>
      </c>
    </row>
    <row r="819" spans="1:10" x14ac:dyDescent="0.25">
      <c r="B819" t="s">
        <v>1206</v>
      </c>
      <c r="C819" t="s">
        <v>1204</v>
      </c>
      <c r="D819" t="s">
        <v>1197</v>
      </c>
      <c r="E819">
        <v>9</v>
      </c>
      <c r="F819">
        <v>1665000</v>
      </c>
      <c r="G819">
        <v>0</v>
      </c>
      <c r="H819" t="s">
        <v>92</v>
      </c>
      <c r="I819" t="s">
        <v>271</v>
      </c>
      <c r="J819" t="s">
        <v>5</v>
      </c>
    </row>
    <row r="820" spans="1:10" x14ac:dyDescent="0.25">
      <c r="A820" t="s">
        <v>875</v>
      </c>
      <c r="B820" t="s">
        <v>1192</v>
      </c>
      <c r="C820" t="s">
        <v>1200</v>
      </c>
      <c r="D820" t="s">
        <v>1197</v>
      </c>
      <c r="E820">
        <v>10</v>
      </c>
      <c r="F820">
        <v>450000</v>
      </c>
      <c r="G820">
        <v>0</v>
      </c>
      <c r="H820">
        <v>450000</v>
      </c>
      <c r="I820" t="s">
        <v>1205</v>
      </c>
      <c r="J820" t="s">
        <v>20</v>
      </c>
    </row>
    <row r="821" spans="1:10" x14ac:dyDescent="0.25">
      <c r="A821" t="s">
        <v>876</v>
      </c>
      <c r="B821" t="s">
        <v>1206</v>
      </c>
      <c r="C821" t="s">
        <v>1196</v>
      </c>
      <c r="D821" t="s">
        <v>1203</v>
      </c>
      <c r="E821">
        <v>1</v>
      </c>
      <c r="F821">
        <v>75000</v>
      </c>
      <c r="G821">
        <v>0</v>
      </c>
      <c r="H821" t="s">
        <v>92</v>
      </c>
      <c r="I821" t="s">
        <v>877</v>
      </c>
      <c r="J821" t="s">
        <v>10</v>
      </c>
    </row>
    <row r="822" spans="1:10" x14ac:dyDescent="0.25">
      <c r="A822" t="s">
        <v>878</v>
      </c>
      <c r="B822" t="s">
        <v>1230</v>
      </c>
      <c r="C822" t="s">
        <v>1193</v>
      </c>
      <c r="D822" t="s">
        <v>1213</v>
      </c>
      <c r="E822">
        <v>1</v>
      </c>
      <c r="F822">
        <v>250000</v>
      </c>
      <c r="G822">
        <v>0</v>
      </c>
      <c r="H822">
        <v>250000</v>
      </c>
      <c r="I822" t="s">
        <v>1462</v>
      </c>
      <c r="J822" t="s">
        <v>5</v>
      </c>
    </row>
    <row r="823" spans="1:10" x14ac:dyDescent="0.25">
      <c r="A823" t="s">
        <v>879</v>
      </c>
      <c r="B823" t="s">
        <v>1206</v>
      </c>
      <c r="C823" t="s">
        <v>1196</v>
      </c>
      <c r="D823" t="s">
        <v>1197</v>
      </c>
      <c r="E823">
        <v>7</v>
      </c>
      <c r="F823">
        <v>1750000</v>
      </c>
      <c r="G823">
        <v>0</v>
      </c>
      <c r="H823">
        <v>1750000</v>
      </c>
      <c r="I823" t="s">
        <v>1217</v>
      </c>
      <c r="J823" t="s">
        <v>10</v>
      </c>
    </row>
    <row r="824" spans="1:10" x14ac:dyDescent="0.25">
      <c r="A824" t="s">
        <v>42</v>
      </c>
      <c r="B824" t="s">
        <v>1195</v>
      </c>
      <c r="C824" t="s">
        <v>1208</v>
      </c>
      <c r="D824" t="s">
        <v>1210</v>
      </c>
      <c r="E824">
        <v>2</v>
      </c>
      <c r="F824">
        <v>90000</v>
      </c>
      <c r="G824">
        <v>5000</v>
      </c>
      <c r="H824">
        <v>85000</v>
      </c>
      <c r="I824" t="s">
        <v>195</v>
      </c>
      <c r="J824" t="s">
        <v>10</v>
      </c>
    </row>
    <row r="825" spans="1:10" x14ac:dyDescent="0.25">
      <c r="A825" t="s">
        <v>880</v>
      </c>
      <c r="B825" t="s">
        <v>1199</v>
      </c>
      <c r="C825" t="s">
        <v>1200</v>
      </c>
      <c r="D825" t="s">
        <v>1203</v>
      </c>
      <c r="E825">
        <v>1</v>
      </c>
      <c r="F825">
        <v>45000</v>
      </c>
      <c r="G825">
        <v>0</v>
      </c>
      <c r="H825">
        <v>45000</v>
      </c>
      <c r="I825" t="s">
        <v>1463</v>
      </c>
      <c r="J825" t="s">
        <v>10</v>
      </c>
    </row>
    <row r="826" spans="1:10" x14ac:dyDescent="0.25">
      <c r="A826" t="s">
        <v>881</v>
      </c>
      <c r="B826" t="s">
        <v>1192</v>
      </c>
      <c r="C826" t="s">
        <v>1208</v>
      </c>
      <c r="D826" t="s">
        <v>1203</v>
      </c>
      <c r="E826">
        <v>4</v>
      </c>
      <c r="F826">
        <v>1000000</v>
      </c>
      <c r="G826">
        <v>0</v>
      </c>
      <c r="H826" t="s">
        <v>1420</v>
      </c>
      <c r="I826" t="s">
        <v>263</v>
      </c>
      <c r="J826" t="s">
        <v>20</v>
      </c>
    </row>
    <row r="827" spans="1:10" x14ac:dyDescent="0.25">
      <c r="A827" t="s">
        <v>882</v>
      </c>
      <c r="B827" t="s">
        <v>1195</v>
      </c>
      <c r="C827" t="s">
        <v>29</v>
      </c>
      <c r="D827" t="s">
        <v>1194</v>
      </c>
      <c r="E827">
        <v>1</v>
      </c>
      <c r="F827">
        <v>45000</v>
      </c>
      <c r="G827">
        <v>10000</v>
      </c>
      <c r="H827">
        <v>35000</v>
      </c>
      <c r="I827" t="s">
        <v>1310</v>
      </c>
      <c r="J827" t="s">
        <v>10</v>
      </c>
    </row>
    <row r="828" spans="1:10" x14ac:dyDescent="0.25">
      <c r="A828" t="s">
        <v>883</v>
      </c>
      <c r="B828" t="s">
        <v>1206</v>
      </c>
      <c r="C828" t="s">
        <v>1219</v>
      </c>
      <c r="D828" t="s">
        <v>1203</v>
      </c>
      <c r="E828">
        <v>10</v>
      </c>
      <c r="F828">
        <v>750000</v>
      </c>
      <c r="G828">
        <v>0</v>
      </c>
      <c r="H828" t="s">
        <v>92</v>
      </c>
      <c r="I828" t="s">
        <v>884</v>
      </c>
      <c r="J828" t="s">
        <v>33</v>
      </c>
    </row>
    <row r="829" spans="1:10" x14ac:dyDescent="0.25">
      <c r="A829" t="s">
        <v>885</v>
      </c>
      <c r="B829" t="s">
        <v>1195</v>
      </c>
      <c r="C829" t="s">
        <v>29</v>
      </c>
      <c r="D829" t="s">
        <v>1213</v>
      </c>
      <c r="E829">
        <v>3</v>
      </c>
      <c r="F829">
        <v>750000</v>
      </c>
      <c r="G829">
        <v>10000</v>
      </c>
      <c r="H829">
        <v>740000</v>
      </c>
      <c r="I829" t="s">
        <v>1287</v>
      </c>
      <c r="J829" t="s">
        <v>33</v>
      </c>
    </row>
    <row r="830" spans="1:10" x14ac:dyDescent="0.25">
      <c r="A830" t="s">
        <v>886</v>
      </c>
      <c r="B830" t="s">
        <v>1192</v>
      </c>
      <c r="C830" t="s">
        <v>1200</v>
      </c>
      <c r="D830" t="s">
        <v>1210</v>
      </c>
      <c r="E830">
        <v>8</v>
      </c>
      <c r="F830">
        <v>1480000</v>
      </c>
      <c r="G830">
        <v>0</v>
      </c>
      <c r="H830">
        <v>1480000</v>
      </c>
      <c r="I830" t="s">
        <v>534</v>
      </c>
      <c r="J830" t="s">
        <v>20</v>
      </c>
    </row>
    <row r="831" spans="1:10" x14ac:dyDescent="0.25">
      <c r="A831" t="s">
        <v>887</v>
      </c>
      <c r="B831" t="s">
        <v>1199</v>
      </c>
      <c r="C831" t="s">
        <v>1196</v>
      </c>
      <c r="D831" t="s">
        <v>1194</v>
      </c>
      <c r="E831">
        <v>1</v>
      </c>
      <c r="F831">
        <v>45000</v>
      </c>
      <c r="G831">
        <v>15000</v>
      </c>
      <c r="H831">
        <v>30000</v>
      </c>
      <c r="I831" t="s">
        <v>1135</v>
      </c>
      <c r="J831" t="s">
        <v>20</v>
      </c>
    </row>
    <row r="832" spans="1:10" x14ac:dyDescent="0.25">
      <c r="A832" t="s">
        <v>888</v>
      </c>
      <c r="B832" t="s">
        <v>1195</v>
      </c>
      <c r="C832" t="s">
        <v>1208</v>
      </c>
      <c r="D832" t="s">
        <v>1194</v>
      </c>
      <c r="E832">
        <v>9</v>
      </c>
      <c r="F832">
        <v>675000</v>
      </c>
      <c r="G832">
        <v>0</v>
      </c>
      <c r="H832">
        <v>675000</v>
      </c>
      <c r="I832" t="s">
        <v>203</v>
      </c>
      <c r="J832" t="s">
        <v>5</v>
      </c>
    </row>
    <row r="833" spans="1:10" x14ac:dyDescent="0.25">
      <c r="A833" t="s">
        <v>889</v>
      </c>
      <c r="B833" t="s">
        <v>1192</v>
      </c>
      <c r="C833" t="s">
        <v>1196</v>
      </c>
      <c r="D833" t="s">
        <v>1203</v>
      </c>
      <c r="E833">
        <v>7</v>
      </c>
      <c r="F833">
        <v>840000</v>
      </c>
      <c r="G833">
        <v>0</v>
      </c>
      <c r="H833">
        <v>840000</v>
      </c>
      <c r="I833" t="s">
        <v>354</v>
      </c>
      <c r="J833" t="s">
        <v>33</v>
      </c>
    </row>
    <row r="834" spans="1:10" x14ac:dyDescent="0.25">
      <c r="A834" t="s">
        <v>890</v>
      </c>
      <c r="B834" t="s">
        <v>1206</v>
      </c>
      <c r="C834" t="s">
        <v>1208</v>
      </c>
      <c r="D834" t="s">
        <v>1213</v>
      </c>
      <c r="E834">
        <v>3</v>
      </c>
      <c r="F834">
        <v>225000</v>
      </c>
      <c r="G834">
        <v>0</v>
      </c>
      <c r="H834">
        <v>225000</v>
      </c>
      <c r="I834" t="s">
        <v>1305</v>
      </c>
      <c r="J834" t="s">
        <v>5</v>
      </c>
    </row>
    <row r="835" spans="1:10" x14ac:dyDescent="0.25">
      <c r="A835" t="s">
        <v>891</v>
      </c>
      <c r="B835" t="s">
        <v>1230</v>
      </c>
      <c r="C835" t="s">
        <v>1204</v>
      </c>
      <c r="D835" t="s">
        <v>1197</v>
      </c>
      <c r="E835">
        <v>3</v>
      </c>
      <c r="F835">
        <v>555000</v>
      </c>
      <c r="G835">
        <v>0</v>
      </c>
      <c r="H835">
        <v>555000</v>
      </c>
      <c r="I835" t="s">
        <v>1215</v>
      </c>
      <c r="J835" t="s">
        <v>33</v>
      </c>
    </row>
    <row r="836" spans="1:10" x14ac:dyDescent="0.25">
      <c r="A836" t="s">
        <v>892</v>
      </c>
      <c r="B836" t="s">
        <v>1195</v>
      </c>
      <c r="C836" t="s">
        <v>1200</v>
      </c>
      <c r="D836" t="s">
        <v>1203</v>
      </c>
      <c r="E836">
        <v>2</v>
      </c>
      <c r="F836">
        <v>90000</v>
      </c>
      <c r="G836">
        <v>5000</v>
      </c>
      <c r="H836">
        <v>85000</v>
      </c>
      <c r="I836" t="s">
        <v>1301</v>
      </c>
      <c r="J836" t="s">
        <v>20</v>
      </c>
    </row>
    <row r="837" spans="1:10" x14ac:dyDescent="0.25">
      <c r="A837" t="s">
        <v>893</v>
      </c>
      <c r="B837" t="s">
        <v>1206</v>
      </c>
      <c r="C837" t="s">
        <v>29</v>
      </c>
      <c r="D837" t="s">
        <v>1210</v>
      </c>
      <c r="E837">
        <v>1</v>
      </c>
      <c r="F837">
        <v>185000</v>
      </c>
      <c r="G837">
        <v>0</v>
      </c>
      <c r="H837">
        <v>-185000</v>
      </c>
      <c r="I837" t="s">
        <v>1170</v>
      </c>
      <c r="J837" t="s">
        <v>10</v>
      </c>
    </row>
    <row r="838" spans="1:10" x14ac:dyDescent="0.25">
      <c r="A838" t="s">
        <v>894</v>
      </c>
      <c r="B838" t="s">
        <v>1199</v>
      </c>
      <c r="C838" t="s">
        <v>1204</v>
      </c>
      <c r="D838" t="s">
        <v>1194</v>
      </c>
      <c r="E838">
        <v>4</v>
      </c>
      <c r="F838">
        <v>480000</v>
      </c>
      <c r="G838">
        <v>0</v>
      </c>
      <c r="H838">
        <v>480000</v>
      </c>
      <c r="I838" t="s">
        <v>1372</v>
      </c>
      <c r="J838" t="s">
        <v>10</v>
      </c>
    </row>
    <row r="839" spans="1:10" x14ac:dyDescent="0.25">
      <c r="A839" t="s">
        <v>895</v>
      </c>
      <c r="B839" t="s">
        <v>1206</v>
      </c>
      <c r="C839" t="s">
        <v>1208</v>
      </c>
      <c r="D839" t="s">
        <v>1194</v>
      </c>
      <c r="E839">
        <v>6</v>
      </c>
      <c r="F839">
        <v>1500000</v>
      </c>
      <c r="G839">
        <v>0</v>
      </c>
      <c r="H839">
        <v>-1500000</v>
      </c>
      <c r="I839" t="s">
        <v>1172</v>
      </c>
      <c r="J839" t="s">
        <v>33</v>
      </c>
    </row>
    <row r="840" spans="1:10" x14ac:dyDescent="0.25">
      <c r="A840" t="s">
        <v>896</v>
      </c>
      <c r="B840" t="s">
        <v>1199</v>
      </c>
      <c r="C840" t="s">
        <v>29</v>
      </c>
      <c r="D840" t="s">
        <v>1213</v>
      </c>
      <c r="E840">
        <v>6</v>
      </c>
      <c r="F840">
        <v>1110000</v>
      </c>
      <c r="G840">
        <v>0</v>
      </c>
      <c r="H840">
        <v>1110000</v>
      </c>
      <c r="I840" t="s">
        <v>1209</v>
      </c>
      <c r="J840" t="s">
        <v>20</v>
      </c>
    </row>
    <row r="841" spans="1:10" x14ac:dyDescent="0.25">
      <c r="A841" t="s">
        <v>897</v>
      </c>
      <c r="B841" t="s">
        <v>1192</v>
      </c>
      <c r="C841" t="s">
        <v>1196</v>
      </c>
      <c r="D841" t="s">
        <v>1203</v>
      </c>
      <c r="E841">
        <v>10</v>
      </c>
      <c r="F841">
        <v>1850000</v>
      </c>
      <c r="G841">
        <v>0</v>
      </c>
      <c r="H841">
        <v>1850000</v>
      </c>
      <c r="I841" t="s">
        <v>1300</v>
      </c>
      <c r="J841" t="s">
        <v>10</v>
      </c>
    </row>
    <row r="842" spans="1:10" x14ac:dyDescent="0.25">
      <c r="A842" t="s">
        <v>898</v>
      </c>
      <c r="B842" t="s">
        <v>1195</v>
      </c>
      <c r="C842" t="s">
        <v>1196</v>
      </c>
      <c r="D842" t="s">
        <v>1213</v>
      </c>
      <c r="E842">
        <v>6</v>
      </c>
      <c r="F842">
        <v>450000</v>
      </c>
      <c r="G842">
        <v>0</v>
      </c>
      <c r="H842">
        <v>450000</v>
      </c>
      <c r="I842" t="s">
        <v>1345</v>
      </c>
      <c r="J842" t="s">
        <v>33</v>
      </c>
    </row>
    <row r="843" spans="1:10" x14ac:dyDescent="0.25">
      <c r="A843" t="s">
        <v>899</v>
      </c>
      <c r="B843" t="s">
        <v>1206</v>
      </c>
      <c r="C843" t="s">
        <v>1196</v>
      </c>
      <c r="D843" t="s">
        <v>1213</v>
      </c>
      <c r="E843">
        <v>6</v>
      </c>
      <c r="F843">
        <v>1500000</v>
      </c>
      <c r="G843">
        <v>0</v>
      </c>
      <c r="H843" t="s">
        <v>92</v>
      </c>
      <c r="I843" t="s">
        <v>375</v>
      </c>
      <c r="J843" t="s">
        <v>10</v>
      </c>
    </row>
    <row r="844" spans="1:10" x14ac:dyDescent="0.25">
      <c r="A844" t="s">
        <v>72</v>
      </c>
      <c r="B844" t="s">
        <v>1199</v>
      </c>
      <c r="C844" t="s">
        <v>1208</v>
      </c>
      <c r="D844" t="s">
        <v>1194</v>
      </c>
      <c r="E844">
        <v>6</v>
      </c>
      <c r="F844">
        <v>270000</v>
      </c>
      <c r="G844">
        <v>0</v>
      </c>
      <c r="H844">
        <v>270000</v>
      </c>
      <c r="I844" t="s">
        <v>545</v>
      </c>
      <c r="J844" t="s">
        <v>5</v>
      </c>
    </row>
    <row r="845" spans="1:10" x14ac:dyDescent="0.25">
      <c r="A845" t="s">
        <v>900</v>
      </c>
      <c r="B845" t="s">
        <v>1192</v>
      </c>
      <c r="C845" t="s">
        <v>1193</v>
      </c>
      <c r="D845" t="s">
        <v>1194</v>
      </c>
      <c r="E845">
        <v>8</v>
      </c>
      <c r="F845">
        <v>960000</v>
      </c>
      <c r="G845">
        <v>10000</v>
      </c>
      <c r="H845">
        <v>950000</v>
      </c>
      <c r="I845" t="s">
        <v>1360</v>
      </c>
      <c r="J845" t="s">
        <v>5</v>
      </c>
    </row>
    <row r="846" spans="1:10" x14ac:dyDescent="0.25">
      <c r="A846" t="s">
        <v>901</v>
      </c>
      <c r="B846" t="s">
        <v>1225</v>
      </c>
      <c r="C846" t="s">
        <v>1265</v>
      </c>
      <c r="D846" t="s">
        <v>1203</v>
      </c>
      <c r="E846">
        <v>10</v>
      </c>
      <c r="F846">
        <v>750000</v>
      </c>
      <c r="G846">
        <v>0</v>
      </c>
      <c r="H846">
        <v>750000</v>
      </c>
      <c r="I846" t="s">
        <v>1287</v>
      </c>
      <c r="J846" t="s">
        <v>5</v>
      </c>
    </row>
    <row r="847" spans="1:10" x14ac:dyDescent="0.25">
      <c r="A847" t="s">
        <v>902</v>
      </c>
      <c r="B847" t="s">
        <v>1199</v>
      </c>
      <c r="C847" t="s">
        <v>1200</v>
      </c>
      <c r="D847" t="s">
        <v>1194</v>
      </c>
      <c r="E847">
        <v>10</v>
      </c>
      <c r="F847">
        <v>750000</v>
      </c>
      <c r="G847">
        <v>0</v>
      </c>
      <c r="H847">
        <v>750000</v>
      </c>
      <c r="I847" t="s">
        <v>1292</v>
      </c>
      <c r="J847" t="s">
        <v>10</v>
      </c>
    </row>
    <row r="848" spans="1:10" x14ac:dyDescent="0.25">
      <c r="A848" t="s">
        <v>55</v>
      </c>
      <c r="B848" t="s">
        <v>1199</v>
      </c>
      <c r="C848" t="s">
        <v>1208</v>
      </c>
      <c r="D848" t="s">
        <v>1210</v>
      </c>
      <c r="E848">
        <v>6</v>
      </c>
      <c r="F848">
        <v>450000</v>
      </c>
      <c r="G848">
        <v>0</v>
      </c>
      <c r="H848">
        <v>450000</v>
      </c>
      <c r="I848" t="s">
        <v>297</v>
      </c>
      <c r="J848" t="s">
        <v>20</v>
      </c>
    </row>
    <row r="849" spans="1:10" x14ac:dyDescent="0.25">
      <c r="A849" t="s">
        <v>903</v>
      </c>
      <c r="B849" t="s">
        <v>1206</v>
      </c>
      <c r="C849" t="s">
        <v>1196</v>
      </c>
      <c r="D849" t="s">
        <v>1210</v>
      </c>
      <c r="E849">
        <v>5</v>
      </c>
      <c r="F849">
        <v>375000</v>
      </c>
      <c r="G849">
        <v>10000</v>
      </c>
      <c r="H849">
        <v>365000</v>
      </c>
      <c r="I849" t="s">
        <v>1398</v>
      </c>
      <c r="J849" t="s">
        <v>33</v>
      </c>
    </row>
    <row r="850" spans="1:10" x14ac:dyDescent="0.25">
      <c r="A850" t="s">
        <v>904</v>
      </c>
      <c r="B850" t="s">
        <v>1195</v>
      </c>
      <c r="C850" t="s">
        <v>29</v>
      </c>
      <c r="D850" t="s">
        <v>1194</v>
      </c>
      <c r="E850">
        <v>3</v>
      </c>
      <c r="F850">
        <v>135000</v>
      </c>
      <c r="G850">
        <v>0</v>
      </c>
      <c r="H850">
        <v>135000</v>
      </c>
      <c r="I850" t="s">
        <v>1412</v>
      </c>
      <c r="J850" t="s">
        <v>20</v>
      </c>
    </row>
    <row r="851" spans="1:10" x14ac:dyDescent="0.25">
      <c r="A851" t="s">
        <v>905</v>
      </c>
      <c r="B851" t="s">
        <v>1199</v>
      </c>
      <c r="C851" t="s">
        <v>1193</v>
      </c>
      <c r="D851" t="s">
        <v>1194</v>
      </c>
      <c r="E851">
        <v>5</v>
      </c>
      <c r="F851">
        <v>600000</v>
      </c>
      <c r="G851">
        <v>0</v>
      </c>
      <c r="H851">
        <v>600000</v>
      </c>
      <c r="I851" t="s">
        <v>1177</v>
      </c>
      <c r="J851" t="s">
        <v>10</v>
      </c>
    </row>
    <row r="852" spans="1:10" x14ac:dyDescent="0.25">
      <c r="A852" t="s">
        <v>906</v>
      </c>
      <c r="B852" t="s">
        <v>1192</v>
      </c>
      <c r="C852" t="s">
        <v>1204</v>
      </c>
      <c r="D852" t="s">
        <v>1210</v>
      </c>
      <c r="E852">
        <v>7</v>
      </c>
      <c r="F852">
        <v>1750000</v>
      </c>
      <c r="G852">
        <v>0</v>
      </c>
      <c r="H852">
        <v>1750000</v>
      </c>
      <c r="I852" t="s">
        <v>1369</v>
      </c>
      <c r="J852" t="s">
        <v>20</v>
      </c>
    </row>
    <row r="853" spans="1:10" x14ac:dyDescent="0.25">
      <c r="A853" t="s">
        <v>907</v>
      </c>
      <c r="B853" t="s">
        <v>1206</v>
      </c>
      <c r="C853" t="s">
        <v>29</v>
      </c>
      <c r="D853" t="s">
        <v>1194</v>
      </c>
      <c r="E853">
        <v>5</v>
      </c>
      <c r="F853">
        <v>925000</v>
      </c>
      <c r="G853">
        <v>15000</v>
      </c>
      <c r="H853">
        <v>910000</v>
      </c>
      <c r="I853" t="s">
        <v>1464</v>
      </c>
      <c r="J853" t="s">
        <v>5</v>
      </c>
    </row>
    <row r="854" spans="1:10" x14ac:dyDescent="0.25">
      <c r="A854" t="s">
        <v>908</v>
      </c>
      <c r="B854" t="s">
        <v>1206</v>
      </c>
      <c r="C854" t="s">
        <v>1193</v>
      </c>
      <c r="D854" t="s">
        <v>1197</v>
      </c>
      <c r="E854">
        <v>8</v>
      </c>
      <c r="F854">
        <v>600000</v>
      </c>
      <c r="G854">
        <v>0</v>
      </c>
      <c r="H854">
        <v>600000</v>
      </c>
      <c r="I854" t="s">
        <v>1383</v>
      </c>
      <c r="J854" t="s">
        <v>5</v>
      </c>
    </row>
    <row r="855" spans="1:10" x14ac:dyDescent="0.25">
      <c r="A855" t="s">
        <v>909</v>
      </c>
      <c r="B855" t="s">
        <v>1192</v>
      </c>
      <c r="C855" t="s">
        <v>1208</v>
      </c>
      <c r="D855" t="s">
        <v>1203</v>
      </c>
      <c r="E855">
        <v>10</v>
      </c>
      <c r="F855">
        <v>1850000</v>
      </c>
      <c r="G855">
        <v>0</v>
      </c>
      <c r="H855" t="s">
        <v>1388</v>
      </c>
      <c r="I855" t="s">
        <v>1465</v>
      </c>
      <c r="J855" t="s">
        <v>20</v>
      </c>
    </row>
    <row r="856" spans="1:10" x14ac:dyDescent="0.25">
      <c r="A856" t="s">
        <v>910</v>
      </c>
      <c r="B856" t="s">
        <v>1192</v>
      </c>
      <c r="C856" t="s">
        <v>1226</v>
      </c>
      <c r="D856" t="s">
        <v>1194</v>
      </c>
      <c r="E856">
        <v>6</v>
      </c>
      <c r="F856">
        <v>270000</v>
      </c>
      <c r="G856">
        <v>0</v>
      </c>
      <c r="H856">
        <v>270000</v>
      </c>
      <c r="I856" t="s">
        <v>1135</v>
      </c>
      <c r="J856" t="s">
        <v>20</v>
      </c>
    </row>
    <row r="857" spans="1:10" x14ac:dyDescent="0.25">
      <c r="A857" t="s">
        <v>911</v>
      </c>
      <c r="B857" t="s">
        <v>1199</v>
      </c>
      <c r="C857" t="s">
        <v>29</v>
      </c>
      <c r="D857" t="s">
        <v>1203</v>
      </c>
      <c r="E857">
        <v>3</v>
      </c>
      <c r="F857">
        <v>360000</v>
      </c>
      <c r="G857">
        <v>10000</v>
      </c>
      <c r="H857">
        <v>350000</v>
      </c>
      <c r="I857" t="s">
        <v>1165</v>
      </c>
      <c r="J857" t="s">
        <v>10</v>
      </c>
    </row>
    <row r="858" spans="1:10" x14ac:dyDescent="0.25">
      <c r="A858" t="s">
        <v>912</v>
      </c>
      <c r="B858" t="s">
        <v>1192</v>
      </c>
      <c r="C858" t="s">
        <v>1204</v>
      </c>
      <c r="D858" t="s">
        <v>1194</v>
      </c>
      <c r="E858">
        <v>9</v>
      </c>
      <c r="F858">
        <v>675000</v>
      </c>
      <c r="G858">
        <v>0</v>
      </c>
      <c r="H858">
        <v>675000</v>
      </c>
      <c r="I858" t="s">
        <v>1370</v>
      </c>
      <c r="J858" t="s">
        <v>10</v>
      </c>
    </row>
    <row r="859" spans="1:10" x14ac:dyDescent="0.25">
      <c r="A859" t="s">
        <v>913</v>
      </c>
      <c r="B859" t="s">
        <v>1199</v>
      </c>
      <c r="C859" t="s">
        <v>1196</v>
      </c>
      <c r="D859" t="s">
        <v>1213</v>
      </c>
      <c r="E859">
        <v>9</v>
      </c>
      <c r="F859">
        <v>405000</v>
      </c>
      <c r="G859">
        <v>0</v>
      </c>
      <c r="H859">
        <v>405000</v>
      </c>
      <c r="I859" t="s">
        <v>1205</v>
      </c>
      <c r="J859" t="s">
        <v>20</v>
      </c>
    </row>
    <row r="860" spans="1:10" x14ac:dyDescent="0.25">
      <c r="A860" t="s">
        <v>914</v>
      </c>
      <c r="B860" t="s">
        <v>1192</v>
      </c>
      <c r="C860" t="s">
        <v>1196</v>
      </c>
      <c r="D860" t="s">
        <v>1213</v>
      </c>
      <c r="E860">
        <v>6</v>
      </c>
      <c r="F860">
        <v>270000</v>
      </c>
      <c r="G860">
        <v>0</v>
      </c>
      <c r="H860">
        <v>270000</v>
      </c>
      <c r="I860" t="s">
        <v>43</v>
      </c>
      <c r="J860" t="s">
        <v>5</v>
      </c>
    </row>
    <row r="861" spans="1:10" x14ac:dyDescent="0.25">
      <c r="A861" t="s">
        <v>915</v>
      </c>
      <c r="B861" t="s">
        <v>1195</v>
      </c>
      <c r="C861" t="s">
        <v>1193</v>
      </c>
      <c r="D861" t="s">
        <v>1197</v>
      </c>
      <c r="E861">
        <v>2</v>
      </c>
      <c r="F861">
        <v>370000</v>
      </c>
      <c r="G861">
        <v>0</v>
      </c>
      <c r="H861">
        <v>-370000</v>
      </c>
      <c r="I861" t="s">
        <v>1174</v>
      </c>
      <c r="J861" t="s">
        <v>20</v>
      </c>
    </row>
    <row r="862" spans="1:10" x14ac:dyDescent="0.25">
      <c r="A862" t="s">
        <v>916</v>
      </c>
      <c r="B862" t="s">
        <v>1192</v>
      </c>
      <c r="C862" t="s">
        <v>1200</v>
      </c>
      <c r="D862" t="s">
        <v>1210</v>
      </c>
      <c r="E862">
        <v>3</v>
      </c>
      <c r="F862">
        <v>225000</v>
      </c>
      <c r="G862">
        <v>0</v>
      </c>
      <c r="H862">
        <v>225000</v>
      </c>
      <c r="I862" t="s">
        <v>1346</v>
      </c>
      <c r="J862" t="s">
        <v>5</v>
      </c>
    </row>
    <row r="863" spans="1:10" x14ac:dyDescent="0.25">
      <c r="A863" t="s">
        <v>917</v>
      </c>
      <c r="B863" t="s">
        <v>1199</v>
      </c>
      <c r="C863" t="s">
        <v>29</v>
      </c>
      <c r="D863" t="s">
        <v>1197</v>
      </c>
      <c r="E863">
        <v>7</v>
      </c>
      <c r="F863">
        <v>840000</v>
      </c>
      <c r="G863">
        <v>0</v>
      </c>
      <c r="H863">
        <v>840000</v>
      </c>
      <c r="I863" t="s">
        <v>1236</v>
      </c>
      <c r="J863" t="s">
        <v>20</v>
      </c>
    </row>
    <row r="864" spans="1:10" x14ac:dyDescent="0.25">
      <c r="A864" t="s">
        <v>918</v>
      </c>
      <c r="B864" t="s">
        <v>1206</v>
      </c>
      <c r="C864" t="s">
        <v>1193</v>
      </c>
      <c r="D864" t="s">
        <v>1194</v>
      </c>
      <c r="E864">
        <v>5</v>
      </c>
      <c r="F864">
        <v>375000</v>
      </c>
      <c r="G864">
        <v>5000</v>
      </c>
      <c r="H864">
        <v>370000</v>
      </c>
      <c r="I864" t="s">
        <v>338</v>
      </c>
      <c r="J864" t="s">
        <v>33</v>
      </c>
    </row>
    <row r="865" spans="1:10" x14ac:dyDescent="0.25">
      <c r="A865" t="s">
        <v>919</v>
      </c>
      <c r="B865" t="s">
        <v>1206</v>
      </c>
      <c r="C865" t="s">
        <v>1204</v>
      </c>
      <c r="D865" t="s">
        <v>1210</v>
      </c>
      <c r="E865">
        <v>5</v>
      </c>
      <c r="F865">
        <v>925000</v>
      </c>
      <c r="G865">
        <v>0</v>
      </c>
      <c r="H865">
        <v>925000</v>
      </c>
      <c r="I865" t="s">
        <v>1361</v>
      </c>
      <c r="J865" t="s">
        <v>10</v>
      </c>
    </row>
    <row r="866" spans="1:10" x14ac:dyDescent="0.25">
      <c r="A866" t="s">
        <v>920</v>
      </c>
      <c r="B866" t="s">
        <v>1192</v>
      </c>
      <c r="C866" t="s">
        <v>29</v>
      </c>
      <c r="D866" t="s">
        <v>1197</v>
      </c>
      <c r="E866">
        <v>9</v>
      </c>
      <c r="F866">
        <v>1080000</v>
      </c>
      <c r="G866">
        <v>0</v>
      </c>
      <c r="H866">
        <v>1080000</v>
      </c>
      <c r="I866" t="s">
        <v>56</v>
      </c>
      <c r="J866" t="s">
        <v>10</v>
      </c>
    </row>
    <row r="867" spans="1:10" x14ac:dyDescent="0.25">
      <c r="A867" t="s">
        <v>921</v>
      </c>
      <c r="B867" t="s">
        <v>1199</v>
      </c>
      <c r="C867" t="s">
        <v>29</v>
      </c>
      <c r="D867" t="s">
        <v>1203</v>
      </c>
      <c r="E867">
        <v>10</v>
      </c>
      <c r="F867">
        <v>1850000</v>
      </c>
      <c r="G867">
        <v>0</v>
      </c>
      <c r="H867">
        <v>1850000</v>
      </c>
      <c r="I867" t="s">
        <v>1236</v>
      </c>
      <c r="J867" t="s">
        <v>20</v>
      </c>
    </row>
    <row r="868" spans="1:10" x14ac:dyDescent="0.25">
      <c r="A868" t="s">
        <v>922</v>
      </c>
      <c r="B868" t="s">
        <v>1192</v>
      </c>
      <c r="C868" t="s">
        <v>1193</v>
      </c>
      <c r="D868" t="s">
        <v>1194</v>
      </c>
      <c r="E868">
        <v>10</v>
      </c>
      <c r="F868">
        <v>450000</v>
      </c>
      <c r="G868">
        <v>0</v>
      </c>
      <c r="H868">
        <v>450000</v>
      </c>
      <c r="I868" t="s">
        <v>1439</v>
      </c>
      <c r="J868" t="s">
        <v>10</v>
      </c>
    </row>
    <row r="869" spans="1:10" x14ac:dyDescent="0.25">
      <c r="A869" t="s">
        <v>923</v>
      </c>
      <c r="B869" t="s">
        <v>1206</v>
      </c>
      <c r="C869" t="s">
        <v>29</v>
      </c>
      <c r="D869" t="s">
        <v>1210</v>
      </c>
      <c r="E869">
        <v>7</v>
      </c>
      <c r="F869">
        <v>315000</v>
      </c>
      <c r="G869">
        <v>0</v>
      </c>
      <c r="H869">
        <v>315000</v>
      </c>
      <c r="I869" t="s">
        <v>1370</v>
      </c>
      <c r="J869" t="s">
        <v>20</v>
      </c>
    </row>
    <row r="870" spans="1:10" x14ac:dyDescent="0.25">
      <c r="A870" t="s">
        <v>924</v>
      </c>
      <c r="B870" t="s">
        <v>1195</v>
      </c>
      <c r="C870" t="s">
        <v>1193</v>
      </c>
      <c r="D870" t="s">
        <v>1194</v>
      </c>
      <c r="E870">
        <v>6</v>
      </c>
      <c r="F870">
        <v>720000</v>
      </c>
      <c r="G870">
        <v>0</v>
      </c>
      <c r="H870">
        <v>720000</v>
      </c>
      <c r="I870" t="s">
        <v>1274</v>
      </c>
      <c r="J870" t="s">
        <v>20</v>
      </c>
    </row>
    <row r="871" spans="1:10" x14ac:dyDescent="0.25">
      <c r="A871" t="s">
        <v>925</v>
      </c>
      <c r="B871" t="s">
        <v>1192</v>
      </c>
      <c r="C871" t="s">
        <v>1193</v>
      </c>
      <c r="D871" t="s">
        <v>1210</v>
      </c>
      <c r="E871">
        <v>10</v>
      </c>
      <c r="F871">
        <v>1200000</v>
      </c>
      <c r="G871">
        <v>10000</v>
      </c>
      <c r="H871">
        <v>1190000</v>
      </c>
      <c r="I871" t="s">
        <v>1259</v>
      </c>
      <c r="J871" t="s">
        <v>5</v>
      </c>
    </row>
    <row r="872" spans="1:10" x14ac:dyDescent="0.25">
      <c r="A872" t="s">
        <v>926</v>
      </c>
      <c r="B872" t="s">
        <v>1195</v>
      </c>
      <c r="C872" t="s">
        <v>1196</v>
      </c>
      <c r="D872" t="s">
        <v>1213</v>
      </c>
      <c r="E872">
        <v>8</v>
      </c>
      <c r="F872">
        <v>1480000</v>
      </c>
      <c r="G872">
        <v>0</v>
      </c>
      <c r="H872">
        <v>1480000</v>
      </c>
      <c r="I872" t="s">
        <v>1466</v>
      </c>
      <c r="J872" t="s">
        <v>33</v>
      </c>
    </row>
    <row r="873" spans="1:10" x14ac:dyDescent="0.25">
      <c r="A873" t="s">
        <v>927</v>
      </c>
      <c r="B873" t="s">
        <v>1199</v>
      </c>
      <c r="C873" t="s">
        <v>29</v>
      </c>
      <c r="D873" t="s">
        <v>1194</v>
      </c>
      <c r="E873">
        <v>5</v>
      </c>
      <c r="F873">
        <v>225000</v>
      </c>
      <c r="G873">
        <v>0</v>
      </c>
      <c r="H873">
        <v>225000</v>
      </c>
      <c r="I873" t="s">
        <v>61</v>
      </c>
      <c r="J873" t="s">
        <v>5</v>
      </c>
    </row>
    <row r="874" spans="1:10" x14ac:dyDescent="0.25">
      <c r="A874" t="s">
        <v>928</v>
      </c>
      <c r="B874" t="s">
        <v>1199</v>
      </c>
      <c r="C874" t="s">
        <v>1193</v>
      </c>
      <c r="D874" t="s">
        <v>1197</v>
      </c>
      <c r="E874">
        <v>3</v>
      </c>
      <c r="F874">
        <v>225000</v>
      </c>
      <c r="G874">
        <v>5000</v>
      </c>
      <c r="H874">
        <v>220000</v>
      </c>
      <c r="I874" t="s">
        <v>1437</v>
      </c>
      <c r="J874" t="s">
        <v>10</v>
      </c>
    </row>
    <row r="875" spans="1:10" x14ac:dyDescent="0.25">
      <c r="A875" t="s">
        <v>929</v>
      </c>
      <c r="B875" t="s">
        <v>1195</v>
      </c>
      <c r="C875" t="s">
        <v>1193</v>
      </c>
      <c r="D875" t="s">
        <v>1210</v>
      </c>
      <c r="E875">
        <v>8</v>
      </c>
      <c r="F875">
        <v>1480000</v>
      </c>
      <c r="G875">
        <v>0</v>
      </c>
      <c r="H875">
        <v>1480000</v>
      </c>
      <c r="I875" t="s">
        <v>1398</v>
      </c>
      <c r="J875" t="s">
        <v>5</v>
      </c>
    </row>
    <row r="876" spans="1:10" x14ac:dyDescent="0.25">
      <c r="A876" t="s">
        <v>930</v>
      </c>
      <c r="B876" t="s">
        <v>1206</v>
      </c>
      <c r="C876" t="s">
        <v>1208</v>
      </c>
      <c r="D876" t="s">
        <v>1203</v>
      </c>
      <c r="E876">
        <v>2</v>
      </c>
      <c r="F876">
        <v>370000</v>
      </c>
      <c r="G876">
        <v>15000</v>
      </c>
      <c r="H876">
        <v>355000</v>
      </c>
      <c r="I876" t="s">
        <v>271</v>
      </c>
      <c r="J876" t="s">
        <v>10</v>
      </c>
    </row>
    <row r="877" spans="1:10" x14ac:dyDescent="0.25">
      <c r="A877" t="s">
        <v>931</v>
      </c>
      <c r="B877" t="s">
        <v>1199</v>
      </c>
      <c r="C877" t="s">
        <v>1200</v>
      </c>
      <c r="D877" t="s">
        <v>1197</v>
      </c>
      <c r="E877">
        <v>4</v>
      </c>
      <c r="F877">
        <v>480000</v>
      </c>
      <c r="G877">
        <v>0</v>
      </c>
      <c r="H877">
        <v>480000</v>
      </c>
      <c r="I877" t="s">
        <v>1283</v>
      </c>
      <c r="J877" t="s">
        <v>5</v>
      </c>
    </row>
    <row r="878" spans="1:10" x14ac:dyDescent="0.25">
      <c r="A878" t="s">
        <v>932</v>
      </c>
      <c r="B878" t="s">
        <v>1192</v>
      </c>
      <c r="C878" t="s">
        <v>1285</v>
      </c>
      <c r="D878" t="s">
        <v>1213</v>
      </c>
      <c r="E878">
        <v>1</v>
      </c>
      <c r="F878">
        <v>45000</v>
      </c>
      <c r="G878">
        <v>0</v>
      </c>
      <c r="H878">
        <v>45000</v>
      </c>
      <c r="I878" t="s">
        <v>1395</v>
      </c>
      <c r="J878" t="s">
        <v>20</v>
      </c>
    </row>
    <row r="879" spans="1:10" x14ac:dyDescent="0.25">
      <c r="A879" t="s">
        <v>933</v>
      </c>
      <c r="B879" t="s">
        <v>1192</v>
      </c>
      <c r="C879" t="s">
        <v>29</v>
      </c>
      <c r="D879" t="s">
        <v>1213</v>
      </c>
      <c r="E879">
        <v>5</v>
      </c>
      <c r="F879">
        <v>225000</v>
      </c>
      <c r="G879">
        <v>0</v>
      </c>
      <c r="H879">
        <v>225000</v>
      </c>
      <c r="I879" t="s">
        <v>1263</v>
      </c>
      <c r="J879" t="s">
        <v>10</v>
      </c>
    </row>
    <row r="880" spans="1:10" x14ac:dyDescent="0.25">
      <c r="A880" t="s">
        <v>934</v>
      </c>
      <c r="B880" t="s">
        <v>1195</v>
      </c>
      <c r="C880" t="s">
        <v>1200</v>
      </c>
      <c r="D880" t="s">
        <v>1194</v>
      </c>
      <c r="E880">
        <v>10</v>
      </c>
      <c r="F880">
        <v>750000</v>
      </c>
      <c r="G880">
        <v>0</v>
      </c>
      <c r="H880">
        <v>750000</v>
      </c>
      <c r="I880" t="s">
        <v>1139</v>
      </c>
      <c r="J880" t="s">
        <v>33</v>
      </c>
    </row>
    <row r="881" spans="1:10" x14ac:dyDescent="0.25">
      <c r="A881" t="s">
        <v>935</v>
      </c>
      <c r="B881" t="s">
        <v>1199</v>
      </c>
      <c r="C881" t="s">
        <v>29</v>
      </c>
      <c r="D881" t="s">
        <v>1197</v>
      </c>
      <c r="E881">
        <v>9</v>
      </c>
      <c r="F881">
        <v>1665000</v>
      </c>
      <c r="G881">
        <v>15000</v>
      </c>
      <c r="H881">
        <v>1650000</v>
      </c>
      <c r="I881" t="s">
        <v>1277</v>
      </c>
      <c r="J881" t="s">
        <v>20</v>
      </c>
    </row>
    <row r="882" spans="1:10" x14ac:dyDescent="0.25">
      <c r="A882" t="s">
        <v>936</v>
      </c>
      <c r="B882" t="s">
        <v>1206</v>
      </c>
      <c r="C882" t="s">
        <v>29</v>
      </c>
      <c r="D882" t="s">
        <v>1210</v>
      </c>
      <c r="E882">
        <v>7</v>
      </c>
      <c r="F882">
        <v>315000</v>
      </c>
      <c r="G882">
        <v>0</v>
      </c>
      <c r="H882">
        <v>315000</v>
      </c>
      <c r="I882" t="s">
        <v>688</v>
      </c>
      <c r="J882" t="s">
        <v>10</v>
      </c>
    </row>
    <row r="883" spans="1:10" x14ac:dyDescent="0.25">
      <c r="A883" t="s">
        <v>937</v>
      </c>
      <c r="B883" t="s">
        <v>1195</v>
      </c>
      <c r="C883" t="s">
        <v>29</v>
      </c>
      <c r="D883" t="s">
        <v>1210</v>
      </c>
      <c r="E883">
        <v>4</v>
      </c>
      <c r="F883">
        <v>480000</v>
      </c>
      <c r="G883">
        <v>0</v>
      </c>
      <c r="H883">
        <v>480000</v>
      </c>
      <c r="I883" t="s">
        <v>1363</v>
      </c>
      <c r="J883" t="s">
        <v>33</v>
      </c>
    </row>
    <row r="884" spans="1:10" x14ac:dyDescent="0.25">
      <c r="A884" t="s">
        <v>938</v>
      </c>
      <c r="B884" t="s">
        <v>1192</v>
      </c>
      <c r="C884" t="s">
        <v>1193</v>
      </c>
      <c r="D884" t="s">
        <v>1203</v>
      </c>
      <c r="E884">
        <v>2</v>
      </c>
      <c r="F884">
        <v>240000</v>
      </c>
      <c r="G884">
        <v>0</v>
      </c>
      <c r="H884" t="s">
        <v>1467</v>
      </c>
      <c r="I884" t="s">
        <v>1154</v>
      </c>
      <c r="J884" t="s">
        <v>10</v>
      </c>
    </row>
    <row r="885" spans="1:10" x14ac:dyDescent="0.25">
      <c r="A885" t="s">
        <v>939</v>
      </c>
      <c r="B885" t="s">
        <v>1199</v>
      </c>
      <c r="C885" t="s">
        <v>1193</v>
      </c>
      <c r="D885" t="s">
        <v>1197</v>
      </c>
      <c r="E885">
        <v>7</v>
      </c>
      <c r="F885">
        <v>840000</v>
      </c>
      <c r="G885">
        <v>0</v>
      </c>
      <c r="H885">
        <v>840000</v>
      </c>
      <c r="I885" t="s">
        <v>1274</v>
      </c>
      <c r="J885" t="s">
        <v>10</v>
      </c>
    </row>
    <row r="886" spans="1:10" x14ac:dyDescent="0.25">
      <c r="A886" t="s">
        <v>940</v>
      </c>
      <c r="B886" t="s">
        <v>1199</v>
      </c>
      <c r="C886" t="s">
        <v>1200</v>
      </c>
      <c r="D886" t="s">
        <v>1194</v>
      </c>
      <c r="E886">
        <v>1</v>
      </c>
      <c r="F886">
        <v>75000</v>
      </c>
      <c r="G886">
        <v>0</v>
      </c>
      <c r="H886">
        <v>75000</v>
      </c>
      <c r="I886" t="s">
        <v>195</v>
      </c>
      <c r="J886" t="s">
        <v>20</v>
      </c>
    </row>
    <row r="887" spans="1:10" x14ac:dyDescent="0.25">
      <c r="A887" t="s">
        <v>941</v>
      </c>
      <c r="B887" t="s">
        <v>1206</v>
      </c>
      <c r="C887" t="s">
        <v>29</v>
      </c>
      <c r="D887" t="s">
        <v>1194</v>
      </c>
      <c r="E887">
        <v>7</v>
      </c>
      <c r="F887">
        <v>1750000</v>
      </c>
      <c r="G887">
        <v>0</v>
      </c>
      <c r="H887">
        <v>1750000</v>
      </c>
      <c r="I887" t="s">
        <v>1348</v>
      </c>
      <c r="J887" t="s">
        <v>33</v>
      </c>
    </row>
    <row r="888" spans="1:10" x14ac:dyDescent="0.25">
      <c r="A888" t="s">
        <v>942</v>
      </c>
      <c r="B888" t="s">
        <v>1199</v>
      </c>
      <c r="C888" t="s">
        <v>1204</v>
      </c>
      <c r="D888" t="s">
        <v>1210</v>
      </c>
      <c r="E888">
        <v>6</v>
      </c>
      <c r="F888">
        <v>720000</v>
      </c>
      <c r="G888">
        <v>0</v>
      </c>
      <c r="H888">
        <v>720000</v>
      </c>
      <c r="I888" t="s">
        <v>1361</v>
      </c>
      <c r="J888" t="s">
        <v>10</v>
      </c>
    </row>
    <row r="889" spans="1:10" x14ac:dyDescent="0.25">
      <c r="A889" t="s">
        <v>943</v>
      </c>
      <c r="B889" t="s">
        <v>1192</v>
      </c>
      <c r="C889" t="s">
        <v>1196</v>
      </c>
      <c r="D889" t="s">
        <v>1213</v>
      </c>
      <c r="E889">
        <v>10</v>
      </c>
      <c r="F889">
        <v>2500000</v>
      </c>
      <c r="G889">
        <v>0</v>
      </c>
      <c r="H889">
        <v>2500000</v>
      </c>
      <c r="I889" t="s">
        <v>1201</v>
      </c>
      <c r="J889" t="s">
        <v>10</v>
      </c>
    </row>
    <row r="890" spans="1:10" x14ac:dyDescent="0.25">
      <c r="A890" t="s">
        <v>944</v>
      </c>
      <c r="B890" t="s">
        <v>1195</v>
      </c>
      <c r="C890" t="s">
        <v>1196</v>
      </c>
      <c r="D890" t="s">
        <v>1197</v>
      </c>
      <c r="E890">
        <v>7</v>
      </c>
      <c r="F890">
        <v>840000</v>
      </c>
      <c r="G890">
        <v>0</v>
      </c>
      <c r="H890">
        <v>840000</v>
      </c>
      <c r="I890" t="s">
        <v>1468</v>
      </c>
      <c r="J890" t="s">
        <v>5</v>
      </c>
    </row>
    <row r="891" spans="1:10" x14ac:dyDescent="0.25">
      <c r="A891" t="s">
        <v>945</v>
      </c>
      <c r="B891" t="s">
        <v>1199</v>
      </c>
      <c r="C891" t="s">
        <v>1265</v>
      </c>
      <c r="D891" t="s">
        <v>1210</v>
      </c>
      <c r="E891">
        <v>7</v>
      </c>
      <c r="F891">
        <v>1295000</v>
      </c>
      <c r="G891">
        <v>0</v>
      </c>
      <c r="H891">
        <v>1295000</v>
      </c>
      <c r="I891" t="s">
        <v>1294</v>
      </c>
      <c r="J891" t="s">
        <v>5</v>
      </c>
    </row>
    <row r="892" spans="1:10" x14ac:dyDescent="0.25">
      <c r="A892" t="s">
        <v>946</v>
      </c>
      <c r="B892" t="s">
        <v>1230</v>
      </c>
      <c r="C892" t="s">
        <v>1208</v>
      </c>
      <c r="D892" t="s">
        <v>1203</v>
      </c>
      <c r="E892">
        <v>4</v>
      </c>
      <c r="F892">
        <v>740000</v>
      </c>
      <c r="G892">
        <v>0</v>
      </c>
      <c r="H892">
        <v>740000</v>
      </c>
      <c r="I892" t="s">
        <v>300</v>
      </c>
      <c r="J892" t="s">
        <v>20</v>
      </c>
    </row>
    <row r="893" spans="1:10" x14ac:dyDescent="0.25">
      <c r="A893" t="s">
        <v>947</v>
      </c>
      <c r="B893" t="s">
        <v>1230</v>
      </c>
      <c r="C893" t="s">
        <v>1200</v>
      </c>
      <c r="D893" t="s">
        <v>1197</v>
      </c>
      <c r="E893">
        <v>5</v>
      </c>
      <c r="F893">
        <v>225000</v>
      </c>
      <c r="G893">
        <v>0</v>
      </c>
      <c r="H893">
        <v>225000</v>
      </c>
      <c r="I893" t="s">
        <v>1124</v>
      </c>
      <c r="J893" t="s">
        <v>33</v>
      </c>
    </row>
    <row r="894" spans="1:10" x14ac:dyDescent="0.25">
      <c r="A894" t="s">
        <v>948</v>
      </c>
      <c r="B894" t="s">
        <v>1199</v>
      </c>
      <c r="C894" t="s">
        <v>1204</v>
      </c>
      <c r="D894" t="s">
        <v>1194</v>
      </c>
      <c r="E894">
        <v>5</v>
      </c>
      <c r="F894">
        <v>925000</v>
      </c>
      <c r="G894">
        <v>0</v>
      </c>
      <c r="H894">
        <v>925000</v>
      </c>
      <c r="I894" t="s">
        <v>1328</v>
      </c>
      <c r="J894" t="s">
        <v>10</v>
      </c>
    </row>
    <row r="895" spans="1:10" x14ac:dyDescent="0.25">
      <c r="A895" t="s">
        <v>949</v>
      </c>
      <c r="B895" t="s">
        <v>1239</v>
      </c>
      <c r="C895" t="s">
        <v>1262</v>
      </c>
      <c r="D895" t="s">
        <v>1203</v>
      </c>
      <c r="E895">
        <v>5</v>
      </c>
      <c r="F895">
        <v>375000</v>
      </c>
      <c r="G895">
        <v>5000</v>
      </c>
      <c r="H895">
        <v>370000</v>
      </c>
      <c r="I895" t="s">
        <v>1241</v>
      </c>
      <c r="J895" t="s">
        <v>5</v>
      </c>
    </row>
    <row r="896" spans="1:10" x14ac:dyDescent="0.25">
      <c r="A896" t="s">
        <v>950</v>
      </c>
      <c r="B896" t="s">
        <v>1206</v>
      </c>
      <c r="C896" t="s">
        <v>1208</v>
      </c>
      <c r="D896" t="s">
        <v>1210</v>
      </c>
      <c r="E896">
        <v>6</v>
      </c>
      <c r="F896">
        <v>270000</v>
      </c>
      <c r="G896">
        <v>0</v>
      </c>
      <c r="H896">
        <v>270000</v>
      </c>
      <c r="I896" t="s">
        <v>267</v>
      </c>
      <c r="J896" t="s">
        <v>33</v>
      </c>
    </row>
    <row r="897" spans="1:10" x14ac:dyDescent="0.25">
      <c r="A897" t="s">
        <v>951</v>
      </c>
      <c r="B897" t="s">
        <v>1206</v>
      </c>
      <c r="C897" t="s">
        <v>1204</v>
      </c>
      <c r="D897" t="s">
        <v>1203</v>
      </c>
      <c r="E897">
        <v>10</v>
      </c>
      <c r="F897">
        <v>750000</v>
      </c>
      <c r="G897">
        <v>15000</v>
      </c>
      <c r="H897">
        <v>735000</v>
      </c>
      <c r="I897" t="s">
        <v>1362</v>
      </c>
      <c r="J897" t="s">
        <v>10</v>
      </c>
    </row>
    <row r="898" spans="1:10" x14ac:dyDescent="0.25">
      <c r="A898" t="s">
        <v>952</v>
      </c>
      <c r="B898" t="s">
        <v>1195</v>
      </c>
      <c r="C898" t="s">
        <v>1200</v>
      </c>
      <c r="D898" t="s">
        <v>1197</v>
      </c>
      <c r="E898">
        <v>1</v>
      </c>
      <c r="F898">
        <v>250000</v>
      </c>
      <c r="G898">
        <v>10000</v>
      </c>
      <c r="H898">
        <v>240000</v>
      </c>
      <c r="I898" t="s">
        <v>566</v>
      </c>
      <c r="J898" t="s">
        <v>20</v>
      </c>
    </row>
    <row r="899" spans="1:10" x14ac:dyDescent="0.25">
      <c r="A899" t="s">
        <v>953</v>
      </c>
      <c r="B899" t="s">
        <v>1199</v>
      </c>
      <c r="C899" t="s">
        <v>1208</v>
      </c>
      <c r="D899" t="s">
        <v>1210</v>
      </c>
      <c r="E899">
        <v>7</v>
      </c>
      <c r="F899">
        <v>525000</v>
      </c>
      <c r="G899">
        <v>0</v>
      </c>
      <c r="H899">
        <v>525000</v>
      </c>
      <c r="I899" t="s">
        <v>1430</v>
      </c>
      <c r="J899" t="s">
        <v>33</v>
      </c>
    </row>
    <row r="900" spans="1:10" x14ac:dyDescent="0.25">
      <c r="A900" t="s">
        <v>954</v>
      </c>
      <c r="B900" t="s">
        <v>1192</v>
      </c>
      <c r="C900" t="s">
        <v>29</v>
      </c>
      <c r="D900" t="s">
        <v>1203</v>
      </c>
      <c r="E900">
        <v>3</v>
      </c>
      <c r="F900">
        <v>360000</v>
      </c>
      <c r="G900">
        <v>0</v>
      </c>
      <c r="H900">
        <v>360000</v>
      </c>
      <c r="I900" t="s">
        <v>1331</v>
      </c>
      <c r="J900" t="s">
        <v>20</v>
      </c>
    </row>
    <row r="901" spans="1:10" x14ac:dyDescent="0.25">
      <c r="A901" t="s">
        <v>955</v>
      </c>
      <c r="B901" t="s">
        <v>1195</v>
      </c>
      <c r="C901" t="s">
        <v>1200</v>
      </c>
      <c r="D901" t="s">
        <v>1210</v>
      </c>
      <c r="E901">
        <v>6</v>
      </c>
      <c r="F901">
        <v>270000</v>
      </c>
      <c r="G901">
        <v>0</v>
      </c>
      <c r="H901">
        <v>270000</v>
      </c>
      <c r="I901" t="s">
        <v>138</v>
      </c>
      <c r="J901" t="s">
        <v>10</v>
      </c>
    </row>
    <row r="902" spans="1:10" x14ac:dyDescent="0.25">
      <c r="A902" t="s">
        <v>956</v>
      </c>
      <c r="B902" t="s">
        <v>1195</v>
      </c>
      <c r="C902" t="s">
        <v>1204</v>
      </c>
      <c r="D902" t="s">
        <v>1213</v>
      </c>
      <c r="E902">
        <v>4</v>
      </c>
      <c r="F902">
        <v>740000</v>
      </c>
      <c r="G902">
        <v>0</v>
      </c>
      <c r="H902">
        <v>740000</v>
      </c>
      <c r="I902" t="s">
        <v>1264</v>
      </c>
      <c r="J902" t="s">
        <v>20</v>
      </c>
    </row>
    <row r="903" spans="1:10" x14ac:dyDescent="0.25">
      <c r="A903" t="s">
        <v>957</v>
      </c>
      <c r="B903" t="s">
        <v>1192</v>
      </c>
      <c r="C903" t="s">
        <v>1208</v>
      </c>
      <c r="D903" t="s">
        <v>1210</v>
      </c>
      <c r="E903">
        <v>9</v>
      </c>
      <c r="F903">
        <v>2250000</v>
      </c>
      <c r="G903">
        <v>0</v>
      </c>
      <c r="H903">
        <v>2250000</v>
      </c>
      <c r="I903" t="s">
        <v>1402</v>
      </c>
      <c r="J903" t="s">
        <v>33</v>
      </c>
    </row>
    <row r="904" spans="1:10" x14ac:dyDescent="0.25">
      <c r="A904" t="s">
        <v>958</v>
      </c>
      <c r="B904" t="s">
        <v>1206</v>
      </c>
      <c r="C904" t="s">
        <v>1200</v>
      </c>
      <c r="D904" t="s">
        <v>1194</v>
      </c>
      <c r="E904">
        <v>1</v>
      </c>
      <c r="F904">
        <v>120000</v>
      </c>
      <c r="G904">
        <v>0</v>
      </c>
      <c r="H904" t="s">
        <v>92</v>
      </c>
      <c r="I904" t="s">
        <v>331</v>
      </c>
      <c r="J904" t="s">
        <v>10</v>
      </c>
    </row>
    <row r="905" spans="1:10" x14ac:dyDescent="0.25">
      <c r="A905" t="s">
        <v>959</v>
      </c>
      <c r="B905" t="s">
        <v>1192</v>
      </c>
      <c r="C905" t="s">
        <v>1285</v>
      </c>
      <c r="D905" t="s">
        <v>1197</v>
      </c>
      <c r="E905">
        <v>5</v>
      </c>
      <c r="F905">
        <v>600000</v>
      </c>
      <c r="G905">
        <v>0</v>
      </c>
      <c r="H905">
        <v>600000</v>
      </c>
      <c r="I905" t="s">
        <v>156</v>
      </c>
      <c r="J905" t="s">
        <v>10</v>
      </c>
    </row>
    <row r="906" spans="1:10" x14ac:dyDescent="0.25">
      <c r="A906" t="s">
        <v>960</v>
      </c>
      <c r="B906" t="s">
        <v>1192</v>
      </c>
      <c r="C906" t="s">
        <v>1200</v>
      </c>
      <c r="D906" t="s">
        <v>1194</v>
      </c>
      <c r="E906">
        <v>6</v>
      </c>
      <c r="F906">
        <v>450000</v>
      </c>
      <c r="G906">
        <v>0</v>
      </c>
      <c r="H906">
        <v>450000</v>
      </c>
      <c r="I906" t="s">
        <v>220</v>
      </c>
      <c r="J906" t="s">
        <v>5</v>
      </c>
    </row>
    <row r="907" spans="1:10" x14ac:dyDescent="0.25">
      <c r="A907" t="s">
        <v>961</v>
      </c>
      <c r="B907" t="s">
        <v>1192</v>
      </c>
      <c r="C907" t="s">
        <v>1204</v>
      </c>
      <c r="D907" t="s">
        <v>1194</v>
      </c>
      <c r="E907">
        <v>1</v>
      </c>
      <c r="F907">
        <v>75000</v>
      </c>
      <c r="G907">
        <v>0</v>
      </c>
      <c r="H907">
        <v>75000</v>
      </c>
      <c r="I907" t="s">
        <v>1469</v>
      </c>
      <c r="J907" t="s">
        <v>5</v>
      </c>
    </row>
    <row r="908" spans="1:10" x14ac:dyDescent="0.25">
      <c r="A908" t="s">
        <v>962</v>
      </c>
      <c r="B908" t="s">
        <v>1195</v>
      </c>
      <c r="C908" t="s">
        <v>1196</v>
      </c>
      <c r="D908" t="s">
        <v>1203</v>
      </c>
      <c r="E908">
        <v>8</v>
      </c>
      <c r="F908">
        <v>2000000</v>
      </c>
      <c r="G908">
        <v>0</v>
      </c>
      <c r="H908">
        <v>2000000</v>
      </c>
      <c r="I908" t="s">
        <v>1172</v>
      </c>
      <c r="J908" t="s">
        <v>10</v>
      </c>
    </row>
    <row r="909" spans="1:10" x14ac:dyDescent="0.25">
      <c r="A909" t="s">
        <v>963</v>
      </c>
      <c r="B909" t="s">
        <v>1192</v>
      </c>
      <c r="C909" t="s">
        <v>1196</v>
      </c>
      <c r="D909" t="s">
        <v>1194</v>
      </c>
      <c r="E909">
        <v>2</v>
      </c>
      <c r="F909">
        <v>240000</v>
      </c>
      <c r="G909">
        <v>0</v>
      </c>
      <c r="H909">
        <v>240000</v>
      </c>
      <c r="I909" t="s">
        <v>312</v>
      </c>
      <c r="J909" t="s">
        <v>5</v>
      </c>
    </row>
    <row r="910" spans="1:10" x14ac:dyDescent="0.25">
      <c r="A910" t="s">
        <v>964</v>
      </c>
      <c r="B910" t="s">
        <v>1192</v>
      </c>
      <c r="C910" t="s">
        <v>1196</v>
      </c>
      <c r="D910" t="s">
        <v>1213</v>
      </c>
      <c r="E910">
        <v>4</v>
      </c>
      <c r="F910">
        <v>1000000</v>
      </c>
      <c r="G910">
        <v>0</v>
      </c>
      <c r="H910">
        <v>1000000</v>
      </c>
      <c r="I910" t="s">
        <v>1316</v>
      </c>
      <c r="J910" t="s">
        <v>10</v>
      </c>
    </row>
    <row r="911" spans="1:10" x14ac:dyDescent="0.25">
      <c r="A911" t="s">
        <v>965</v>
      </c>
      <c r="B911" t="s">
        <v>1199</v>
      </c>
      <c r="C911" t="s">
        <v>1200</v>
      </c>
      <c r="D911" t="s">
        <v>1210</v>
      </c>
      <c r="E911">
        <v>8</v>
      </c>
      <c r="F911">
        <v>600000</v>
      </c>
      <c r="G911">
        <v>0</v>
      </c>
      <c r="H911">
        <v>600000</v>
      </c>
      <c r="I911" t="s">
        <v>1205</v>
      </c>
      <c r="J911" t="s">
        <v>33</v>
      </c>
    </row>
    <row r="912" spans="1:10" x14ac:dyDescent="0.25">
      <c r="A912" t="s">
        <v>966</v>
      </c>
      <c r="B912" t="s">
        <v>1199</v>
      </c>
      <c r="C912" t="s">
        <v>29</v>
      </c>
      <c r="D912" t="s">
        <v>1213</v>
      </c>
      <c r="E912">
        <v>7</v>
      </c>
      <c r="F912">
        <v>315000</v>
      </c>
      <c r="G912">
        <v>0</v>
      </c>
      <c r="H912">
        <v>315000</v>
      </c>
      <c r="I912" t="s">
        <v>1384</v>
      </c>
      <c r="J912" t="s">
        <v>10</v>
      </c>
    </row>
    <row r="913" spans="1:10" x14ac:dyDescent="0.25">
      <c r="A913" t="s">
        <v>967</v>
      </c>
      <c r="B913" t="s">
        <v>1195</v>
      </c>
      <c r="C913" t="s">
        <v>1204</v>
      </c>
      <c r="D913" t="s">
        <v>1210</v>
      </c>
      <c r="E913">
        <v>7</v>
      </c>
      <c r="F913">
        <v>1295000</v>
      </c>
      <c r="G913">
        <v>0</v>
      </c>
      <c r="H913">
        <v>1295000</v>
      </c>
      <c r="I913" t="s">
        <v>1172</v>
      </c>
      <c r="J913" t="s">
        <v>10</v>
      </c>
    </row>
    <row r="914" spans="1:10" x14ac:dyDescent="0.25">
      <c r="A914" t="s">
        <v>968</v>
      </c>
      <c r="B914" t="s">
        <v>1199</v>
      </c>
      <c r="C914" t="s">
        <v>29</v>
      </c>
      <c r="D914" t="s">
        <v>1210</v>
      </c>
      <c r="E914">
        <v>9</v>
      </c>
      <c r="F914">
        <v>405000</v>
      </c>
      <c r="G914">
        <v>0</v>
      </c>
      <c r="H914">
        <v>405000</v>
      </c>
      <c r="I914" t="s">
        <v>1361</v>
      </c>
      <c r="J914" t="s">
        <v>33</v>
      </c>
    </row>
    <row r="915" spans="1:10" x14ac:dyDescent="0.25">
      <c r="A915" t="s">
        <v>969</v>
      </c>
      <c r="B915" t="s">
        <v>1199</v>
      </c>
      <c r="C915" t="s">
        <v>1226</v>
      </c>
      <c r="D915" t="s">
        <v>1197</v>
      </c>
      <c r="E915">
        <v>1</v>
      </c>
      <c r="F915">
        <v>45000</v>
      </c>
      <c r="G915">
        <v>5000</v>
      </c>
      <c r="H915">
        <v>40000</v>
      </c>
      <c r="I915" t="s">
        <v>1424</v>
      </c>
      <c r="J915" t="s">
        <v>33</v>
      </c>
    </row>
    <row r="916" spans="1:10" x14ac:dyDescent="0.25">
      <c r="A916" t="s">
        <v>79</v>
      </c>
      <c r="B916" t="s">
        <v>1199</v>
      </c>
      <c r="C916" t="s">
        <v>1200</v>
      </c>
      <c r="D916" t="s">
        <v>1213</v>
      </c>
      <c r="E916">
        <v>7</v>
      </c>
      <c r="F916">
        <v>1750000</v>
      </c>
      <c r="G916">
        <v>0</v>
      </c>
      <c r="H916" t="s">
        <v>1470</v>
      </c>
      <c r="I916" t="s">
        <v>391</v>
      </c>
      <c r="J916" t="s">
        <v>5</v>
      </c>
    </row>
    <row r="917" spans="1:10" x14ac:dyDescent="0.25">
      <c r="A917" t="s">
        <v>970</v>
      </c>
      <c r="B917" t="s">
        <v>1192</v>
      </c>
      <c r="C917" t="s">
        <v>1196</v>
      </c>
      <c r="D917" t="s">
        <v>1213</v>
      </c>
      <c r="E917">
        <v>4</v>
      </c>
      <c r="F917">
        <v>180000</v>
      </c>
      <c r="G917">
        <v>0</v>
      </c>
      <c r="H917" t="s">
        <v>1247</v>
      </c>
      <c r="I917" t="s">
        <v>1471</v>
      </c>
      <c r="J917" t="s">
        <v>10</v>
      </c>
    </row>
    <row r="918" spans="1:10" x14ac:dyDescent="0.25">
      <c r="A918" t="s">
        <v>971</v>
      </c>
      <c r="B918" t="s">
        <v>1199</v>
      </c>
      <c r="C918" t="s">
        <v>29</v>
      </c>
      <c r="D918" t="s">
        <v>1213</v>
      </c>
      <c r="E918">
        <v>1</v>
      </c>
      <c r="F918">
        <v>75000</v>
      </c>
      <c r="G918">
        <v>10000</v>
      </c>
      <c r="H918">
        <v>65000</v>
      </c>
      <c r="I918" t="s">
        <v>1255</v>
      </c>
      <c r="J918" t="s">
        <v>33</v>
      </c>
    </row>
    <row r="919" spans="1:10" x14ac:dyDescent="0.25">
      <c r="A919" t="s">
        <v>972</v>
      </c>
      <c r="B919" t="s">
        <v>1192</v>
      </c>
      <c r="C919" t="s">
        <v>1208</v>
      </c>
      <c r="D919" t="s">
        <v>1197</v>
      </c>
      <c r="E919">
        <v>9</v>
      </c>
      <c r="F919">
        <v>2250000</v>
      </c>
      <c r="G919">
        <v>10000</v>
      </c>
      <c r="H919">
        <v>2240000</v>
      </c>
      <c r="I919" t="s">
        <v>1366</v>
      </c>
      <c r="J919" t="s">
        <v>20</v>
      </c>
    </row>
    <row r="920" spans="1:10" x14ac:dyDescent="0.25">
      <c r="A920" t="s">
        <v>973</v>
      </c>
      <c r="B920" t="s">
        <v>1206</v>
      </c>
      <c r="C920" t="s">
        <v>29</v>
      </c>
      <c r="D920" t="s">
        <v>1197</v>
      </c>
      <c r="E920">
        <v>2</v>
      </c>
      <c r="F920">
        <v>240000</v>
      </c>
      <c r="G920">
        <v>0</v>
      </c>
      <c r="H920">
        <v>240000</v>
      </c>
      <c r="I920" t="s">
        <v>1272</v>
      </c>
      <c r="J920" t="s">
        <v>10</v>
      </c>
    </row>
    <row r="921" spans="1:10" x14ac:dyDescent="0.25">
      <c r="A921" t="s">
        <v>974</v>
      </c>
      <c r="B921" t="s">
        <v>1199</v>
      </c>
      <c r="C921" t="s">
        <v>29</v>
      </c>
      <c r="D921" t="s">
        <v>1210</v>
      </c>
      <c r="E921">
        <v>6</v>
      </c>
      <c r="F921">
        <v>1110000</v>
      </c>
      <c r="G921">
        <v>0</v>
      </c>
      <c r="H921">
        <v>1110000</v>
      </c>
      <c r="I921" t="s">
        <v>1314</v>
      </c>
      <c r="J921" t="s">
        <v>33</v>
      </c>
    </row>
    <row r="922" spans="1:10" x14ac:dyDescent="0.25">
      <c r="A922" t="s">
        <v>975</v>
      </c>
      <c r="B922" t="s">
        <v>1199</v>
      </c>
      <c r="C922" t="s">
        <v>1204</v>
      </c>
      <c r="D922" t="s">
        <v>1213</v>
      </c>
      <c r="E922">
        <v>10</v>
      </c>
      <c r="F922">
        <v>1200000</v>
      </c>
      <c r="G922">
        <v>10000</v>
      </c>
      <c r="H922">
        <v>1190000</v>
      </c>
      <c r="I922" t="s">
        <v>1301</v>
      </c>
      <c r="J922" t="s">
        <v>33</v>
      </c>
    </row>
    <row r="923" spans="1:10" x14ac:dyDescent="0.25">
      <c r="A923" t="s">
        <v>976</v>
      </c>
      <c r="B923" t="s">
        <v>1239</v>
      </c>
      <c r="C923" t="s">
        <v>1196</v>
      </c>
      <c r="D923" t="s">
        <v>1197</v>
      </c>
      <c r="E923">
        <v>6</v>
      </c>
      <c r="F923">
        <v>720000</v>
      </c>
      <c r="G923">
        <v>0</v>
      </c>
      <c r="H923">
        <v>720000</v>
      </c>
      <c r="I923" t="s">
        <v>1261</v>
      </c>
      <c r="J923" t="s">
        <v>10</v>
      </c>
    </row>
    <row r="924" spans="1:10" x14ac:dyDescent="0.25">
      <c r="A924" t="s">
        <v>977</v>
      </c>
      <c r="B924" t="s">
        <v>1192</v>
      </c>
      <c r="C924" t="s">
        <v>1208</v>
      </c>
      <c r="D924" t="s">
        <v>1213</v>
      </c>
      <c r="E924">
        <v>10</v>
      </c>
      <c r="F924">
        <v>450000</v>
      </c>
      <c r="G924">
        <v>15000</v>
      </c>
      <c r="H924">
        <v>435000</v>
      </c>
      <c r="I924" t="s">
        <v>1277</v>
      </c>
      <c r="J924" t="s">
        <v>20</v>
      </c>
    </row>
    <row r="925" spans="1:10" x14ac:dyDescent="0.25">
      <c r="A925" t="s">
        <v>978</v>
      </c>
      <c r="B925" t="s">
        <v>1199</v>
      </c>
      <c r="C925" t="s">
        <v>1193</v>
      </c>
      <c r="D925" t="s">
        <v>1210</v>
      </c>
      <c r="E925">
        <v>4</v>
      </c>
      <c r="F925">
        <v>480000</v>
      </c>
      <c r="G925">
        <v>0</v>
      </c>
      <c r="H925">
        <v>480000</v>
      </c>
      <c r="I925" t="s">
        <v>1422</v>
      </c>
      <c r="J925" t="s">
        <v>5</v>
      </c>
    </row>
    <row r="926" spans="1:10" x14ac:dyDescent="0.25">
      <c r="A926" t="s">
        <v>979</v>
      </c>
      <c r="B926" t="s">
        <v>1206</v>
      </c>
      <c r="C926" t="s">
        <v>1196</v>
      </c>
      <c r="D926" t="s">
        <v>1213</v>
      </c>
      <c r="E926">
        <v>1</v>
      </c>
      <c r="F926">
        <v>45000</v>
      </c>
      <c r="G926">
        <v>0</v>
      </c>
      <c r="H926">
        <v>45000</v>
      </c>
      <c r="I926" t="s">
        <v>402</v>
      </c>
      <c r="J926" t="s">
        <v>33</v>
      </c>
    </row>
    <row r="927" spans="1:10" x14ac:dyDescent="0.25">
      <c r="A927" t="s">
        <v>980</v>
      </c>
      <c r="B927" t="s">
        <v>1199</v>
      </c>
      <c r="C927" t="s">
        <v>29</v>
      </c>
      <c r="D927" t="s">
        <v>1197</v>
      </c>
      <c r="E927">
        <v>1</v>
      </c>
      <c r="F927">
        <v>45000</v>
      </c>
      <c r="G927">
        <v>10000</v>
      </c>
      <c r="H927">
        <v>35000</v>
      </c>
      <c r="I927" t="s">
        <v>1410</v>
      </c>
      <c r="J927" t="s">
        <v>10</v>
      </c>
    </row>
    <row r="928" spans="1:10" x14ac:dyDescent="0.25">
      <c r="A928" t="s">
        <v>981</v>
      </c>
      <c r="B928" t="s">
        <v>1192</v>
      </c>
      <c r="C928" t="s">
        <v>1208</v>
      </c>
      <c r="D928" t="s">
        <v>1203</v>
      </c>
      <c r="E928">
        <v>5</v>
      </c>
      <c r="F928">
        <v>925000</v>
      </c>
      <c r="G928">
        <v>0</v>
      </c>
      <c r="H928" t="s">
        <v>1291</v>
      </c>
      <c r="I928" t="s">
        <v>152</v>
      </c>
      <c r="J928" t="s">
        <v>20</v>
      </c>
    </row>
    <row r="929" spans="1:10" x14ac:dyDescent="0.25">
      <c r="A929" t="s">
        <v>982</v>
      </c>
      <c r="B929" t="s">
        <v>1195</v>
      </c>
      <c r="C929" t="s">
        <v>1204</v>
      </c>
      <c r="D929" t="s">
        <v>1210</v>
      </c>
      <c r="E929">
        <v>6</v>
      </c>
      <c r="F929">
        <v>450000</v>
      </c>
      <c r="G929">
        <v>10000</v>
      </c>
      <c r="H929">
        <v>440000</v>
      </c>
      <c r="I929" t="s">
        <v>1418</v>
      </c>
      <c r="J929" t="s">
        <v>33</v>
      </c>
    </row>
    <row r="930" spans="1:10" x14ac:dyDescent="0.25">
      <c r="A930" t="s">
        <v>983</v>
      </c>
      <c r="B930" t="s">
        <v>1195</v>
      </c>
      <c r="C930" t="s">
        <v>1193</v>
      </c>
      <c r="D930" t="s">
        <v>1194</v>
      </c>
      <c r="E930">
        <v>5</v>
      </c>
      <c r="F930">
        <v>925000</v>
      </c>
      <c r="G930">
        <v>0</v>
      </c>
      <c r="H930">
        <v>925000</v>
      </c>
      <c r="I930" t="s">
        <v>152</v>
      </c>
      <c r="J930" t="s">
        <v>20</v>
      </c>
    </row>
    <row r="931" spans="1:10" x14ac:dyDescent="0.25">
      <c r="A931" t="s">
        <v>984</v>
      </c>
      <c r="B931" t="s">
        <v>1199</v>
      </c>
      <c r="C931" t="s">
        <v>29</v>
      </c>
      <c r="D931" t="s">
        <v>1203</v>
      </c>
      <c r="E931">
        <v>3</v>
      </c>
      <c r="F931">
        <v>360000</v>
      </c>
      <c r="G931">
        <v>0</v>
      </c>
      <c r="H931">
        <v>360000</v>
      </c>
      <c r="I931" t="s">
        <v>1454</v>
      </c>
      <c r="J931" t="s">
        <v>5</v>
      </c>
    </row>
    <row r="932" spans="1:10" x14ac:dyDescent="0.25">
      <c r="A932" t="s">
        <v>985</v>
      </c>
      <c r="B932" t="s">
        <v>1192</v>
      </c>
      <c r="C932" t="s">
        <v>1204</v>
      </c>
      <c r="D932" t="s">
        <v>1213</v>
      </c>
      <c r="E932">
        <v>10</v>
      </c>
      <c r="F932">
        <v>750000</v>
      </c>
      <c r="G932">
        <v>0</v>
      </c>
      <c r="H932">
        <v>750000</v>
      </c>
      <c r="I932" t="s">
        <v>1384</v>
      </c>
      <c r="J932" t="s">
        <v>33</v>
      </c>
    </row>
    <row r="933" spans="1:10" x14ac:dyDescent="0.25">
      <c r="A933" t="s">
        <v>986</v>
      </c>
      <c r="B933" t="s">
        <v>1192</v>
      </c>
      <c r="C933" t="s">
        <v>1200</v>
      </c>
      <c r="D933" t="s">
        <v>1213</v>
      </c>
      <c r="E933">
        <v>9</v>
      </c>
      <c r="F933">
        <v>405000</v>
      </c>
      <c r="G933">
        <v>0</v>
      </c>
      <c r="H933">
        <v>405000</v>
      </c>
      <c r="I933" t="s">
        <v>1411</v>
      </c>
      <c r="J933" t="s">
        <v>20</v>
      </c>
    </row>
    <row r="934" spans="1:10" x14ac:dyDescent="0.25">
      <c r="A934" t="s">
        <v>987</v>
      </c>
      <c r="B934" t="s">
        <v>1192</v>
      </c>
      <c r="C934" t="s">
        <v>1193</v>
      </c>
      <c r="D934" t="s">
        <v>1197</v>
      </c>
      <c r="E934">
        <v>6</v>
      </c>
      <c r="F934">
        <v>720000</v>
      </c>
      <c r="G934">
        <v>0</v>
      </c>
      <c r="H934">
        <v>720000</v>
      </c>
      <c r="I934" t="s">
        <v>1472</v>
      </c>
      <c r="J934" t="s">
        <v>33</v>
      </c>
    </row>
    <row r="935" spans="1:10" x14ac:dyDescent="0.25">
      <c r="A935" t="s">
        <v>988</v>
      </c>
      <c r="B935" t="s">
        <v>1192</v>
      </c>
      <c r="C935" t="s">
        <v>1208</v>
      </c>
      <c r="D935" t="s">
        <v>1194</v>
      </c>
      <c r="E935">
        <v>8</v>
      </c>
      <c r="F935">
        <v>2000000</v>
      </c>
      <c r="G935">
        <v>15000</v>
      </c>
      <c r="H935">
        <v>1985000</v>
      </c>
      <c r="I935" t="s">
        <v>1328</v>
      </c>
      <c r="J935" t="s">
        <v>10</v>
      </c>
    </row>
    <row r="936" spans="1:10" x14ac:dyDescent="0.25">
      <c r="A936" t="s">
        <v>989</v>
      </c>
      <c r="B936" t="s">
        <v>1206</v>
      </c>
      <c r="C936" t="s">
        <v>1196</v>
      </c>
      <c r="D936" t="s">
        <v>1197</v>
      </c>
      <c r="E936">
        <v>10</v>
      </c>
      <c r="F936">
        <v>2500000</v>
      </c>
      <c r="G936">
        <v>0</v>
      </c>
      <c r="H936">
        <v>2500000</v>
      </c>
      <c r="I936" t="s">
        <v>1399</v>
      </c>
      <c r="J936" t="s">
        <v>20</v>
      </c>
    </row>
    <row r="937" spans="1:10" x14ac:dyDescent="0.25">
      <c r="A937" t="s">
        <v>990</v>
      </c>
      <c r="B937" t="s">
        <v>1251</v>
      </c>
      <c r="C937" t="s">
        <v>1200</v>
      </c>
      <c r="D937" t="s">
        <v>1203</v>
      </c>
      <c r="E937">
        <v>3</v>
      </c>
      <c r="F937">
        <v>135000</v>
      </c>
      <c r="G937">
        <v>0</v>
      </c>
      <c r="H937">
        <v>135000</v>
      </c>
      <c r="I937" t="s">
        <v>1325</v>
      </c>
      <c r="J937" t="s">
        <v>20</v>
      </c>
    </row>
    <row r="938" spans="1:10" x14ac:dyDescent="0.25">
      <c r="A938" t="s">
        <v>991</v>
      </c>
      <c r="B938" t="s">
        <v>1239</v>
      </c>
      <c r="C938" t="s">
        <v>1204</v>
      </c>
      <c r="D938" t="s">
        <v>1194</v>
      </c>
      <c r="E938">
        <v>9</v>
      </c>
      <c r="F938">
        <v>1665000</v>
      </c>
      <c r="G938">
        <v>10000</v>
      </c>
      <c r="H938">
        <v>1655000</v>
      </c>
      <c r="I938" t="s">
        <v>1473</v>
      </c>
      <c r="J938" t="s">
        <v>5</v>
      </c>
    </row>
    <row r="939" spans="1:10" x14ac:dyDescent="0.25">
      <c r="A939" t="s">
        <v>992</v>
      </c>
      <c r="B939" t="s">
        <v>1192</v>
      </c>
      <c r="C939" t="s">
        <v>1208</v>
      </c>
      <c r="D939" t="s">
        <v>1203</v>
      </c>
      <c r="E939">
        <v>5</v>
      </c>
      <c r="F939">
        <v>925000</v>
      </c>
      <c r="G939">
        <v>0</v>
      </c>
      <c r="H939" t="s">
        <v>1291</v>
      </c>
      <c r="I939" t="s">
        <v>1367</v>
      </c>
      <c r="J939" t="s">
        <v>5</v>
      </c>
    </row>
    <row r="940" spans="1:10" x14ac:dyDescent="0.25">
      <c r="A940" t="s">
        <v>993</v>
      </c>
      <c r="B940" t="s">
        <v>1199</v>
      </c>
      <c r="C940" t="s">
        <v>1265</v>
      </c>
      <c r="D940" t="s">
        <v>1203</v>
      </c>
      <c r="E940">
        <v>2</v>
      </c>
      <c r="F940">
        <v>150000</v>
      </c>
      <c r="G940">
        <v>0</v>
      </c>
      <c r="H940">
        <v>150000</v>
      </c>
      <c r="I940" t="s">
        <v>1177</v>
      </c>
      <c r="J940" t="s">
        <v>33</v>
      </c>
    </row>
    <row r="941" spans="1:10" x14ac:dyDescent="0.25">
      <c r="A941" t="s">
        <v>994</v>
      </c>
      <c r="B941" t="s">
        <v>1195</v>
      </c>
      <c r="C941" t="s">
        <v>1208</v>
      </c>
      <c r="D941" t="s">
        <v>1213</v>
      </c>
      <c r="E941">
        <v>2</v>
      </c>
      <c r="F941">
        <v>150000</v>
      </c>
      <c r="G941">
        <v>0</v>
      </c>
      <c r="H941">
        <v>150000</v>
      </c>
      <c r="I941" t="s">
        <v>1294</v>
      </c>
      <c r="J941" t="s">
        <v>10</v>
      </c>
    </row>
    <row r="942" spans="1:10" x14ac:dyDescent="0.25">
      <c r="A942" t="s">
        <v>995</v>
      </c>
      <c r="B942" t="s">
        <v>1251</v>
      </c>
      <c r="C942" t="s">
        <v>1193</v>
      </c>
      <c r="D942" t="s">
        <v>1194</v>
      </c>
      <c r="E942">
        <v>1</v>
      </c>
      <c r="F942">
        <v>75000</v>
      </c>
      <c r="G942">
        <v>0</v>
      </c>
      <c r="H942" t="s">
        <v>1474</v>
      </c>
      <c r="I942" t="s">
        <v>1371</v>
      </c>
      <c r="J942" t="s">
        <v>10</v>
      </c>
    </row>
    <row r="943" spans="1:10" x14ac:dyDescent="0.25">
      <c r="A943" t="s">
        <v>996</v>
      </c>
      <c r="B943" t="s">
        <v>1192</v>
      </c>
      <c r="C943" t="s">
        <v>1208</v>
      </c>
      <c r="D943" t="s">
        <v>1210</v>
      </c>
      <c r="E943">
        <v>2</v>
      </c>
      <c r="F943">
        <v>240000</v>
      </c>
      <c r="G943">
        <v>0</v>
      </c>
      <c r="H943">
        <v>240000</v>
      </c>
      <c r="I943" t="s">
        <v>1299</v>
      </c>
      <c r="J943" t="s">
        <v>10</v>
      </c>
    </row>
    <row r="944" spans="1:10" x14ac:dyDescent="0.25">
      <c r="A944" t="s">
        <v>997</v>
      </c>
      <c r="B944" t="s">
        <v>1192</v>
      </c>
      <c r="C944" t="s">
        <v>1196</v>
      </c>
      <c r="D944" t="s">
        <v>1210</v>
      </c>
      <c r="E944">
        <v>9</v>
      </c>
      <c r="F944">
        <v>405000</v>
      </c>
      <c r="G944">
        <v>5000</v>
      </c>
      <c r="H944">
        <v>400000</v>
      </c>
      <c r="I944" t="s">
        <v>1475</v>
      </c>
      <c r="J944" t="s">
        <v>5</v>
      </c>
    </row>
    <row r="945" spans="1:10" x14ac:dyDescent="0.25">
      <c r="A945" t="s">
        <v>998</v>
      </c>
      <c r="B945" t="s">
        <v>1192</v>
      </c>
      <c r="C945" t="s">
        <v>1196</v>
      </c>
      <c r="D945" t="s">
        <v>1197</v>
      </c>
      <c r="E945">
        <v>3</v>
      </c>
      <c r="F945">
        <v>750000</v>
      </c>
      <c r="G945">
        <v>0</v>
      </c>
      <c r="H945" t="s">
        <v>1260</v>
      </c>
      <c r="I945" t="s">
        <v>195</v>
      </c>
      <c r="J945" t="s">
        <v>33</v>
      </c>
    </row>
    <row r="946" spans="1:10" x14ac:dyDescent="0.25">
      <c r="A946" t="s">
        <v>999</v>
      </c>
      <c r="B946" t="s">
        <v>1199</v>
      </c>
      <c r="C946" t="s">
        <v>29</v>
      </c>
      <c r="D946" t="s">
        <v>1203</v>
      </c>
      <c r="E946">
        <v>5</v>
      </c>
      <c r="F946">
        <v>600000</v>
      </c>
      <c r="G946">
        <v>0</v>
      </c>
      <c r="H946">
        <v>600000</v>
      </c>
      <c r="I946" t="s">
        <v>331</v>
      </c>
      <c r="J946" t="s">
        <v>33</v>
      </c>
    </row>
    <row r="947" spans="1:10" x14ac:dyDescent="0.25">
      <c r="A947" t="s">
        <v>1000</v>
      </c>
      <c r="B947" t="s">
        <v>1192</v>
      </c>
      <c r="C947" t="s">
        <v>1208</v>
      </c>
      <c r="D947" t="s">
        <v>1197</v>
      </c>
      <c r="E947">
        <v>8</v>
      </c>
      <c r="F947">
        <v>2000000</v>
      </c>
      <c r="G947">
        <v>0</v>
      </c>
      <c r="H947">
        <v>2000000</v>
      </c>
      <c r="I947" t="s">
        <v>1436</v>
      </c>
      <c r="J947" t="s">
        <v>33</v>
      </c>
    </row>
    <row r="948" spans="1:10" x14ac:dyDescent="0.25">
      <c r="A948" t="s">
        <v>1001</v>
      </c>
      <c r="B948" t="s">
        <v>1195</v>
      </c>
      <c r="C948" t="s">
        <v>1200</v>
      </c>
      <c r="D948" t="s">
        <v>1197</v>
      </c>
      <c r="E948">
        <v>8</v>
      </c>
      <c r="F948">
        <v>360000</v>
      </c>
      <c r="G948">
        <v>0</v>
      </c>
      <c r="H948">
        <v>360000</v>
      </c>
      <c r="I948" t="s">
        <v>1476</v>
      </c>
      <c r="J948" t="s">
        <v>20</v>
      </c>
    </row>
    <row r="949" spans="1:10" x14ac:dyDescent="0.25">
      <c r="A949" t="s">
        <v>1002</v>
      </c>
      <c r="B949" t="s">
        <v>1206</v>
      </c>
      <c r="C949" t="s">
        <v>1200</v>
      </c>
      <c r="D949" t="s">
        <v>1213</v>
      </c>
      <c r="E949">
        <v>10</v>
      </c>
      <c r="F949">
        <v>450000</v>
      </c>
      <c r="G949">
        <v>0</v>
      </c>
      <c r="H949">
        <v>450000</v>
      </c>
      <c r="I949" t="s">
        <v>1372</v>
      </c>
      <c r="J949" t="s">
        <v>33</v>
      </c>
    </row>
    <row r="950" spans="1:10" x14ac:dyDescent="0.25">
      <c r="A950" t="s">
        <v>1003</v>
      </c>
      <c r="B950" t="s">
        <v>1230</v>
      </c>
      <c r="C950" t="s">
        <v>1193</v>
      </c>
      <c r="D950" t="s">
        <v>1210</v>
      </c>
      <c r="E950">
        <v>3</v>
      </c>
      <c r="F950">
        <v>360000</v>
      </c>
      <c r="G950">
        <v>0</v>
      </c>
      <c r="H950">
        <v>360000</v>
      </c>
      <c r="I950" t="s">
        <v>271</v>
      </c>
      <c r="J950" t="s">
        <v>20</v>
      </c>
    </row>
    <row r="951" spans="1:10" x14ac:dyDescent="0.25">
      <c r="A951" t="s">
        <v>1004</v>
      </c>
      <c r="B951" t="s">
        <v>1230</v>
      </c>
      <c r="C951" t="s">
        <v>29</v>
      </c>
      <c r="D951" t="s">
        <v>1210</v>
      </c>
      <c r="E951">
        <v>2</v>
      </c>
      <c r="F951">
        <v>370000</v>
      </c>
      <c r="G951">
        <v>0</v>
      </c>
      <c r="H951">
        <v>370000</v>
      </c>
      <c r="I951" t="s">
        <v>1460</v>
      </c>
      <c r="J951" t="s">
        <v>33</v>
      </c>
    </row>
    <row r="952" spans="1:10" x14ac:dyDescent="0.25">
      <c r="A952" t="s">
        <v>1005</v>
      </c>
      <c r="B952" t="s">
        <v>1206</v>
      </c>
      <c r="C952" t="s">
        <v>1204</v>
      </c>
      <c r="D952" t="s">
        <v>1203</v>
      </c>
      <c r="E952">
        <v>5</v>
      </c>
      <c r="F952">
        <v>925000</v>
      </c>
      <c r="G952">
        <v>0</v>
      </c>
      <c r="H952">
        <v>925000</v>
      </c>
      <c r="I952" t="s">
        <v>1410</v>
      </c>
      <c r="J952" t="s">
        <v>33</v>
      </c>
    </row>
    <row r="953" spans="1:10" x14ac:dyDescent="0.25">
      <c r="A953" t="s">
        <v>1006</v>
      </c>
      <c r="B953" t="s">
        <v>1251</v>
      </c>
      <c r="C953" t="s">
        <v>1262</v>
      </c>
      <c r="D953" t="s">
        <v>1197</v>
      </c>
      <c r="E953">
        <v>8</v>
      </c>
      <c r="F953">
        <v>600000</v>
      </c>
      <c r="G953">
        <v>0</v>
      </c>
      <c r="H953">
        <v>600000</v>
      </c>
      <c r="I953" t="s">
        <v>1402</v>
      </c>
      <c r="J953" t="s">
        <v>33</v>
      </c>
    </row>
    <row r="954" spans="1:10" x14ac:dyDescent="0.25">
      <c r="A954" t="s">
        <v>1007</v>
      </c>
      <c r="B954" t="s">
        <v>1206</v>
      </c>
      <c r="C954" t="s">
        <v>1208</v>
      </c>
      <c r="D954" t="s">
        <v>1197</v>
      </c>
      <c r="E954">
        <v>7</v>
      </c>
      <c r="F954">
        <v>315000</v>
      </c>
      <c r="G954">
        <v>15000</v>
      </c>
      <c r="H954">
        <v>300000</v>
      </c>
      <c r="I954" t="s">
        <v>195</v>
      </c>
      <c r="J954" t="s">
        <v>33</v>
      </c>
    </row>
    <row r="955" spans="1:10" x14ac:dyDescent="0.25">
      <c r="A955" t="s">
        <v>1008</v>
      </c>
      <c r="B955" t="s">
        <v>1192</v>
      </c>
      <c r="C955" t="s">
        <v>1196</v>
      </c>
      <c r="D955" t="s">
        <v>1197</v>
      </c>
      <c r="E955">
        <v>7</v>
      </c>
      <c r="F955">
        <v>840000</v>
      </c>
      <c r="G955">
        <v>5000</v>
      </c>
      <c r="H955">
        <v>835000</v>
      </c>
      <c r="I955" t="s">
        <v>1229</v>
      </c>
      <c r="J955" t="s">
        <v>5</v>
      </c>
    </row>
    <row r="956" spans="1:10" x14ac:dyDescent="0.25">
      <c r="A956" t="s">
        <v>1009</v>
      </c>
      <c r="B956" t="s">
        <v>1199</v>
      </c>
      <c r="C956" t="s">
        <v>1196</v>
      </c>
      <c r="D956" t="s">
        <v>1203</v>
      </c>
      <c r="E956">
        <v>5</v>
      </c>
      <c r="F956">
        <v>225000</v>
      </c>
      <c r="G956">
        <v>0</v>
      </c>
      <c r="H956">
        <v>-225000</v>
      </c>
      <c r="I956" t="s">
        <v>1175</v>
      </c>
      <c r="J956" t="s">
        <v>10</v>
      </c>
    </row>
    <row r="957" spans="1:10" x14ac:dyDescent="0.25">
      <c r="A957" t="s">
        <v>1010</v>
      </c>
      <c r="B957" t="s">
        <v>1206</v>
      </c>
      <c r="C957" t="s">
        <v>1196</v>
      </c>
      <c r="D957" t="s">
        <v>1194</v>
      </c>
      <c r="E957">
        <v>2</v>
      </c>
      <c r="F957">
        <v>150000</v>
      </c>
      <c r="G957">
        <v>0</v>
      </c>
      <c r="H957">
        <v>150000</v>
      </c>
      <c r="I957" t="s">
        <v>73</v>
      </c>
      <c r="J957" t="s">
        <v>10</v>
      </c>
    </row>
    <row r="958" spans="1:10" x14ac:dyDescent="0.25">
      <c r="A958" t="s">
        <v>1011</v>
      </c>
      <c r="B958" t="s">
        <v>1199</v>
      </c>
      <c r="C958" t="s">
        <v>1193</v>
      </c>
      <c r="D958" t="s">
        <v>1210</v>
      </c>
      <c r="E958">
        <v>1</v>
      </c>
      <c r="F958">
        <v>45000</v>
      </c>
      <c r="G958">
        <v>0</v>
      </c>
      <c r="H958">
        <v>45000</v>
      </c>
      <c r="I958" t="s">
        <v>1358</v>
      </c>
      <c r="J958" t="s">
        <v>20</v>
      </c>
    </row>
    <row r="959" spans="1:10" x14ac:dyDescent="0.25">
      <c r="A959" t="s">
        <v>1012</v>
      </c>
      <c r="B959" t="s">
        <v>1192</v>
      </c>
      <c r="C959" t="s">
        <v>1196</v>
      </c>
      <c r="D959" t="s">
        <v>1213</v>
      </c>
      <c r="E959">
        <v>7</v>
      </c>
      <c r="F959">
        <v>1750000</v>
      </c>
      <c r="G959">
        <v>0</v>
      </c>
      <c r="H959">
        <v>1750000</v>
      </c>
      <c r="I959" t="s">
        <v>61</v>
      </c>
      <c r="J959" t="s">
        <v>10</v>
      </c>
    </row>
    <row r="960" spans="1:10" x14ac:dyDescent="0.25">
      <c r="A960" t="s">
        <v>1013</v>
      </c>
      <c r="B960" t="s">
        <v>1195</v>
      </c>
      <c r="C960" t="s">
        <v>1200</v>
      </c>
      <c r="D960" t="s">
        <v>1210</v>
      </c>
      <c r="E960">
        <v>9</v>
      </c>
      <c r="F960">
        <v>405000</v>
      </c>
      <c r="G960">
        <v>0</v>
      </c>
      <c r="H960">
        <v>405000</v>
      </c>
      <c r="I960" t="s">
        <v>1140</v>
      </c>
      <c r="J960" t="s">
        <v>20</v>
      </c>
    </row>
    <row r="961" spans="1:10" x14ac:dyDescent="0.25">
      <c r="A961" t="s">
        <v>1014</v>
      </c>
      <c r="B961" t="s">
        <v>1192</v>
      </c>
      <c r="C961" t="s">
        <v>1193</v>
      </c>
      <c r="D961" t="s">
        <v>1213</v>
      </c>
      <c r="E961">
        <v>8</v>
      </c>
      <c r="F961">
        <v>360000</v>
      </c>
      <c r="G961">
        <v>0</v>
      </c>
      <c r="H961">
        <v>360000</v>
      </c>
      <c r="I961" t="s">
        <v>1340</v>
      </c>
      <c r="J961" t="s">
        <v>10</v>
      </c>
    </row>
    <row r="962" spans="1:10" x14ac:dyDescent="0.25">
      <c r="A962" t="s">
        <v>1015</v>
      </c>
      <c r="B962" t="s">
        <v>1206</v>
      </c>
      <c r="C962" t="s">
        <v>29</v>
      </c>
      <c r="D962" t="s">
        <v>1203</v>
      </c>
      <c r="E962">
        <v>2</v>
      </c>
      <c r="F962">
        <v>240000</v>
      </c>
      <c r="G962">
        <v>0</v>
      </c>
      <c r="H962">
        <v>240000</v>
      </c>
      <c r="I962" t="s">
        <v>43</v>
      </c>
      <c r="J962" t="s">
        <v>10</v>
      </c>
    </row>
    <row r="963" spans="1:10" x14ac:dyDescent="0.25">
      <c r="A963" t="s">
        <v>1016</v>
      </c>
      <c r="B963" t="s">
        <v>1195</v>
      </c>
      <c r="C963" t="s">
        <v>29</v>
      </c>
      <c r="D963" t="s">
        <v>1213</v>
      </c>
      <c r="E963">
        <v>6</v>
      </c>
      <c r="F963">
        <v>270000</v>
      </c>
      <c r="G963">
        <v>10000</v>
      </c>
      <c r="H963">
        <v>260000</v>
      </c>
      <c r="I963" t="s">
        <v>1351</v>
      </c>
      <c r="J963" t="s">
        <v>5</v>
      </c>
    </row>
    <row r="964" spans="1:10" x14ac:dyDescent="0.25">
      <c r="A964" t="s">
        <v>1017</v>
      </c>
      <c r="B964" t="s">
        <v>1192</v>
      </c>
      <c r="C964" t="s">
        <v>1208</v>
      </c>
      <c r="D964" t="s">
        <v>1197</v>
      </c>
      <c r="E964">
        <v>2</v>
      </c>
      <c r="F964">
        <v>150000</v>
      </c>
      <c r="G964">
        <v>5000</v>
      </c>
      <c r="H964">
        <v>145000</v>
      </c>
      <c r="I964" t="s">
        <v>1439</v>
      </c>
      <c r="J964" t="s">
        <v>33</v>
      </c>
    </row>
    <row r="965" spans="1:10" x14ac:dyDescent="0.25">
      <c r="A965" t="s">
        <v>1018</v>
      </c>
      <c r="B965" t="s">
        <v>1199</v>
      </c>
      <c r="C965" t="s">
        <v>1265</v>
      </c>
      <c r="D965" t="s">
        <v>1197</v>
      </c>
      <c r="E965">
        <v>8</v>
      </c>
      <c r="F965">
        <v>2000000</v>
      </c>
      <c r="G965">
        <v>0</v>
      </c>
      <c r="H965">
        <v>2000000</v>
      </c>
      <c r="I965" t="s">
        <v>1150</v>
      </c>
      <c r="J965" t="s">
        <v>33</v>
      </c>
    </row>
    <row r="966" spans="1:10" x14ac:dyDescent="0.25">
      <c r="A966" t="s">
        <v>1019</v>
      </c>
      <c r="B966" t="s">
        <v>1230</v>
      </c>
      <c r="C966" t="s">
        <v>1208</v>
      </c>
      <c r="D966" t="s">
        <v>1194</v>
      </c>
      <c r="E966">
        <v>5</v>
      </c>
      <c r="F966">
        <v>1250000</v>
      </c>
      <c r="G966">
        <v>15000</v>
      </c>
      <c r="H966" t="s">
        <v>1477</v>
      </c>
      <c r="I966" t="s">
        <v>1273</v>
      </c>
      <c r="J966" t="s">
        <v>5</v>
      </c>
    </row>
    <row r="967" spans="1:10" x14ac:dyDescent="0.25">
      <c r="A967" t="s">
        <v>1020</v>
      </c>
      <c r="B967" t="s">
        <v>1199</v>
      </c>
      <c r="C967" t="s">
        <v>1196</v>
      </c>
      <c r="D967" t="s">
        <v>1210</v>
      </c>
      <c r="E967">
        <v>2</v>
      </c>
      <c r="F967">
        <v>90000</v>
      </c>
      <c r="G967">
        <v>15000</v>
      </c>
      <c r="H967" t="s">
        <v>1474</v>
      </c>
      <c r="I967" t="s">
        <v>1478</v>
      </c>
      <c r="J967" t="s">
        <v>20</v>
      </c>
    </row>
    <row r="968" spans="1:10" x14ac:dyDescent="0.25">
      <c r="A968" t="s">
        <v>1021</v>
      </c>
      <c r="B968" t="s">
        <v>1199</v>
      </c>
      <c r="C968" t="s">
        <v>1196</v>
      </c>
      <c r="D968" t="s">
        <v>1194</v>
      </c>
      <c r="E968">
        <v>6</v>
      </c>
      <c r="F968">
        <v>450000</v>
      </c>
      <c r="G968">
        <v>0</v>
      </c>
      <c r="H968">
        <v>450000</v>
      </c>
      <c r="I968" t="s">
        <v>1342</v>
      </c>
      <c r="J968" t="s">
        <v>33</v>
      </c>
    </row>
    <row r="969" spans="1:10" x14ac:dyDescent="0.25">
      <c r="A969" t="s">
        <v>1022</v>
      </c>
      <c r="B969" t="s">
        <v>1192</v>
      </c>
      <c r="C969" t="s">
        <v>29</v>
      </c>
      <c r="D969" t="s">
        <v>1203</v>
      </c>
      <c r="E969">
        <v>8</v>
      </c>
      <c r="F969">
        <v>960000</v>
      </c>
      <c r="G969">
        <v>0</v>
      </c>
      <c r="H969">
        <v>960000</v>
      </c>
      <c r="I969" t="s">
        <v>1283</v>
      </c>
      <c r="J969" t="s">
        <v>10</v>
      </c>
    </row>
    <row r="970" spans="1:10" x14ac:dyDescent="0.25">
      <c r="A970" t="s">
        <v>1023</v>
      </c>
      <c r="B970" t="s">
        <v>1206</v>
      </c>
      <c r="C970" t="s">
        <v>1193</v>
      </c>
      <c r="D970" t="s">
        <v>1197</v>
      </c>
      <c r="E970">
        <v>3</v>
      </c>
      <c r="F970">
        <v>360000</v>
      </c>
      <c r="G970">
        <v>0</v>
      </c>
      <c r="H970">
        <v>360000</v>
      </c>
      <c r="I970" t="s">
        <v>1402</v>
      </c>
      <c r="J970" t="s">
        <v>10</v>
      </c>
    </row>
    <row r="971" spans="1:10" x14ac:dyDescent="0.25">
      <c r="A971" t="s">
        <v>1024</v>
      </c>
      <c r="B971" t="s">
        <v>1195</v>
      </c>
      <c r="C971" t="s">
        <v>1196</v>
      </c>
      <c r="D971" t="s">
        <v>1197</v>
      </c>
      <c r="E971">
        <v>8</v>
      </c>
      <c r="F971">
        <v>360000</v>
      </c>
      <c r="G971">
        <v>0</v>
      </c>
      <c r="H971">
        <v>360000</v>
      </c>
      <c r="I971" t="s">
        <v>1305</v>
      </c>
      <c r="J971" t="s">
        <v>33</v>
      </c>
    </row>
    <row r="972" spans="1:10" x14ac:dyDescent="0.25">
      <c r="A972" t="s">
        <v>1025</v>
      </c>
      <c r="B972" t="s">
        <v>1195</v>
      </c>
      <c r="C972" t="s">
        <v>29</v>
      </c>
      <c r="D972" t="s">
        <v>1197</v>
      </c>
      <c r="E972">
        <v>9</v>
      </c>
      <c r="F972">
        <v>2250000</v>
      </c>
      <c r="G972">
        <v>10000</v>
      </c>
      <c r="H972">
        <v>2240000</v>
      </c>
      <c r="I972" t="s">
        <v>1292</v>
      </c>
      <c r="J972" t="s">
        <v>5</v>
      </c>
    </row>
    <row r="973" spans="1:10" x14ac:dyDescent="0.25">
      <c r="A973" t="s">
        <v>1026</v>
      </c>
      <c r="B973" t="s">
        <v>1199</v>
      </c>
      <c r="C973" t="s">
        <v>1193</v>
      </c>
      <c r="D973" t="s">
        <v>1197</v>
      </c>
      <c r="E973">
        <v>1</v>
      </c>
      <c r="F973">
        <v>250000</v>
      </c>
      <c r="G973">
        <v>0</v>
      </c>
      <c r="H973">
        <v>250000</v>
      </c>
      <c r="I973" t="s">
        <v>1430</v>
      </c>
      <c r="J973" t="s">
        <v>20</v>
      </c>
    </row>
    <row r="974" spans="1:10" x14ac:dyDescent="0.25">
      <c r="A974" t="s">
        <v>1027</v>
      </c>
      <c r="B974" t="s">
        <v>1199</v>
      </c>
      <c r="C974" t="s">
        <v>1265</v>
      </c>
      <c r="D974" t="s">
        <v>1194</v>
      </c>
      <c r="E974">
        <v>8</v>
      </c>
      <c r="F974">
        <v>960000</v>
      </c>
      <c r="G974">
        <v>10000</v>
      </c>
      <c r="H974">
        <v>950000</v>
      </c>
      <c r="I974" t="s">
        <v>1165</v>
      </c>
      <c r="J974" t="s">
        <v>20</v>
      </c>
    </row>
    <row r="975" spans="1:10" x14ac:dyDescent="0.25">
      <c r="A975" t="s">
        <v>1028</v>
      </c>
      <c r="B975" t="s">
        <v>1206</v>
      </c>
      <c r="C975" t="s">
        <v>1208</v>
      </c>
      <c r="D975" t="s">
        <v>1213</v>
      </c>
      <c r="E975">
        <v>6</v>
      </c>
      <c r="F975">
        <v>720000</v>
      </c>
      <c r="G975">
        <v>0</v>
      </c>
      <c r="H975">
        <v>720000</v>
      </c>
      <c r="I975" t="s">
        <v>1215</v>
      </c>
      <c r="J975" t="s">
        <v>5</v>
      </c>
    </row>
    <row r="976" spans="1:10" x14ac:dyDescent="0.25">
      <c r="A976" t="s">
        <v>1029</v>
      </c>
      <c r="B976" t="s">
        <v>1192</v>
      </c>
      <c r="C976" t="s">
        <v>29</v>
      </c>
      <c r="D976" t="s">
        <v>1194</v>
      </c>
      <c r="E976">
        <v>1</v>
      </c>
      <c r="F976">
        <v>185000</v>
      </c>
      <c r="G976">
        <v>0</v>
      </c>
      <c r="H976">
        <v>185000</v>
      </c>
      <c r="I976" t="s">
        <v>1215</v>
      </c>
      <c r="J976" t="s">
        <v>10</v>
      </c>
    </row>
    <row r="977" spans="1:10" x14ac:dyDescent="0.25">
      <c r="A977" t="s">
        <v>1030</v>
      </c>
      <c r="B977" t="s">
        <v>1199</v>
      </c>
      <c r="C977" t="s">
        <v>1204</v>
      </c>
      <c r="D977" t="s">
        <v>1197</v>
      </c>
      <c r="E977">
        <v>10</v>
      </c>
      <c r="F977">
        <v>1200000</v>
      </c>
      <c r="G977">
        <v>0</v>
      </c>
      <c r="H977">
        <v>1200000</v>
      </c>
      <c r="I977" t="s">
        <v>1234</v>
      </c>
      <c r="J977" t="s">
        <v>33</v>
      </c>
    </row>
    <row r="978" spans="1:10" x14ac:dyDescent="0.25">
      <c r="A978" t="s">
        <v>1031</v>
      </c>
      <c r="B978" t="s">
        <v>1206</v>
      </c>
      <c r="C978" t="s">
        <v>1204</v>
      </c>
      <c r="D978" t="s">
        <v>1197</v>
      </c>
      <c r="E978">
        <v>9</v>
      </c>
      <c r="F978">
        <v>2250000</v>
      </c>
      <c r="G978">
        <v>0</v>
      </c>
      <c r="H978">
        <v>2250000</v>
      </c>
      <c r="I978" t="s">
        <v>1479</v>
      </c>
      <c r="J978" t="s">
        <v>5</v>
      </c>
    </row>
    <row r="979" spans="1:10" x14ac:dyDescent="0.25">
      <c r="A979" t="s">
        <v>1032</v>
      </c>
      <c r="B979" t="s">
        <v>1195</v>
      </c>
      <c r="C979" t="s">
        <v>1196</v>
      </c>
      <c r="D979" t="s">
        <v>1213</v>
      </c>
      <c r="E979">
        <v>10</v>
      </c>
      <c r="F979">
        <v>450000</v>
      </c>
      <c r="G979">
        <v>10000</v>
      </c>
      <c r="H979">
        <v>440000</v>
      </c>
      <c r="I979" t="s">
        <v>1370</v>
      </c>
      <c r="J979" t="s">
        <v>33</v>
      </c>
    </row>
    <row r="980" spans="1:10" x14ac:dyDescent="0.25">
      <c r="A980" t="s">
        <v>1033</v>
      </c>
      <c r="B980" t="s">
        <v>1195</v>
      </c>
      <c r="C980" t="s">
        <v>1208</v>
      </c>
      <c r="D980" t="s">
        <v>1203</v>
      </c>
      <c r="E980">
        <v>6</v>
      </c>
      <c r="F980">
        <v>720000</v>
      </c>
      <c r="G980">
        <v>0</v>
      </c>
      <c r="H980" t="s">
        <v>1480</v>
      </c>
      <c r="I980" t="s">
        <v>1148</v>
      </c>
      <c r="J980" t="s">
        <v>20</v>
      </c>
    </row>
    <row r="981" spans="1:10" x14ac:dyDescent="0.25">
      <c r="A981" t="s">
        <v>1034</v>
      </c>
      <c r="B981" t="s">
        <v>1195</v>
      </c>
      <c r="C981" t="s">
        <v>1200</v>
      </c>
      <c r="D981" t="s">
        <v>1194</v>
      </c>
      <c r="E981">
        <v>2</v>
      </c>
      <c r="F981">
        <v>150000</v>
      </c>
      <c r="G981">
        <v>15000</v>
      </c>
      <c r="H981">
        <v>135000</v>
      </c>
      <c r="I981" t="s">
        <v>1337</v>
      </c>
      <c r="J981" t="s">
        <v>10</v>
      </c>
    </row>
    <row r="982" spans="1:10" x14ac:dyDescent="0.25">
      <c r="A982" t="s">
        <v>1035</v>
      </c>
      <c r="B982" t="s">
        <v>1239</v>
      </c>
      <c r="C982" t="s">
        <v>1196</v>
      </c>
      <c r="D982" t="s">
        <v>1210</v>
      </c>
      <c r="E982">
        <v>1</v>
      </c>
      <c r="F982">
        <v>250000</v>
      </c>
      <c r="G982">
        <v>0</v>
      </c>
      <c r="H982">
        <v>250000</v>
      </c>
      <c r="I982" t="s">
        <v>1241</v>
      </c>
      <c r="J982" t="s">
        <v>10</v>
      </c>
    </row>
    <row r="983" spans="1:10" x14ac:dyDescent="0.25">
      <c r="A983" t="s">
        <v>1036</v>
      </c>
      <c r="B983" t="s">
        <v>1195</v>
      </c>
      <c r="C983" t="s">
        <v>1196</v>
      </c>
      <c r="D983" t="s">
        <v>1197</v>
      </c>
      <c r="E983">
        <v>2</v>
      </c>
      <c r="F983">
        <v>240000</v>
      </c>
      <c r="G983">
        <v>0</v>
      </c>
      <c r="H983">
        <v>240000</v>
      </c>
      <c r="I983" t="s">
        <v>1347</v>
      </c>
      <c r="J983" t="s">
        <v>33</v>
      </c>
    </row>
    <row r="984" spans="1:10" x14ac:dyDescent="0.25">
      <c r="A984" t="s">
        <v>1037</v>
      </c>
      <c r="B984" t="s">
        <v>1206</v>
      </c>
      <c r="C984" t="s">
        <v>1262</v>
      </c>
      <c r="D984" t="s">
        <v>1197</v>
      </c>
      <c r="E984">
        <v>5</v>
      </c>
      <c r="F984">
        <v>225000</v>
      </c>
      <c r="G984">
        <v>0</v>
      </c>
      <c r="H984">
        <v>225000</v>
      </c>
      <c r="I984" t="s">
        <v>1246</v>
      </c>
      <c r="J984" t="s">
        <v>10</v>
      </c>
    </row>
    <row r="985" spans="1:10" x14ac:dyDescent="0.25">
      <c r="A985" t="s">
        <v>1038</v>
      </c>
      <c r="B985" t="s">
        <v>1195</v>
      </c>
      <c r="C985" t="s">
        <v>1193</v>
      </c>
      <c r="D985" t="s">
        <v>1210</v>
      </c>
      <c r="E985">
        <v>5</v>
      </c>
      <c r="F985">
        <v>600000</v>
      </c>
      <c r="G985">
        <v>10000</v>
      </c>
      <c r="H985">
        <v>590000</v>
      </c>
      <c r="I985" t="s">
        <v>1314</v>
      </c>
      <c r="J985" t="s">
        <v>33</v>
      </c>
    </row>
    <row r="986" spans="1:10" x14ac:dyDescent="0.25">
      <c r="A986" t="s">
        <v>1039</v>
      </c>
      <c r="B986" t="s">
        <v>1192</v>
      </c>
      <c r="C986" t="s">
        <v>1200</v>
      </c>
      <c r="D986" t="s">
        <v>1210</v>
      </c>
      <c r="E986">
        <v>4</v>
      </c>
      <c r="F986">
        <v>180000</v>
      </c>
      <c r="G986">
        <v>0</v>
      </c>
      <c r="H986">
        <v>180000</v>
      </c>
      <c r="I986" t="s">
        <v>1444</v>
      </c>
      <c r="J986" t="s">
        <v>33</v>
      </c>
    </row>
    <row r="987" spans="1:10" x14ac:dyDescent="0.25">
      <c r="A987" t="s">
        <v>1040</v>
      </c>
      <c r="B987" t="s">
        <v>1195</v>
      </c>
      <c r="C987" t="s">
        <v>1193</v>
      </c>
      <c r="D987" t="s">
        <v>1197</v>
      </c>
      <c r="E987">
        <v>9</v>
      </c>
      <c r="F987">
        <v>2250000</v>
      </c>
      <c r="G987">
        <v>0</v>
      </c>
      <c r="H987">
        <v>2250000</v>
      </c>
      <c r="I987" t="s">
        <v>491</v>
      </c>
      <c r="J987" t="s">
        <v>20</v>
      </c>
    </row>
    <row r="988" spans="1:10" x14ac:dyDescent="0.25">
      <c r="A988" t="s">
        <v>1041</v>
      </c>
      <c r="B988" t="s">
        <v>1199</v>
      </c>
      <c r="C988" t="s">
        <v>29</v>
      </c>
      <c r="D988" t="s">
        <v>1194</v>
      </c>
      <c r="E988">
        <v>10</v>
      </c>
      <c r="F988">
        <v>1850000</v>
      </c>
      <c r="G988">
        <v>10000</v>
      </c>
      <c r="H988">
        <v>1840000</v>
      </c>
      <c r="I988" t="s">
        <v>1320</v>
      </c>
      <c r="J988" t="s">
        <v>33</v>
      </c>
    </row>
    <row r="989" spans="1:10" x14ac:dyDescent="0.25">
      <c r="A989" t="s">
        <v>1042</v>
      </c>
      <c r="B989" t="s">
        <v>1206</v>
      </c>
      <c r="C989" t="s">
        <v>1196</v>
      </c>
      <c r="D989" t="s">
        <v>1203</v>
      </c>
      <c r="E989">
        <v>1</v>
      </c>
      <c r="F989">
        <v>185000</v>
      </c>
      <c r="G989">
        <v>0</v>
      </c>
      <c r="H989">
        <v>185000</v>
      </c>
      <c r="I989" t="s">
        <v>22</v>
      </c>
      <c r="J989" t="s">
        <v>20</v>
      </c>
    </row>
    <row r="990" spans="1:10" x14ac:dyDescent="0.25">
      <c r="A990" t="s">
        <v>50</v>
      </c>
      <c r="B990" t="s">
        <v>1192</v>
      </c>
      <c r="C990" t="s">
        <v>1204</v>
      </c>
      <c r="D990" t="s">
        <v>1210</v>
      </c>
      <c r="E990">
        <v>10</v>
      </c>
      <c r="F990">
        <v>1850000</v>
      </c>
      <c r="G990">
        <v>0</v>
      </c>
      <c r="H990">
        <v>1850000</v>
      </c>
      <c r="I990" t="s">
        <v>220</v>
      </c>
      <c r="J990" t="s">
        <v>20</v>
      </c>
    </row>
    <row r="991" spans="1:10" x14ac:dyDescent="0.25">
      <c r="A991" t="s">
        <v>1043</v>
      </c>
      <c r="B991" t="s">
        <v>1206</v>
      </c>
      <c r="C991" t="s">
        <v>29</v>
      </c>
      <c r="D991" t="s">
        <v>1213</v>
      </c>
      <c r="E991">
        <v>8</v>
      </c>
      <c r="F991">
        <v>1480000</v>
      </c>
      <c r="G991">
        <v>10000</v>
      </c>
      <c r="H991">
        <v>-1470000</v>
      </c>
      <c r="I991" t="s">
        <v>1177</v>
      </c>
      <c r="J991" t="s">
        <v>20</v>
      </c>
    </row>
    <row r="992" spans="1:10" x14ac:dyDescent="0.25">
      <c r="A992" t="s">
        <v>1044</v>
      </c>
      <c r="B992" t="s">
        <v>1192</v>
      </c>
      <c r="C992" t="s">
        <v>1196</v>
      </c>
      <c r="D992" t="s">
        <v>1197</v>
      </c>
      <c r="E992">
        <v>9</v>
      </c>
      <c r="F992">
        <v>1080000</v>
      </c>
      <c r="G992">
        <v>0</v>
      </c>
      <c r="H992" t="s">
        <v>1311</v>
      </c>
      <c r="I992" t="s">
        <v>1296</v>
      </c>
      <c r="J992" t="s">
        <v>5</v>
      </c>
    </row>
    <row r="993" spans="1:10" x14ac:dyDescent="0.25">
      <c r="A993" t="s">
        <v>1045</v>
      </c>
      <c r="B993" t="s">
        <v>1251</v>
      </c>
      <c r="C993" t="s">
        <v>1285</v>
      </c>
      <c r="D993" t="s">
        <v>1213</v>
      </c>
      <c r="E993">
        <v>5</v>
      </c>
      <c r="F993">
        <v>375000</v>
      </c>
      <c r="G993">
        <v>0</v>
      </c>
      <c r="H993">
        <v>375000</v>
      </c>
      <c r="I993" t="s">
        <v>36</v>
      </c>
      <c r="J993" t="s">
        <v>20</v>
      </c>
    </row>
    <row r="994" spans="1:10" x14ac:dyDescent="0.25">
      <c r="A994" t="s">
        <v>1046</v>
      </c>
      <c r="B994" t="s">
        <v>1195</v>
      </c>
      <c r="C994" t="s">
        <v>1219</v>
      </c>
      <c r="D994" t="s">
        <v>1210</v>
      </c>
      <c r="E994">
        <v>4</v>
      </c>
      <c r="F994">
        <v>180000</v>
      </c>
      <c r="G994">
        <v>0</v>
      </c>
      <c r="H994">
        <v>180000</v>
      </c>
      <c r="I994" t="s">
        <v>1465</v>
      </c>
      <c r="J994" t="s">
        <v>5</v>
      </c>
    </row>
    <row r="995" spans="1:10" x14ac:dyDescent="0.25">
      <c r="A995" t="s">
        <v>1047</v>
      </c>
      <c r="B995" t="s">
        <v>1192</v>
      </c>
      <c r="C995" t="s">
        <v>1193</v>
      </c>
      <c r="D995" t="s">
        <v>1197</v>
      </c>
      <c r="E995">
        <v>8</v>
      </c>
      <c r="F995">
        <v>1480000</v>
      </c>
      <c r="G995">
        <v>0</v>
      </c>
      <c r="H995">
        <v>1480000</v>
      </c>
      <c r="I995" t="s">
        <v>115</v>
      </c>
      <c r="J995" t="s">
        <v>20</v>
      </c>
    </row>
    <row r="996" spans="1:10" x14ac:dyDescent="0.25">
      <c r="A996" t="s">
        <v>1048</v>
      </c>
      <c r="B996" t="s">
        <v>1239</v>
      </c>
      <c r="C996" t="s">
        <v>1204</v>
      </c>
      <c r="D996" t="s">
        <v>1213</v>
      </c>
      <c r="E996">
        <v>4</v>
      </c>
      <c r="F996">
        <v>1000000</v>
      </c>
      <c r="G996">
        <v>0</v>
      </c>
      <c r="H996">
        <v>-1000000</v>
      </c>
      <c r="I996" t="s">
        <v>1179</v>
      </c>
      <c r="J996" t="s">
        <v>20</v>
      </c>
    </row>
    <row r="997" spans="1:10" x14ac:dyDescent="0.25">
      <c r="A997" t="s">
        <v>1049</v>
      </c>
      <c r="B997" t="s">
        <v>1192</v>
      </c>
      <c r="C997" t="s">
        <v>1265</v>
      </c>
      <c r="D997" t="s">
        <v>1210</v>
      </c>
      <c r="E997">
        <v>7</v>
      </c>
      <c r="F997">
        <v>525000</v>
      </c>
      <c r="G997">
        <v>15000</v>
      </c>
      <c r="H997">
        <v>510000</v>
      </c>
      <c r="I997" t="s">
        <v>1402</v>
      </c>
      <c r="J997" t="s">
        <v>33</v>
      </c>
    </row>
    <row r="998" spans="1:10" x14ac:dyDescent="0.25">
      <c r="A998" t="s">
        <v>1050</v>
      </c>
      <c r="B998" t="s">
        <v>1206</v>
      </c>
      <c r="C998" t="s">
        <v>1204</v>
      </c>
      <c r="D998" t="s">
        <v>1197</v>
      </c>
      <c r="E998">
        <v>6</v>
      </c>
      <c r="F998">
        <v>450000</v>
      </c>
      <c r="G998">
        <v>0</v>
      </c>
      <c r="H998">
        <v>450000</v>
      </c>
      <c r="I998" t="s">
        <v>22</v>
      </c>
      <c r="J998" t="s">
        <v>5</v>
      </c>
    </row>
    <row r="999" spans="1:10" x14ac:dyDescent="0.25">
      <c r="A999" t="s">
        <v>1051</v>
      </c>
      <c r="B999" t="s">
        <v>1195</v>
      </c>
      <c r="C999" t="s">
        <v>1196</v>
      </c>
      <c r="D999" t="s">
        <v>1194</v>
      </c>
      <c r="E999">
        <v>2</v>
      </c>
      <c r="F999">
        <v>150000</v>
      </c>
      <c r="G999">
        <v>15000</v>
      </c>
      <c r="H999">
        <v>135000</v>
      </c>
      <c r="I999" t="s">
        <v>1205</v>
      </c>
      <c r="J999" t="s">
        <v>10</v>
      </c>
    </row>
    <row r="1000" spans="1:10" x14ac:dyDescent="0.25">
      <c r="A1000" t="s">
        <v>1052</v>
      </c>
      <c r="B1000" t="s">
        <v>1192</v>
      </c>
      <c r="C1000" t="s">
        <v>1193</v>
      </c>
      <c r="D1000" t="s">
        <v>1210</v>
      </c>
      <c r="E1000">
        <v>10</v>
      </c>
      <c r="F1000">
        <v>750000</v>
      </c>
      <c r="G1000">
        <v>0</v>
      </c>
      <c r="H1000" t="s">
        <v>1260</v>
      </c>
      <c r="I1000" t="s">
        <v>1391</v>
      </c>
      <c r="J1000" t="s">
        <v>10</v>
      </c>
    </row>
    <row r="1001" spans="1:10" x14ac:dyDescent="0.25">
      <c r="A1001" t="s">
        <v>1053</v>
      </c>
      <c r="B1001" t="s">
        <v>1206</v>
      </c>
      <c r="C1001" t="s">
        <v>1200</v>
      </c>
      <c r="D1001" t="s">
        <v>1194</v>
      </c>
      <c r="E1001">
        <v>2</v>
      </c>
      <c r="F1001">
        <v>90000</v>
      </c>
      <c r="G1001">
        <v>0</v>
      </c>
      <c r="H1001">
        <v>90000</v>
      </c>
      <c r="I1001" t="s">
        <v>1245</v>
      </c>
      <c r="J100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19A9-FF86-44F3-9E74-452C7926B668}">
  <dimension ref="A1:K868"/>
  <sheetViews>
    <sheetView workbookViewId="0">
      <selection activeCell="C23" sqref="C23"/>
    </sheetView>
  </sheetViews>
  <sheetFormatPr defaultRowHeight="15" x14ac:dyDescent="0.25"/>
  <cols>
    <col min="1" max="1" width="15.42578125" bestFit="1" customWidth="1"/>
    <col min="2" max="2" width="15.28515625" bestFit="1" customWidth="1"/>
    <col min="3" max="3" width="22" bestFit="1" customWidth="1"/>
    <col min="4" max="4" width="35.140625" bestFit="1" customWidth="1"/>
    <col min="5" max="5" width="6.42578125" bestFit="1" customWidth="1"/>
    <col min="6" max="6" width="16.5703125" bestFit="1" customWidth="1"/>
    <col min="7" max="7" width="15" bestFit="1" customWidth="1"/>
    <col min="8" max="8" width="24.7109375" bestFit="1" customWidth="1"/>
    <col min="9" max="9" width="19.85546875" bestFit="1" customWidth="1"/>
    <col min="10" max="10" width="11.5703125" bestFit="1" customWidth="1"/>
    <col min="11" max="11" width="14.5703125" bestFit="1" customWidth="1"/>
  </cols>
  <sheetData>
    <row r="1" spans="1:11" x14ac:dyDescent="0.25">
      <c r="A1" t="s">
        <v>0</v>
      </c>
      <c r="B1" t="s">
        <v>1183</v>
      </c>
      <c r="C1" t="s">
        <v>1184</v>
      </c>
      <c r="D1" t="s">
        <v>1185</v>
      </c>
      <c r="E1" t="s">
        <v>1186</v>
      </c>
      <c r="F1" t="s">
        <v>1187</v>
      </c>
      <c r="G1" t="s">
        <v>1188</v>
      </c>
      <c r="H1" t="s">
        <v>1482</v>
      </c>
      <c r="I1" t="s">
        <v>1483</v>
      </c>
      <c r="J1" t="s">
        <v>1191</v>
      </c>
      <c r="K1" t="s">
        <v>1055</v>
      </c>
    </row>
    <row r="2" spans="1:11" x14ac:dyDescent="0.25">
      <c r="A2" s="17" t="s">
        <v>1</v>
      </c>
      <c r="B2" s="17" t="s">
        <v>2</v>
      </c>
      <c r="C2" s="17" t="s">
        <v>3</v>
      </c>
      <c r="D2" s="17" t="s">
        <v>4</v>
      </c>
      <c r="E2">
        <v>8</v>
      </c>
      <c r="F2">
        <v>360000</v>
      </c>
      <c r="G2">
        <v>0</v>
      </c>
      <c r="H2">
        <v>360000</v>
      </c>
      <c r="I2" s="1">
        <v>46122</v>
      </c>
      <c r="J2" s="17" t="s">
        <v>5</v>
      </c>
      <c r="K2" t="s">
        <v>1057</v>
      </c>
    </row>
    <row r="3" spans="1:11" x14ac:dyDescent="0.25">
      <c r="A3" s="17" t="s">
        <v>6</v>
      </c>
      <c r="B3" s="17" t="s">
        <v>7</v>
      </c>
      <c r="C3" s="17" t="s">
        <v>8</v>
      </c>
      <c r="D3" s="17" t="s">
        <v>9</v>
      </c>
      <c r="E3">
        <v>7</v>
      </c>
      <c r="F3">
        <v>525000</v>
      </c>
      <c r="G3">
        <v>15000</v>
      </c>
      <c r="H3">
        <v>510000</v>
      </c>
      <c r="I3" s="1">
        <v>46116</v>
      </c>
      <c r="J3" s="17" t="s">
        <v>10</v>
      </c>
      <c r="K3" t="s">
        <v>1057</v>
      </c>
    </row>
    <row r="4" spans="1:11" x14ac:dyDescent="0.25">
      <c r="A4" s="17" t="s">
        <v>11</v>
      </c>
      <c r="B4" s="17" t="s">
        <v>12</v>
      </c>
      <c r="C4" s="17" t="s">
        <v>13</v>
      </c>
      <c r="D4" s="17" t="s">
        <v>9</v>
      </c>
      <c r="E4">
        <v>4</v>
      </c>
      <c r="F4">
        <v>1000000</v>
      </c>
      <c r="G4">
        <v>0</v>
      </c>
      <c r="H4">
        <v>1000000</v>
      </c>
      <c r="I4" s="1">
        <v>46174</v>
      </c>
      <c r="J4" s="17" t="s">
        <v>10</v>
      </c>
      <c r="K4" t="s">
        <v>1057</v>
      </c>
    </row>
    <row r="5" spans="1:11" x14ac:dyDescent="0.25">
      <c r="A5" s="17" t="s">
        <v>15</v>
      </c>
      <c r="B5" s="17" t="s">
        <v>12</v>
      </c>
      <c r="C5" s="17" t="s">
        <v>8</v>
      </c>
      <c r="D5" s="17" t="s">
        <v>9</v>
      </c>
      <c r="E5">
        <v>9</v>
      </c>
      <c r="F5">
        <v>1080000</v>
      </c>
      <c r="G5">
        <v>0</v>
      </c>
      <c r="H5">
        <v>1080000</v>
      </c>
      <c r="I5" s="1">
        <v>46025</v>
      </c>
      <c r="J5" s="17" t="s">
        <v>5</v>
      </c>
      <c r="K5" t="s">
        <v>1057</v>
      </c>
    </row>
    <row r="6" spans="1:11" x14ac:dyDescent="0.25">
      <c r="A6" s="17" t="s">
        <v>23</v>
      </c>
      <c r="B6" s="17" t="s">
        <v>12</v>
      </c>
      <c r="C6" s="17" t="s">
        <v>3</v>
      </c>
      <c r="D6" s="17" t="s">
        <v>9</v>
      </c>
      <c r="E6">
        <v>10</v>
      </c>
      <c r="F6">
        <v>450000</v>
      </c>
      <c r="G6">
        <v>0</v>
      </c>
      <c r="H6">
        <v>450000</v>
      </c>
      <c r="I6" s="1">
        <v>46158</v>
      </c>
      <c r="J6" s="17" t="s">
        <v>5</v>
      </c>
      <c r="K6" t="s">
        <v>1057</v>
      </c>
    </row>
    <row r="7" spans="1:11" x14ac:dyDescent="0.25">
      <c r="A7" s="17" t="s">
        <v>24</v>
      </c>
      <c r="B7" s="17" t="s">
        <v>25</v>
      </c>
      <c r="C7" s="17" t="s">
        <v>17</v>
      </c>
      <c r="D7" s="17" t="s">
        <v>18</v>
      </c>
      <c r="E7">
        <v>9</v>
      </c>
      <c r="F7">
        <v>405000</v>
      </c>
      <c r="G7">
        <v>0</v>
      </c>
      <c r="H7">
        <v>405000</v>
      </c>
      <c r="I7" s="1">
        <v>46177</v>
      </c>
      <c r="J7" s="17" t="s">
        <v>5</v>
      </c>
      <c r="K7" t="s">
        <v>1057</v>
      </c>
    </row>
    <row r="8" spans="1:11" x14ac:dyDescent="0.25">
      <c r="A8" s="17" t="s">
        <v>26</v>
      </c>
      <c r="B8" s="17" t="s">
        <v>7</v>
      </c>
      <c r="C8" s="17" t="s">
        <v>27</v>
      </c>
      <c r="D8" s="17" t="s">
        <v>4</v>
      </c>
      <c r="E8">
        <v>5</v>
      </c>
      <c r="F8">
        <v>375000</v>
      </c>
      <c r="G8">
        <v>0</v>
      </c>
      <c r="H8">
        <v>375000</v>
      </c>
      <c r="I8" s="1">
        <v>46244</v>
      </c>
      <c r="J8" s="17" t="s">
        <v>5</v>
      </c>
      <c r="K8" t="s">
        <v>1057</v>
      </c>
    </row>
    <row r="9" spans="1:11" x14ac:dyDescent="0.25">
      <c r="A9" s="17" t="s">
        <v>28</v>
      </c>
      <c r="B9" s="17" t="s">
        <v>25</v>
      </c>
      <c r="C9" s="17" t="s">
        <v>29</v>
      </c>
      <c r="D9" s="17" t="s">
        <v>30</v>
      </c>
      <c r="E9">
        <v>1</v>
      </c>
      <c r="F9">
        <v>45000</v>
      </c>
      <c r="G9">
        <v>0</v>
      </c>
      <c r="H9">
        <v>45000</v>
      </c>
      <c r="I9" s="1">
        <v>46167</v>
      </c>
      <c r="J9" s="17" t="s">
        <v>20</v>
      </c>
      <c r="K9" t="s">
        <v>1057</v>
      </c>
    </row>
    <row r="10" spans="1:11" x14ac:dyDescent="0.25">
      <c r="A10" s="17" t="s">
        <v>31</v>
      </c>
      <c r="B10" s="17" t="s">
        <v>25</v>
      </c>
      <c r="C10" s="17" t="s">
        <v>17</v>
      </c>
      <c r="D10" s="17" t="s">
        <v>32</v>
      </c>
      <c r="E10">
        <v>10</v>
      </c>
      <c r="F10">
        <v>1850000</v>
      </c>
      <c r="G10">
        <v>0</v>
      </c>
      <c r="H10">
        <v>1850000</v>
      </c>
      <c r="I10" s="1">
        <v>46097</v>
      </c>
      <c r="J10" s="17" t="s">
        <v>33</v>
      </c>
      <c r="K10" t="s">
        <v>1057</v>
      </c>
    </row>
    <row r="11" spans="1:11" x14ac:dyDescent="0.25">
      <c r="A11" s="17" t="s">
        <v>34</v>
      </c>
      <c r="B11" s="17" t="s">
        <v>2</v>
      </c>
      <c r="C11" s="17" t="s">
        <v>8</v>
      </c>
      <c r="D11" s="17" t="s">
        <v>30</v>
      </c>
      <c r="E11">
        <v>4</v>
      </c>
      <c r="F11">
        <v>740000</v>
      </c>
      <c r="G11">
        <v>5000</v>
      </c>
      <c r="H11">
        <v>735000</v>
      </c>
      <c r="I11" s="1">
        <v>46072</v>
      </c>
      <c r="J11" s="17" t="s">
        <v>5</v>
      </c>
      <c r="K11" t="s">
        <v>1057</v>
      </c>
    </row>
    <row r="12" spans="1:11" x14ac:dyDescent="0.25">
      <c r="A12" s="17" t="s">
        <v>35</v>
      </c>
      <c r="B12" s="17" t="s">
        <v>12</v>
      </c>
      <c r="C12" s="17" t="s">
        <v>3</v>
      </c>
      <c r="D12" s="17" t="s">
        <v>30</v>
      </c>
      <c r="E12">
        <v>10</v>
      </c>
      <c r="F12">
        <v>2500000</v>
      </c>
      <c r="G12">
        <v>10000</v>
      </c>
      <c r="H12">
        <v>2490000</v>
      </c>
      <c r="I12" s="1">
        <v>46104</v>
      </c>
      <c r="J12" s="17" t="s">
        <v>20</v>
      </c>
      <c r="K12" t="s">
        <v>1057</v>
      </c>
    </row>
    <row r="13" spans="1:11" x14ac:dyDescent="0.25">
      <c r="A13" s="17" t="s">
        <v>37</v>
      </c>
      <c r="B13" s="17" t="s">
        <v>2</v>
      </c>
      <c r="C13" s="17" t="s">
        <v>17</v>
      </c>
      <c r="D13" s="17" t="s">
        <v>4</v>
      </c>
      <c r="E13">
        <v>1</v>
      </c>
      <c r="F13">
        <v>75000</v>
      </c>
      <c r="G13">
        <v>0</v>
      </c>
      <c r="H13">
        <v>75000</v>
      </c>
      <c r="I13" s="1">
        <v>46242</v>
      </c>
      <c r="J13" s="17" t="s">
        <v>5</v>
      </c>
      <c r="K13" t="s">
        <v>1057</v>
      </c>
    </row>
    <row r="14" spans="1:11" x14ac:dyDescent="0.25">
      <c r="A14" s="17" t="s">
        <v>38</v>
      </c>
      <c r="B14" s="17" t="s">
        <v>25</v>
      </c>
      <c r="C14" s="17" t="s">
        <v>8</v>
      </c>
      <c r="D14" s="17" t="s">
        <v>4</v>
      </c>
      <c r="E14">
        <v>9</v>
      </c>
      <c r="F14">
        <v>1080000</v>
      </c>
      <c r="G14">
        <v>15000</v>
      </c>
      <c r="H14">
        <v>1065000</v>
      </c>
      <c r="I14" s="1">
        <v>46161</v>
      </c>
      <c r="J14" s="17" t="s">
        <v>5</v>
      </c>
      <c r="K14" t="s">
        <v>1057</v>
      </c>
    </row>
    <row r="15" spans="1:11" x14ac:dyDescent="0.25">
      <c r="A15" s="17" t="s">
        <v>40</v>
      </c>
      <c r="B15" s="17" t="s">
        <v>25</v>
      </c>
      <c r="C15" s="17" t="s">
        <v>29</v>
      </c>
      <c r="D15" s="17" t="s">
        <v>4</v>
      </c>
      <c r="E15">
        <v>2</v>
      </c>
      <c r="F15">
        <v>150000</v>
      </c>
      <c r="G15">
        <v>0</v>
      </c>
      <c r="H15">
        <v>150000</v>
      </c>
      <c r="I15" s="1">
        <v>46262</v>
      </c>
      <c r="J15" s="17" t="s">
        <v>10</v>
      </c>
      <c r="K15" t="s">
        <v>1057</v>
      </c>
    </row>
    <row r="16" spans="1:11" x14ac:dyDescent="0.25">
      <c r="A16" s="17" t="s">
        <v>41</v>
      </c>
      <c r="B16" s="17" t="s">
        <v>2</v>
      </c>
      <c r="C16" s="17" t="s">
        <v>29</v>
      </c>
      <c r="D16" s="17" t="s">
        <v>9</v>
      </c>
      <c r="E16">
        <v>5</v>
      </c>
      <c r="F16">
        <v>600000</v>
      </c>
      <c r="G16">
        <v>0</v>
      </c>
      <c r="H16">
        <v>600000</v>
      </c>
      <c r="I16" s="1">
        <v>46170</v>
      </c>
      <c r="J16" s="17" t="s">
        <v>5</v>
      </c>
      <c r="K16" t="s">
        <v>1057</v>
      </c>
    </row>
    <row r="17" spans="1:11" x14ac:dyDescent="0.25">
      <c r="A17" s="17" t="s">
        <v>44</v>
      </c>
      <c r="B17" s="17" t="s">
        <v>25</v>
      </c>
      <c r="C17" s="17" t="s">
        <v>17</v>
      </c>
      <c r="D17" s="17" t="s">
        <v>9</v>
      </c>
      <c r="E17">
        <v>5</v>
      </c>
      <c r="F17">
        <v>600000</v>
      </c>
      <c r="G17">
        <v>0</v>
      </c>
      <c r="H17">
        <v>600000</v>
      </c>
      <c r="I17" s="1">
        <v>46071</v>
      </c>
      <c r="J17" s="17" t="s">
        <v>5</v>
      </c>
      <c r="K17" t="s">
        <v>1057</v>
      </c>
    </row>
    <row r="18" spans="1:11" x14ac:dyDescent="0.25">
      <c r="A18" s="17" t="s">
        <v>48</v>
      </c>
      <c r="B18" s="17" t="s">
        <v>7</v>
      </c>
      <c r="C18" s="17" t="s">
        <v>13</v>
      </c>
      <c r="D18" s="17" t="s">
        <v>18</v>
      </c>
      <c r="E18">
        <v>5</v>
      </c>
      <c r="F18">
        <v>375000</v>
      </c>
      <c r="G18">
        <v>0</v>
      </c>
      <c r="H18">
        <v>375000</v>
      </c>
      <c r="I18" s="1">
        <v>46211</v>
      </c>
      <c r="J18" s="17" t="s">
        <v>5</v>
      </c>
      <c r="K18" t="s">
        <v>1057</v>
      </c>
    </row>
    <row r="19" spans="1:11" x14ac:dyDescent="0.25">
      <c r="A19" s="17" t="s">
        <v>52</v>
      </c>
      <c r="B19" s="17" t="s">
        <v>7</v>
      </c>
      <c r="C19" s="17" t="s">
        <v>13</v>
      </c>
      <c r="D19" s="17" t="s">
        <v>18</v>
      </c>
      <c r="E19">
        <v>1</v>
      </c>
      <c r="F19">
        <v>185000</v>
      </c>
      <c r="G19">
        <v>0</v>
      </c>
      <c r="H19">
        <v>185000</v>
      </c>
      <c r="I19" s="1">
        <v>46257</v>
      </c>
      <c r="J19" s="17" t="s">
        <v>5</v>
      </c>
      <c r="K19" t="s">
        <v>1057</v>
      </c>
    </row>
    <row r="20" spans="1:11" x14ac:dyDescent="0.25">
      <c r="A20" s="17" t="s">
        <v>53</v>
      </c>
      <c r="B20" s="17" t="s">
        <v>12</v>
      </c>
      <c r="C20" s="17" t="s">
        <v>17</v>
      </c>
      <c r="D20" s="17" t="s">
        <v>9</v>
      </c>
      <c r="E20">
        <v>6</v>
      </c>
      <c r="F20">
        <v>270000</v>
      </c>
      <c r="G20">
        <v>0</v>
      </c>
      <c r="H20">
        <v>270000</v>
      </c>
      <c r="I20" s="1">
        <v>46236</v>
      </c>
      <c r="J20" s="17" t="s">
        <v>10</v>
      </c>
      <c r="K20" t="s">
        <v>1057</v>
      </c>
    </row>
    <row r="21" spans="1:11" x14ac:dyDescent="0.25">
      <c r="A21" s="17" t="s">
        <v>54</v>
      </c>
      <c r="B21" s="17" t="s">
        <v>7</v>
      </c>
      <c r="C21" s="17" t="s">
        <v>8</v>
      </c>
      <c r="D21" s="17" t="s">
        <v>4</v>
      </c>
      <c r="E21">
        <v>4</v>
      </c>
      <c r="F21">
        <v>300000</v>
      </c>
      <c r="G21">
        <v>0</v>
      </c>
      <c r="H21">
        <v>300000</v>
      </c>
      <c r="I21" s="1">
        <v>46098</v>
      </c>
      <c r="J21" s="17" t="s">
        <v>5</v>
      </c>
      <c r="K21" t="s">
        <v>1057</v>
      </c>
    </row>
    <row r="22" spans="1:11" x14ac:dyDescent="0.25">
      <c r="A22" s="17" t="s">
        <v>58</v>
      </c>
      <c r="B22" s="17" t="s">
        <v>12</v>
      </c>
      <c r="C22" s="17" t="s">
        <v>29</v>
      </c>
      <c r="D22" s="17" t="s">
        <v>4</v>
      </c>
      <c r="E22">
        <v>7</v>
      </c>
      <c r="F22">
        <v>315000</v>
      </c>
      <c r="G22">
        <v>0</v>
      </c>
      <c r="H22">
        <v>315000</v>
      </c>
      <c r="I22" s="1">
        <v>46160</v>
      </c>
      <c r="J22" s="17" t="s">
        <v>10</v>
      </c>
      <c r="K22" t="s">
        <v>1057</v>
      </c>
    </row>
    <row r="23" spans="1:11" x14ac:dyDescent="0.25">
      <c r="A23" s="17" t="s">
        <v>59</v>
      </c>
      <c r="B23" s="17" t="s">
        <v>7</v>
      </c>
      <c r="C23" s="17" t="s">
        <v>8</v>
      </c>
      <c r="D23" s="17" t="s">
        <v>9</v>
      </c>
      <c r="E23">
        <v>8</v>
      </c>
      <c r="F23">
        <v>360000</v>
      </c>
      <c r="G23">
        <v>0</v>
      </c>
      <c r="H23">
        <v>360000</v>
      </c>
      <c r="I23" s="1">
        <v>46201</v>
      </c>
      <c r="J23" s="17" t="s">
        <v>10</v>
      </c>
      <c r="K23" t="s">
        <v>1057</v>
      </c>
    </row>
    <row r="24" spans="1:11" x14ac:dyDescent="0.25">
      <c r="A24" s="17" t="s">
        <v>62</v>
      </c>
      <c r="B24" s="17" t="s">
        <v>25</v>
      </c>
      <c r="C24" s="17" t="s">
        <v>13</v>
      </c>
      <c r="D24" s="17" t="s">
        <v>30</v>
      </c>
      <c r="E24">
        <v>1</v>
      </c>
      <c r="F24">
        <v>185000</v>
      </c>
      <c r="G24">
        <v>15000</v>
      </c>
      <c r="H24">
        <v>170000</v>
      </c>
      <c r="I24" s="1">
        <v>46159</v>
      </c>
      <c r="J24" s="17" t="s">
        <v>5</v>
      </c>
      <c r="K24" t="s">
        <v>1057</v>
      </c>
    </row>
    <row r="25" spans="1:11" x14ac:dyDescent="0.25">
      <c r="A25" s="17" t="s">
        <v>63</v>
      </c>
      <c r="B25" s="17" t="s">
        <v>25</v>
      </c>
      <c r="C25" s="17" t="s">
        <v>8</v>
      </c>
      <c r="D25" s="17" t="s">
        <v>4</v>
      </c>
      <c r="E25">
        <v>4</v>
      </c>
      <c r="F25">
        <v>480000</v>
      </c>
      <c r="G25">
        <v>0</v>
      </c>
      <c r="H25">
        <v>480000</v>
      </c>
      <c r="I25" s="1">
        <v>46043</v>
      </c>
      <c r="J25" s="17" t="s">
        <v>33</v>
      </c>
      <c r="K25" t="s">
        <v>1057</v>
      </c>
    </row>
    <row r="26" spans="1:11" x14ac:dyDescent="0.25">
      <c r="A26" s="17" t="s">
        <v>64</v>
      </c>
      <c r="B26" s="17" t="s">
        <v>25</v>
      </c>
      <c r="C26" s="17" t="s">
        <v>8</v>
      </c>
      <c r="D26" s="17" t="s">
        <v>4</v>
      </c>
      <c r="E26">
        <v>5</v>
      </c>
      <c r="F26">
        <v>375000</v>
      </c>
      <c r="G26">
        <v>15000</v>
      </c>
      <c r="H26">
        <v>360000</v>
      </c>
      <c r="I26" s="1">
        <v>46162</v>
      </c>
      <c r="J26" s="17" t="s">
        <v>5</v>
      </c>
      <c r="K26" t="s">
        <v>1057</v>
      </c>
    </row>
    <row r="27" spans="1:11" x14ac:dyDescent="0.25">
      <c r="A27" s="17" t="s">
        <v>66</v>
      </c>
      <c r="B27" s="17" t="s">
        <v>12</v>
      </c>
      <c r="C27" s="17" t="s">
        <v>27</v>
      </c>
      <c r="D27" s="17" t="s">
        <v>32</v>
      </c>
      <c r="E27">
        <v>1</v>
      </c>
      <c r="F27">
        <v>75000</v>
      </c>
      <c r="G27">
        <v>0</v>
      </c>
      <c r="H27">
        <v>75000</v>
      </c>
      <c r="I27" s="1">
        <v>46248</v>
      </c>
      <c r="J27" s="17" t="s">
        <v>33</v>
      </c>
      <c r="K27" t="s">
        <v>1057</v>
      </c>
    </row>
    <row r="28" spans="1:11" x14ac:dyDescent="0.25">
      <c r="A28" s="17" t="s">
        <v>67</v>
      </c>
      <c r="B28" s="17" t="s">
        <v>2</v>
      </c>
      <c r="C28" s="17" t="s">
        <v>27</v>
      </c>
      <c r="D28" s="17" t="s">
        <v>30</v>
      </c>
      <c r="E28">
        <v>3</v>
      </c>
      <c r="F28">
        <v>225000</v>
      </c>
      <c r="G28">
        <v>0</v>
      </c>
      <c r="H28">
        <v>225000</v>
      </c>
      <c r="I28" s="1">
        <v>46164</v>
      </c>
      <c r="J28" s="17" t="s">
        <v>20</v>
      </c>
      <c r="K28" t="s">
        <v>1057</v>
      </c>
    </row>
    <row r="29" spans="1:11" x14ac:dyDescent="0.25">
      <c r="A29" s="17" t="s">
        <v>68</v>
      </c>
      <c r="B29" s="17" t="s">
        <v>7</v>
      </c>
      <c r="C29" s="17" t="s">
        <v>13</v>
      </c>
      <c r="D29" s="17" t="s">
        <v>9</v>
      </c>
      <c r="E29">
        <v>5</v>
      </c>
      <c r="F29">
        <v>600000</v>
      </c>
      <c r="G29">
        <v>15000</v>
      </c>
      <c r="H29">
        <v>585000</v>
      </c>
      <c r="I29" s="1">
        <v>46214</v>
      </c>
      <c r="J29" s="17" t="s">
        <v>5</v>
      </c>
      <c r="K29" t="s">
        <v>1057</v>
      </c>
    </row>
    <row r="30" spans="1:11" x14ac:dyDescent="0.25">
      <c r="A30" s="17" t="s">
        <v>69</v>
      </c>
      <c r="B30" s="17" t="s">
        <v>12</v>
      </c>
      <c r="C30" s="17" t="s">
        <v>8</v>
      </c>
      <c r="D30" s="17" t="s">
        <v>4</v>
      </c>
      <c r="E30">
        <v>5</v>
      </c>
      <c r="F30">
        <v>375000</v>
      </c>
      <c r="G30">
        <v>0</v>
      </c>
      <c r="H30">
        <v>375000</v>
      </c>
      <c r="I30" s="1">
        <v>46049</v>
      </c>
      <c r="J30" s="17" t="s">
        <v>33</v>
      </c>
      <c r="K30" t="s">
        <v>1057</v>
      </c>
    </row>
    <row r="31" spans="1:11" x14ac:dyDescent="0.25">
      <c r="A31" s="17" t="s">
        <v>71</v>
      </c>
      <c r="B31" s="17" t="s">
        <v>7</v>
      </c>
      <c r="C31" s="17" t="s">
        <v>27</v>
      </c>
      <c r="D31" s="17" t="s">
        <v>9</v>
      </c>
      <c r="E31">
        <v>2</v>
      </c>
      <c r="F31">
        <v>150000</v>
      </c>
      <c r="G31">
        <v>0</v>
      </c>
      <c r="H31">
        <v>150000</v>
      </c>
      <c r="I31" s="1">
        <v>46208</v>
      </c>
      <c r="J31" s="17" t="s">
        <v>20</v>
      </c>
      <c r="K31" t="s">
        <v>1057</v>
      </c>
    </row>
    <row r="32" spans="1:11" x14ac:dyDescent="0.25">
      <c r="A32" s="17" t="s">
        <v>74</v>
      </c>
      <c r="B32" s="17" t="s">
        <v>2</v>
      </c>
      <c r="C32" s="17" t="s">
        <v>27</v>
      </c>
      <c r="D32" s="17" t="s">
        <v>18</v>
      </c>
      <c r="E32">
        <v>10</v>
      </c>
      <c r="F32">
        <v>450000</v>
      </c>
      <c r="G32">
        <v>0</v>
      </c>
      <c r="H32">
        <v>450000</v>
      </c>
      <c r="I32" s="1">
        <v>46243</v>
      </c>
      <c r="J32" s="17" t="s">
        <v>20</v>
      </c>
      <c r="K32" t="s">
        <v>1057</v>
      </c>
    </row>
    <row r="33" spans="1:11" x14ac:dyDescent="0.25">
      <c r="A33" s="17" t="s">
        <v>75</v>
      </c>
      <c r="B33" s="17" t="s">
        <v>2</v>
      </c>
      <c r="C33" s="17" t="s">
        <v>29</v>
      </c>
      <c r="D33" s="17" t="s">
        <v>4</v>
      </c>
      <c r="E33">
        <v>5</v>
      </c>
      <c r="F33">
        <v>600000</v>
      </c>
      <c r="G33">
        <v>0</v>
      </c>
      <c r="H33">
        <v>600000</v>
      </c>
      <c r="I33" s="1">
        <v>46039</v>
      </c>
      <c r="J33" s="17" t="s">
        <v>20</v>
      </c>
      <c r="K33" t="s">
        <v>1057</v>
      </c>
    </row>
    <row r="34" spans="1:11" x14ac:dyDescent="0.25">
      <c r="A34" s="17" t="s">
        <v>77</v>
      </c>
      <c r="B34" s="17" t="s">
        <v>12</v>
      </c>
      <c r="C34" s="17" t="s">
        <v>13</v>
      </c>
      <c r="D34" s="17" t="s">
        <v>32</v>
      </c>
      <c r="E34">
        <v>1</v>
      </c>
      <c r="F34">
        <v>45000</v>
      </c>
      <c r="G34">
        <v>0</v>
      </c>
      <c r="H34">
        <v>45000</v>
      </c>
      <c r="I34" s="1">
        <v>46242</v>
      </c>
      <c r="J34" s="17" t="s">
        <v>5</v>
      </c>
      <c r="K34" t="s">
        <v>1057</v>
      </c>
    </row>
    <row r="35" spans="1:11" x14ac:dyDescent="0.25">
      <c r="A35" s="17" t="s">
        <v>78</v>
      </c>
      <c r="B35" s="17" t="s">
        <v>7</v>
      </c>
      <c r="C35" s="17" t="s">
        <v>3</v>
      </c>
      <c r="D35" s="17" t="s">
        <v>4</v>
      </c>
      <c r="E35">
        <v>8</v>
      </c>
      <c r="F35">
        <v>360000</v>
      </c>
      <c r="G35">
        <v>0</v>
      </c>
      <c r="H35">
        <v>360000</v>
      </c>
      <c r="I35" s="1">
        <v>46100</v>
      </c>
      <c r="J35" s="17" t="s">
        <v>33</v>
      </c>
      <c r="K35" t="s">
        <v>1057</v>
      </c>
    </row>
    <row r="36" spans="1:11" x14ac:dyDescent="0.25">
      <c r="A36" s="17" t="s">
        <v>81</v>
      </c>
      <c r="B36" s="17" t="s">
        <v>2</v>
      </c>
      <c r="C36" s="17" t="s">
        <v>3</v>
      </c>
      <c r="D36" s="17" t="s">
        <v>9</v>
      </c>
      <c r="E36">
        <v>10</v>
      </c>
      <c r="F36">
        <v>750000</v>
      </c>
      <c r="G36">
        <v>0</v>
      </c>
      <c r="H36">
        <v>750000</v>
      </c>
      <c r="I36" s="1">
        <v>46198</v>
      </c>
      <c r="J36" s="17" t="s">
        <v>10</v>
      </c>
      <c r="K36" t="s">
        <v>1057</v>
      </c>
    </row>
    <row r="37" spans="1:11" x14ac:dyDescent="0.25">
      <c r="A37" s="17" t="s">
        <v>85</v>
      </c>
      <c r="B37" s="17" t="s">
        <v>7</v>
      </c>
      <c r="C37" s="17" t="s">
        <v>27</v>
      </c>
      <c r="D37" s="17" t="s">
        <v>4</v>
      </c>
      <c r="E37">
        <v>2</v>
      </c>
      <c r="F37">
        <v>90000</v>
      </c>
      <c r="G37">
        <v>5000</v>
      </c>
      <c r="H37">
        <v>85000</v>
      </c>
      <c r="I37" s="1">
        <v>46095</v>
      </c>
      <c r="J37" s="17" t="s">
        <v>5</v>
      </c>
      <c r="K37" t="s">
        <v>1057</v>
      </c>
    </row>
    <row r="38" spans="1:11" x14ac:dyDescent="0.25">
      <c r="A38" s="17" t="s">
        <v>86</v>
      </c>
      <c r="B38" s="17" t="s">
        <v>12</v>
      </c>
      <c r="C38" s="17" t="s">
        <v>29</v>
      </c>
      <c r="D38" s="17" t="s">
        <v>18</v>
      </c>
      <c r="E38">
        <v>8</v>
      </c>
      <c r="F38">
        <v>1480000</v>
      </c>
      <c r="G38">
        <v>0</v>
      </c>
      <c r="H38">
        <v>1480000</v>
      </c>
      <c r="I38" s="1">
        <v>46072</v>
      </c>
      <c r="J38" s="17" t="s">
        <v>33</v>
      </c>
      <c r="K38" t="s">
        <v>1057</v>
      </c>
    </row>
    <row r="39" spans="1:11" x14ac:dyDescent="0.25">
      <c r="A39" s="17" t="s">
        <v>87</v>
      </c>
      <c r="B39" s="17" t="s">
        <v>12</v>
      </c>
      <c r="C39" s="17" t="s">
        <v>27</v>
      </c>
      <c r="D39" s="17" t="s">
        <v>30</v>
      </c>
      <c r="E39">
        <v>10</v>
      </c>
      <c r="F39">
        <v>450000</v>
      </c>
      <c r="G39">
        <v>0</v>
      </c>
      <c r="H39">
        <v>450000</v>
      </c>
      <c r="I39" s="1">
        <v>46046</v>
      </c>
      <c r="J39" s="17" t="s">
        <v>33</v>
      </c>
      <c r="K39" t="s">
        <v>1057</v>
      </c>
    </row>
    <row r="40" spans="1:11" x14ac:dyDescent="0.25">
      <c r="A40" s="17" t="s">
        <v>89</v>
      </c>
      <c r="B40" s="17" t="s">
        <v>2</v>
      </c>
      <c r="C40" s="17" t="s">
        <v>29</v>
      </c>
      <c r="D40" s="17" t="s">
        <v>32</v>
      </c>
      <c r="E40">
        <v>9</v>
      </c>
      <c r="F40">
        <v>675000</v>
      </c>
      <c r="G40">
        <v>10000</v>
      </c>
      <c r="H40">
        <v>665000</v>
      </c>
      <c r="I40" s="1">
        <v>46134</v>
      </c>
      <c r="J40" s="17" t="s">
        <v>33</v>
      </c>
      <c r="K40" t="s">
        <v>1057</v>
      </c>
    </row>
    <row r="41" spans="1:11" x14ac:dyDescent="0.25">
      <c r="A41" s="17" t="s">
        <v>90</v>
      </c>
      <c r="B41" s="17" t="s">
        <v>25</v>
      </c>
      <c r="C41" s="17" t="s">
        <v>17</v>
      </c>
      <c r="D41" s="17" t="s">
        <v>4</v>
      </c>
      <c r="E41">
        <v>4</v>
      </c>
      <c r="F41">
        <v>740000</v>
      </c>
      <c r="G41">
        <v>0</v>
      </c>
      <c r="H41">
        <v>740000</v>
      </c>
      <c r="I41" s="1">
        <v>46245</v>
      </c>
      <c r="J41" s="17" t="s">
        <v>33</v>
      </c>
      <c r="K41" t="s">
        <v>1057</v>
      </c>
    </row>
    <row r="42" spans="1:11" x14ac:dyDescent="0.25">
      <c r="A42" s="17" t="s">
        <v>94</v>
      </c>
      <c r="B42" s="17" t="s">
        <v>12</v>
      </c>
      <c r="C42" s="17" t="s">
        <v>17</v>
      </c>
      <c r="D42" s="17" t="s">
        <v>18</v>
      </c>
      <c r="E42">
        <v>6</v>
      </c>
      <c r="F42">
        <v>720000</v>
      </c>
      <c r="G42">
        <v>10000</v>
      </c>
      <c r="H42">
        <v>710000</v>
      </c>
      <c r="I42" s="1">
        <v>46256</v>
      </c>
      <c r="J42" s="17" t="s">
        <v>10</v>
      </c>
      <c r="K42" t="s">
        <v>1057</v>
      </c>
    </row>
    <row r="43" spans="1:11" x14ac:dyDescent="0.25">
      <c r="A43" s="17" t="s">
        <v>95</v>
      </c>
      <c r="B43" s="17" t="s">
        <v>12</v>
      </c>
      <c r="C43" s="17" t="s">
        <v>13</v>
      </c>
      <c r="D43" s="17" t="s">
        <v>32</v>
      </c>
      <c r="E43">
        <v>9</v>
      </c>
      <c r="F43">
        <v>405000</v>
      </c>
      <c r="G43">
        <v>10000</v>
      </c>
      <c r="H43">
        <v>395000</v>
      </c>
      <c r="I43" s="1">
        <v>46124</v>
      </c>
      <c r="J43" s="17" t="s">
        <v>10</v>
      </c>
      <c r="K43" t="s">
        <v>1057</v>
      </c>
    </row>
    <row r="44" spans="1:11" x14ac:dyDescent="0.25">
      <c r="A44" s="17" t="s">
        <v>96</v>
      </c>
      <c r="B44" s="17" t="s">
        <v>25</v>
      </c>
      <c r="C44" s="17" t="s">
        <v>27</v>
      </c>
      <c r="D44" s="17" t="s">
        <v>4</v>
      </c>
      <c r="E44">
        <v>4</v>
      </c>
      <c r="F44">
        <v>180000</v>
      </c>
      <c r="G44">
        <v>0</v>
      </c>
      <c r="H44">
        <v>180000</v>
      </c>
      <c r="I44" s="1">
        <v>46162</v>
      </c>
      <c r="J44" s="17" t="s">
        <v>5</v>
      </c>
      <c r="K44" t="s">
        <v>1057</v>
      </c>
    </row>
    <row r="45" spans="1:11" x14ac:dyDescent="0.25">
      <c r="A45" s="17" t="s">
        <v>97</v>
      </c>
      <c r="B45" s="17" t="s">
        <v>7</v>
      </c>
      <c r="C45" s="17" t="s">
        <v>3</v>
      </c>
      <c r="D45" s="17" t="s">
        <v>4</v>
      </c>
      <c r="E45">
        <v>7</v>
      </c>
      <c r="F45">
        <v>315000</v>
      </c>
      <c r="G45">
        <v>0</v>
      </c>
      <c r="H45">
        <v>315000</v>
      </c>
      <c r="I45" s="1">
        <v>46214</v>
      </c>
      <c r="J45" s="17" t="s">
        <v>5</v>
      </c>
      <c r="K45" t="s">
        <v>1057</v>
      </c>
    </row>
    <row r="46" spans="1:11" x14ac:dyDescent="0.25">
      <c r="A46" s="17" t="s">
        <v>98</v>
      </c>
      <c r="B46" s="17" t="s">
        <v>2</v>
      </c>
      <c r="C46" s="17" t="s">
        <v>13</v>
      </c>
      <c r="D46" s="17" t="s">
        <v>32</v>
      </c>
      <c r="E46">
        <v>4</v>
      </c>
      <c r="F46">
        <v>740000</v>
      </c>
      <c r="G46">
        <v>0</v>
      </c>
      <c r="H46">
        <v>740000</v>
      </c>
      <c r="I46" s="1">
        <v>46258</v>
      </c>
      <c r="J46" s="17" t="s">
        <v>10</v>
      </c>
      <c r="K46" t="s">
        <v>1057</v>
      </c>
    </row>
    <row r="47" spans="1:11" x14ac:dyDescent="0.25">
      <c r="A47" s="17" t="s">
        <v>100</v>
      </c>
      <c r="B47" s="17" t="s">
        <v>7</v>
      </c>
      <c r="C47" s="17" t="s">
        <v>17</v>
      </c>
      <c r="D47" s="17" t="s">
        <v>30</v>
      </c>
      <c r="E47">
        <v>7</v>
      </c>
      <c r="F47">
        <v>315000</v>
      </c>
      <c r="G47">
        <v>0</v>
      </c>
      <c r="H47">
        <v>315000</v>
      </c>
      <c r="I47" s="1">
        <v>46147</v>
      </c>
      <c r="J47" s="17" t="s">
        <v>33</v>
      </c>
      <c r="K47" t="s">
        <v>1057</v>
      </c>
    </row>
    <row r="48" spans="1:11" x14ac:dyDescent="0.25">
      <c r="A48" s="17" t="s">
        <v>102</v>
      </c>
      <c r="B48" s="17" t="s">
        <v>12</v>
      </c>
      <c r="C48" s="17" t="s">
        <v>17</v>
      </c>
      <c r="D48" s="17" t="s">
        <v>18</v>
      </c>
      <c r="E48">
        <v>4</v>
      </c>
      <c r="F48">
        <v>1000000</v>
      </c>
      <c r="G48">
        <v>0</v>
      </c>
      <c r="H48">
        <v>1000000</v>
      </c>
      <c r="I48" s="1">
        <v>46253</v>
      </c>
      <c r="J48" s="17" t="s">
        <v>5</v>
      </c>
      <c r="K48" t="s">
        <v>1057</v>
      </c>
    </row>
    <row r="49" spans="1:11" x14ac:dyDescent="0.25">
      <c r="A49" s="17" t="s">
        <v>104</v>
      </c>
      <c r="B49" s="17" t="s">
        <v>25</v>
      </c>
      <c r="C49" s="17" t="s">
        <v>17</v>
      </c>
      <c r="D49" s="17" t="s">
        <v>4</v>
      </c>
      <c r="E49">
        <v>1</v>
      </c>
      <c r="F49">
        <v>185000</v>
      </c>
      <c r="G49">
        <v>0</v>
      </c>
      <c r="H49">
        <v>185000</v>
      </c>
      <c r="I49" s="1">
        <v>46089</v>
      </c>
      <c r="J49" s="17" t="s">
        <v>10</v>
      </c>
      <c r="K49" t="s">
        <v>1057</v>
      </c>
    </row>
    <row r="50" spans="1:11" x14ac:dyDescent="0.25">
      <c r="A50" s="17" t="s">
        <v>105</v>
      </c>
      <c r="B50" s="17" t="s">
        <v>12</v>
      </c>
      <c r="C50" s="17" t="s">
        <v>17</v>
      </c>
      <c r="D50" s="17" t="s">
        <v>9</v>
      </c>
      <c r="E50">
        <v>3</v>
      </c>
      <c r="F50">
        <v>360000</v>
      </c>
      <c r="G50">
        <v>0</v>
      </c>
      <c r="H50">
        <v>360000</v>
      </c>
      <c r="I50" s="1">
        <v>46066</v>
      </c>
      <c r="J50" s="17" t="s">
        <v>33</v>
      </c>
      <c r="K50" t="s">
        <v>1057</v>
      </c>
    </row>
    <row r="51" spans="1:11" x14ac:dyDescent="0.25">
      <c r="A51" s="17" t="s">
        <v>106</v>
      </c>
      <c r="B51" s="17" t="s">
        <v>12</v>
      </c>
      <c r="C51" s="17" t="s">
        <v>13</v>
      </c>
      <c r="D51" s="17" t="s">
        <v>30</v>
      </c>
      <c r="E51">
        <v>5</v>
      </c>
      <c r="F51">
        <v>925000</v>
      </c>
      <c r="G51">
        <v>10000</v>
      </c>
      <c r="H51">
        <v>915000</v>
      </c>
      <c r="I51" s="1">
        <v>46128</v>
      </c>
      <c r="J51" s="17" t="s">
        <v>20</v>
      </c>
      <c r="K51" t="s">
        <v>1057</v>
      </c>
    </row>
    <row r="52" spans="1:11" x14ac:dyDescent="0.25">
      <c r="A52" s="17" t="s">
        <v>107</v>
      </c>
      <c r="B52" s="17" t="s">
        <v>25</v>
      </c>
      <c r="C52" s="17" t="s">
        <v>3</v>
      </c>
      <c r="D52" s="17" t="s">
        <v>4</v>
      </c>
      <c r="E52">
        <v>4</v>
      </c>
      <c r="F52">
        <v>480000</v>
      </c>
      <c r="G52">
        <v>5000</v>
      </c>
      <c r="H52">
        <v>475000</v>
      </c>
      <c r="I52" s="1">
        <v>46162</v>
      </c>
      <c r="J52" s="17" t="s">
        <v>10</v>
      </c>
      <c r="K52" t="s">
        <v>1057</v>
      </c>
    </row>
    <row r="53" spans="1:11" x14ac:dyDescent="0.25">
      <c r="A53" s="17" t="s">
        <v>108</v>
      </c>
      <c r="B53" s="17" t="s">
        <v>2</v>
      </c>
      <c r="C53" s="17" t="s">
        <v>8</v>
      </c>
      <c r="D53" s="17" t="s">
        <v>32</v>
      </c>
      <c r="E53">
        <v>5</v>
      </c>
      <c r="F53">
        <v>925000</v>
      </c>
      <c r="G53">
        <v>0</v>
      </c>
      <c r="H53">
        <v>925000</v>
      </c>
      <c r="I53" s="1">
        <v>46140</v>
      </c>
      <c r="J53" s="17" t="s">
        <v>10</v>
      </c>
      <c r="K53" t="s">
        <v>1057</v>
      </c>
    </row>
    <row r="54" spans="1:11" x14ac:dyDescent="0.25">
      <c r="A54" s="17" t="s">
        <v>109</v>
      </c>
      <c r="B54" s="17" t="s">
        <v>12</v>
      </c>
      <c r="C54" s="17" t="s">
        <v>13</v>
      </c>
      <c r="D54" s="17" t="s">
        <v>9</v>
      </c>
      <c r="E54">
        <v>6</v>
      </c>
      <c r="F54">
        <v>270000</v>
      </c>
      <c r="G54">
        <v>0</v>
      </c>
      <c r="H54">
        <v>270000</v>
      </c>
      <c r="I54" s="1">
        <v>46121</v>
      </c>
      <c r="J54" s="17" t="s">
        <v>10</v>
      </c>
      <c r="K54" t="s">
        <v>1057</v>
      </c>
    </row>
    <row r="55" spans="1:11" x14ac:dyDescent="0.25">
      <c r="A55" s="17" t="s">
        <v>110</v>
      </c>
      <c r="B55" s="17" t="s">
        <v>25</v>
      </c>
      <c r="C55" s="17" t="s">
        <v>8</v>
      </c>
      <c r="D55" s="17" t="s">
        <v>4</v>
      </c>
      <c r="E55">
        <v>3</v>
      </c>
      <c r="F55">
        <v>750000</v>
      </c>
      <c r="G55">
        <v>15000</v>
      </c>
      <c r="H55">
        <v>735000</v>
      </c>
      <c r="I55" s="1">
        <v>46179</v>
      </c>
      <c r="J55" s="17" t="s">
        <v>10</v>
      </c>
      <c r="K55" t="s">
        <v>1057</v>
      </c>
    </row>
    <row r="56" spans="1:11" x14ac:dyDescent="0.25">
      <c r="A56" s="17" t="s">
        <v>111</v>
      </c>
      <c r="B56" s="17" t="s">
        <v>25</v>
      </c>
      <c r="C56" s="17" t="s">
        <v>17</v>
      </c>
      <c r="D56" s="17" t="s">
        <v>30</v>
      </c>
      <c r="E56">
        <v>3</v>
      </c>
      <c r="F56">
        <v>360000</v>
      </c>
      <c r="G56">
        <v>0</v>
      </c>
      <c r="H56">
        <v>360000</v>
      </c>
      <c r="I56" s="1">
        <v>46201</v>
      </c>
      <c r="J56" s="17" t="s">
        <v>10</v>
      </c>
      <c r="K56" t="s">
        <v>1057</v>
      </c>
    </row>
    <row r="57" spans="1:11" x14ac:dyDescent="0.25">
      <c r="A57" s="17" t="s">
        <v>112</v>
      </c>
      <c r="B57" s="17" t="s">
        <v>2</v>
      </c>
      <c r="C57" s="17" t="s">
        <v>3</v>
      </c>
      <c r="D57" s="17" t="s">
        <v>32</v>
      </c>
      <c r="E57">
        <v>8</v>
      </c>
      <c r="F57">
        <v>2000000</v>
      </c>
      <c r="G57">
        <v>0</v>
      </c>
      <c r="H57">
        <v>2000000</v>
      </c>
      <c r="I57" s="1">
        <v>46116</v>
      </c>
      <c r="J57" s="17" t="s">
        <v>10</v>
      </c>
      <c r="K57" t="s">
        <v>1057</v>
      </c>
    </row>
    <row r="58" spans="1:11" x14ac:dyDescent="0.25">
      <c r="A58" s="17" t="s">
        <v>114</v>
      </c>
      <c r="B58" s="17" t="s">
        <v>12</v>
      </c>
      <c r="C58" s="17" t="s">
        <v>13</v>
      </c>
      <c r="D58" s="17" t="s">
        <v>4</v>
      </c>
      <c r="E58">
        <v>10</v>
      </c>
      <c r="F58">
        <v>2500000</v>
      </c>
      <c r="G58">
        <v>0</v>
      </c>
      <c r="H58">
        <v>2500000</v>
      </c>
      <c r="I58" s="1">
        <v>46036</v>
      </c>
      <c r="J58" s="17" t="s">
        <v>20</v>
      </c>
      <c r="K58" t="s">
        <v>1057</v>
      </c>
    </row>
    <row r="59" spans="1:11" x14ac:dyDescent="0.25">
      <c r="A59" s="17" t="s">
        <v>116</v>
      </c>
      <c r="B59" s="17" t="s">
        <v>2</v>
      </c>
      <c r="C59" s="17" t="s">
        <v>29</v>
      </c>
      <c r="D59" s="17" t="s">
        <v>9</v>
      </c>
      <c r="E59">
        <v>3</v>
      </c>
      <c r="F59">
        <v>750000</v>
      </c>
      <c r="G59">
        <v>0</v>
      </c>
      <c r="H59">
        <v>750000</v>
      </c>
      <c r="I59" s="1">
        <v>46121</v>
      </c>
      <c r="J59" s="17" t="s">
        <v>20</v>
      </c>
      <c r="K59" t="s">
        <v>1057</v>
      </c>
    </row>
    <row r="60" spans="1:11" x14ac:dyDescent="0.25">
      <c r="A60" s="17" t="s">
        <v>117</v>
      </c>
      <c r="B60" s="17" t="s">
        <v>25</v>
      </c>
      <c r="C60" s="17" t="s">
        <v>8</v>
      </c>
      <c r="D60" s="17" t="s">
        <v>30</v>
      </c>
      <c r="E60">
        <v>4</v>
      </c>
      <c r="F60">
        <v>480000</v>
      </c>
      <c r="G60">
        <v>0</v>
      </c>
      <c r="H60">
        <v>480000</v>
      </c>
      <c r="I60" s="1">
        <v>46095</v>
      </c>
      <c r="J60" s="17" t="s">
        <v>33</v>
      </c>
      <c r="K60" t="s">
        <v>1057</v>
      </c>
    </row>
    <row r="61" spans="1:11" x14ac:dyDescent="0.25">
      <c r="A61" s="17" t="s">
        <v>118</v>
      </c>
      <c r="B61" s="17" t="s">
        <v>12</v>
      </c>
      <c r="C61" s="17" t="s">
        <v>29</v>
      </c>
      <c r="D61" s="17" t="s">
        <v>32</v>
      </c>
      <c r="E61">
        <v>5</v>
      </c>
      <c r="F61">
        <v>925000</v>
      </c>
      <c r="G61">
        <v>0</v>
      </c>
      <c r="H61">
        <v>925000</v>
      </c>
      <c r="I61" s="1">
        <v>46087</v>
      </c>
      <c r="J61" s="17" t="s">
        <v>5</v>
      </c>
      <c r="K61" t="s">
        <v>1057</v>
      </c>
    </row>
    <row r="62" spans="1:11" x14ac:dyDescent="0.25">
      <c r="A62" s="17" t="s">
        <v>120</v>
      </c>
      <c r="B62" s="17" t="s">
        <v>2</v>
      </c>
      <c r="C62" s="17" t="s">
        <v>3</v>
      </c>
      <c r="D62" s="17" t="s">
        <v>9</v>
      </c>
      <c r="E62">
        <v>9</v>
      </c>
      <c r="F62">
        <v>675000</v>
      </c>
      <c r="G62">
        <v>0</v>
      </c>
      <c r="H62">
        <v>675000</v>
      </c>
      <c r="I62" s="1">
        <v>46194</v>
      </c>
      <c r="J62" s="17" t="s">
        <v>33</v>
      </c>
      <c r="K62" t="s">
        <v>1057</v>
      </c>
    </row>
    <row r="63" spans="1:11" x14ac:dyDescent="0.25">
      <c r="A63" s="17" t="s">
        <v>121</v>
      </c>
      <c r="B63" s="17" t="s">
        <v>7</v>
      </c>
      <c r="C63" s="17" t="s">
        <v>27</v>
      </c>
      <c r="D63" s="17" t="s">
        <v>9</v>
      </c>
      <c r="E63">
        <v>4</v>
      </c>
      <c r="F63">
        <v>480000</v>
      </c>
      <c r="G63">
        <v>0</v>
      </c>
      <c r="H63">
        <v>480000</v>
      </c>
      <c r="I63" s="1">
        <v>46140</v>
      </c>
      <c r="J63" s="17" t="s">
        <v>10</v>
      </c>
      <c r="K63" t="s">
        <v>1057</v>
      </c>
    </row>
    <row r="64" spans="1:11" x14ac:dyDescent="0.25">
      <c r="A64" s="17" t="s">
        <v>122</v>
      </c>
      <c r="B64" s="17" t="s">
        <v>12</v>
      </c>
      <c r="C64" s="17" t="s">
        <v>29</v>
      </c>
      <c r="D64" s="17" t="s">
        <v>18</v>
      </c>
      <c r="E64">
        <v>3</v>
      </c>
      <c r="F64">
        <v>555000</v>
      </c>
      <c r="G64">
        <v>10000</v>
      </c>
      <c r="H64">
        <v>545000</v>
      </c>
      <c r="I64" s="1">
        <v>46269</v>
      </c>
      <c r="J64" s="17" t="s">
        <v>5</v>
      </c>
      <c r="K64" t="s">
        <v>1057</v>
      </c>
    </row>
    <row r="65" spans="1:11" x14ac:dyDescent="0.25">
      <c r="A65" s="17" t="s">
        <v>123</v>
      </c>
      <c r="B65" s="17" t="s">
        <v>25</v>
      </c>
      <c r="C65" s="17" t="s">
        <v>29</v>
      </c>
      <c r="D65" s="17" t="s">
        <v>4</v>
      </c>
      <c r="E65">
        <v>1</v>
      </c>
      <c r="F65">
        <v>250000</v>
      </c>
      <c r="G65">
        <v>0</v>
      </c>
      <c r="H65">
        <v>250000</v>
      </c>
      <c r="I65" s="1">
        <v>46209</v>
      </c>
      <c r="J65" s="17" t="s">
        <v>10</v>
      </c>
      <c r="K65" t="s">
        <v>1057</v>
      </c>
    </row>
    <row r="66" spans="1:11" x14ac:dyDescent="0.25">
      <c r="A66" s="17" t="s">
        <v>124</v>
      </c>
      <c r="B66" s="17" t="s">
        <v>25</v>
      </c>
      <c r="C66" s="17" t="s">
        <v>17</v>
      </c>
      <c r="D66" s="17" t="s">
        <v>9</v>
      </c>
      <c r="E66">
        <v>8</v>
      </c>
      <c r="F66">
        <v>360000</v>
      </c>
      <c r="G66">
        <v>15000</v>
      </c>
      <c r="H66">
        <v>345000</v>
      </c>
      <c r="I66" s="1">
        <v>46058</v>
      </c>
      <c r="J66" s="17" t="s">
        <v>5</v>
      </c>
      <c r="K66" t="s">
        <v>1057</v>
      </c>
    </row>
    <row r="67" spans="1:11" x14ac:dyDescent="0.25">
      <c r="A67" s="17" t="s">
        <v>125</v>
      </c>
      <c r="B67" s="17" t="s">
        <v>2</v>
      </c>
      <c r="C67" s="17" t="s">
        <v>3</v>
      </c>
      <c r="D67" s="17" t="s">
        <v>9</v>
      </c>
      <c r="E67">
        <v>9</v>
      </c>
      <c r="F67">
        <v>1665000</v>
      </c>
      <c r="G67">
        <v>0</v>
      </c>
      <c r="H67">
        <v>1665000</v>
      </c>
      <c r="I67" s="1">
        <v>46225</v>
      </c>
      <c r="J67" s="17" t="s">
        <v>10</v>
      </c>
      <c r="K67" t="s">
        <v>1057</v>
      </c>
    </row>
    <row r="68" spans="1:11" x14ac:dyDescent="0.25">
      <c r="A68" s="17" t="s">
        <v>126</v>
      </c>
      <c r="B68" s="17" t="s">
        <v>25</v>
      </c>
      <c r="C68" s="17" t="s">
        <v>29</v>
      </c>
      <c r="D68" s="17" t="s">
        <v>30</v>
      </c>
      <c r="E68">
        <v>8</v>
      </c>
      <c r="F68">
        <v>960000</v>
      </c>
      <c r="G68">
        <v>0</v>
      </c>
      <c r="H68">
        <v>960000</v>
      </c>
      <c r="I68" s="1">
        <v>46144</v>
      </c>
      <c r="J68" s="17" t="s">
        <v>5</v>
      </c>
      <c r="K68" t="s">
        <v>1057</v>
      </c>
    </row>
    <row r="69" spans="1:11" x14ac:dyDescent="0.25">
      <c r="A69" s="17" t="s">
        <v>127</v>
      </c>
      <c r="B69" s="17" t="s">
        <v>12</v>
      </c>
      <c r="C69" s="17" t="s">
        <v>27</v>
      </c>
      <c r="D69" s="17" t="s">
        <v>32</v>
      </c>
      <c r="E69">
        <v>3</v>
      </c>
      <c r="F69">
        <v>225000</v>
      </c>
      <c r="G69">
        <v>0</v>
      </c>
      <c r="H69">
        <v>225000</v>
      </c>
      <c r="I69" s="1">
        <v>46183</v>
      </c>
      <c r="J69" s="17" t="s">
        <v>20</v>
      </c>
      <c r="K69" t="s">
        <v>1057</v>
      </c>
    </row>
    <row r="70" spans="1:11" x14ac:dyDescent="0.25">
      <c r="A70" s="17" t="s">
        <v>128</v>
      </c>
      <c r="B70" s="17" t="s">
        <v>12</v>
      </c>
      <c r="C70" s="17" t="s">
        <v>3</v>
      </c>
      <c r="D70" s="17" t="s">
        <v>18</v>
      </c>
      <c r="E70">
        <v>6</v>
      </c>
      <c r="F70">
        <v>1500000</v>
      </c>
      <c r="G70">
        <v>0</v>
      </c>
      <c r="H70">
        <v>1500000</v>
      </c>
      <c r="I70" s="1">
        <v>46064</v>
      </c>
      <c r="J70" s="17" t="s">
        <v>10</v>
      </c>
      <c r="K70" t="s">
        <v>1057</v>
      </c>
    </row>
    <row r="71" spans="1:11" x14ac:dyDescent="0.25">
      <c r="A71" s="17" t="s">
        <v>129</v>
      </c>
      <c r="B71" s="17" t="s">
        <v>25</v>
      </c>
      <c r="C71" s="17" t="s">
        <v>17</v>
      </c>
      <c r="D71" s="17" t="s">
        <v>32</v>
      </c>
      <c r="E71">
        <v>10</v>
      </c>
      <c r="F71">
        <v>1200000</v>
      </c>
      <c r="G71">
        <v>0</v>
      </c>
      <c r="H71">
        <v>1200000</v>
      </c>
      <c r="I71" s="1">
        <v>46211</v>
      </c>
      <c r="J71" s="17" t="s">
        <v>20</v>
      </c>
      <c r="K71" t="s">
        <v>1057</v>
      </c>
    </row>
    <row r="72" spans="1:11" x14ac:dyDescent="0.25">
      <c r="A72" s="17" t="s">
        <v>130</v>
      </c>
      <c r="B72" s="17" t="s">
        <v>2</v>
      </c>
      <c r="C72" s="17" t="s">
        <v>3</v>
      </c>
      <c r="D72" s="17" t="s">
        <v>32</v>
      </c>
      <c r="E72">
        <v>9</v>
      </c>
      <c r="F72">
        <v>2250000</v>
      </c>
      <c r="G72">
        <v>0</v>
      </c>
      <c r="H72">
        <v>2250000</v>
      </c>
      <c r="I72" s="1">
        <v>46170</v>
      </c>
      <c r="J72" s="17" t="s">
        <v>5</v>
      </c>
      <c r="K72" t="s">
        <v>1057</v>
      </c>
    </row>
    <row r="73" spans="1:11" x14ac:dyDescent="0.25">
      <c r="A73" s="17" t="s">
        <v>131</v>
      </c>
      <c r="B73" s="17" t="s">
        <v>12</v>
      </c>
      <c r="C73" s="17" t="s">
        <v>29</v>
      </c>
      <c r="D73" s="17" t="s">
        <v>30</v>
      </c>
      <c r="E73">
        <v>3</v>
      </c>
      <c r="F73">
        <v>555000</v>
      </c>
      <c r="G73">
        <v>0</v>
      </c>
      <c r="H73">
        <v>555000</v>
      </c>
      <c r="I73" s="1">
        <v>46178</v>
      </c>
      <c r="J73" s="17" t="s">
        <v>20</v>
      </c>
      <c r="K73" t="s">
        <v>1057</v>
      </c>
    </row>
    <row r="74" spans="1:11" x14ac:dyDescent="0.25">
      <c r="A74" s="17" t="s">
        <v>133</v>
      </c>
      <c r="B74" s="17" t="s">
        <v>12</v>
      </c>
      <c r="C74" s="17" t="s">
        <v>27</v>
      </c>
      <c r="D74" s="17" t="s">
        <v>18</v>
      </c>
      <c r="E74">
        <v>6</v>
      </c>
      <c r="F74">
        <v>450000</v>
      </c>
      <c r="G74">
        <v>10000</v>
      </c>
      <c r="H74">
        <v>440000</v>
      </c>
      <c r="I74" s="1">
        <v>46119</v>
      </c>
      <c r="J74" s="17" t="s">
        <v>33</v>
      </c>
      <c r="K74" t="s">
        <v>1057</v>
      </c>
    </row>
    <row r="75" spans="1:11" x14ac:dyDescent="0.25">
      <c r="A75" s="17" t="s">
        <v>134</v>
      </c>
      <c r="B75" s="17" t="s">
        <v>12</v>
      </c>
      <c r="C75" s="17" t="s">
        <v>29</v>
      </c>
      <c r="D75" s="17" t="s">
        <v>30</v>
      </c>
      <c r="E75">
        <v>4</v>
      </c>
      <c r="F75">
        <v>300000</v>
      </c>
      <c r="G75">
        <v>0</v>
      </c>
      <c r="H75">
        <v>300000</v>
      </c>
      <c r="I75" s="1">
        <v>46176</v>
      </c>
      <c r="J75" s="17" t="s">
        <v>33</v>
      </c>
      <c r="K75" t="s">
        <v>1057</v>
      </c>
    </row>
    <row r="76" spans="1:11" x14ac:dyDescent="0.25">
      <c r="A76" s="17" t="s">
        <v>135</v>
      </c>
      <c r="B76" s="17" t="s">
        <v>25</v>
      </c>
      <c r="C76" s="17" t="s">
        <v>29</v>
      </c>
      <c r="D76" s="17" t="s">
        <v>9</v>
      </c>
      <c r="E76">
        <v>7</v>
      </c>
      <c r="F76">
        <v>525000</v>
      </c>
      <c r="G76">
        <v>0</v>
      </c>
      <c r="H76">
        <v>525000</v>
      </c>
      <c r="I76" s="1">
        <v>46066</v>
      </c>
      <c r="J76" s="17" t="s">
        <v>33</v>
      </c>
      <c r="K76" t="s">
        <v>1057</v>
      </c>
    </row>
    <row r="77" spans="1:11" x14ac:dyDescent="0.25">
      <c r="A77" s="17" t="s">
        <v>136</v>
      </c>
      <c r="B77" s="17" t="s">
        <v>7</v>
      </c>
      <c r="C77" s="17" t="s">
        <v>13</v>
      </c>
      <c r="D77" s="17" t="s">
        <v>32</v>
      </c>
      <c r="E77">
        <v>5</v>
      </c>
      <c r="F77">
        <v>375000</v>
      </c>
      <c r="G77">
        <v>5000</v>
      </c>
      <c r="H77">
        <v>370000</v>
      </c>
      <c r="I77" s="1">
        <v>46210</v>
      </c>
      <c r="J77" s="17" t="s">
        <v>5</v>
      </c>
      <c r="K77" t="s">
        <v>1057</v>
      </c>
    </row>
    <row r="78" spans="1:11" x14ac:dyDescent="0.25">
      <c r="A78" s="17" t="s">
        <v>137</v>
      </c>
      <c r="B78" s="17" t="s">
        <v>12</v>
      </c>
      <c r="C78" s="17" t="s">
        <v>27</v>
      </c>
      <c r="D78" s="17" t="s">
        <v>4</v>
      </c>
      <c r="E78">
        <v>8</v>
      </c>
      <c r="F78">
        <v>960000</v>
      </c>
      <c r="G78">
        <v>0</v>
      </c>
      <c r="H78">
        <v>960000</v>
      </c>
      <c r="I78" s="1">
        <v>46251</v>
      </c>
      <c r="J78" s="17" t="s">
        <v>5</v>
      </c>
      <c r="K78" t="s">
        <v>1057</v>
      </c>
    </row>
    <row r="79" spans="1:11" x14ac:dyDescent="0.25">
      <c r="A79" s="17" t="s">
        <v>139</v>
      </c>
      <c r="B79" s="17" t="s">
        <v>12</v>
      </c>
      <c r="C79" s="17" t="s">
        <v>29</v>
      </c>
      <c r="D79" s="17" t="s">
        <v>30</v>
      </c>
      <c r="E79">
        <v>4</v>
      </c>
      <c r="F79">
        <v>300000</v>
      </c>
      <c r="G79">
        <v>0</v>
      </c>
      <c r="H79">
        <v>300000</v>
      </c>
      <c r="I79" s="1">
        <v>46198</v>
      </c>
      <c r="J79" s="17" t="s">
        <v>5</v>
      </c>
      <c r="K79" t="s">
        <v>1057</v>
      </c>
    </row>
    <row r="80" spans="1:11" x14ac:dyDescent="0.25">
      <c r="A80" s="17" t="s">
        <v>140</v>
      </c>
      <c r="B80" s="17" t="s">
        <v>12</v>
      </c>
      <c r="C80" s="17" t="s">
        <v>17</v>
      </c>
      <c r="D80" s="17" t="s">
        <v>4</v>
      </c>
      <c r="E80">
        <v>7</v>
      </c>
      <c r="F80">
        <v>840000</v>
      </c>
      <c r="G80">
        <v>15000</v>
      </c>
      <c r="H80">
        <v>825000</v>
      </c>
      <c r="I80" s="1">
        <v>46038</v>
      </c>
      <c r="J80" s="17" t="s">
        <v>10</v>
      </c>
      <c r="K80" t="s">
        <v>1057</v>
      </c>
    </row>
    <row r="81" spans="1:11" x14ac:dyDescent="0.25">
      <c r="A81" s="17" t="s">
        <v>141</v>
      </c>
      <c r="B81" s="17" t="s">
        <v>2</v>
      </c>
      <c r="C81" s="17" t="s">
        <v>17</v>
      </c>
      <c r="D81" s="17" t="s">
        <v>32</v>
      </c>
      <c r="E81">
        <v>4</v>
      </c>
      <c r="F81">
        <v>300000</v>
      </c>
      <c r="G81">
        <v>0</v>
      </c>
      <c r="H81">
        <v>300000</v>
      </c>
      <c r="I81" s="1">
        <v>46302</v>
      </c>
      <c r="J81" s="17" t="s">
        <v>20</v>
      </c>
      <c r="K81" t="s">
        <v>1057</v>
      </c>
    </row>
    <row r="82" spans="1:11" x14ac:dyDescent="0.25">
      <c r="A82" s="17" t="s">
        <v>142</v>
      </c>
      <c r="B82" s="17" t="s">
        <v>2</v>
      </c>
      <c r="C82" s="17" t="s">
        <v>17</v>
      </c>
      <c r="D82" s="17" t="s">
        <v>9</v>
      </c>
      <c r="E82">
        <v>1</v>
      </c>
      <c r="F82">
        <v>250000</v>
      </c>
      <c r="G82">
        <v>0</v>
      </c>
      <c r="H82">
        <v>250000</v>
      </c>
      <c r="I82" s="1">
        <v>46046</v>
      </c>
      <c r="J82" s="17" t="s">
        <v>10</v>
      </c>
      <c r="K82" t="s">
        <v>1057</v>
      </c>
    </row>
    <row r="83" spans="1:11" x14ac:dyDescent="0.25">
      <c r="A83" s="17" t="s">
        <v>143</v>
      </c>
      <c r="B83" s="17" t="s">
        <v>2</v>
      </c>
      <c r="C83" s="17" t="s">
        <v>17</v>
      </c>
      <c r="D83" s="17" t="s">
        <v>32</v>
      </c>
      <c r="E83">
        <v>4</v>
      </c>
      <c r="F83">
        <v>480000</v>
      </c>
      <c r="G83">
        <v>10000</v>
      </c>
      <c r="H83">
        <v>470000</v>
      </c>
      <c r="I83" s="1">
        <v>46192</v>
      </c>
      <c r="J83" s="17" t="s">
        <v>10</v>
      </c>
      <c r="K83" t="s">
        <v>1057</v>
      </c>
    </row>
    <row r="84" spans="1:11" x14ac:dyDescent="0.25">
      <c r="A84" s="17" t="s">
        <v>144</v>
      </c>
      <c r="B84" s="17" t="s">
        <v>7</v>
      </c>
      <c r="C84" s="17" t="s">
        <v>17</v>
      </c>
      <c r="D84" s="17" t="s">
        <v>32</v>
      </c>
      <c r="E84">
        <v>1</v>
      </c>
      <c r="F84">
        <v>45000</v>
      </c>
      <c r="G84">
        <v>0</v>
      </c>
      <c r="H84">
        <v>45000</v>
      </c>
      <c r="I84" s="1">
        <v>46075</v>
      </c>
      <c r="J84" s="17" t="s">
        <v>20</v>
      </c>
      <c r="K84" t="s">
        <v>1057</v>
      </c>
    </row>
    <row r="85" spans="1:11" x14ac:dyDescent="0.25">
      <c r="A85" s="17" t="s">
        <v>145</v>
      </c>
      <c r="B85" s="17" t="s">
        <v>7</v>
      </c>
      <c r="C85" s="17" t="s">
        <v>13</v>
      </c>
      <c r="D85" s="17" t="s">
        <v>18</v>
      </c>
      <c r="E85">
        <v>1</v>
      </c>
      <c r="F85">
        <v>45000</v>
      </c>
      <c r="G85">
        <v>0</v>
      </c>
      <c r="H85">
        <v>45000</v>
      </c>
      <c r="I85" s="1">
        <v>46221</v>
      </c>
      <c r="J85" s="17" t="s">
        <v>20</v>
      </c>
      <c r="K85" t="s">
        <v>1057</v>
      </c>
    </row>
    <row r="86" spans="1:11" x14ac:dyDescent="0.25">
      <c r="A86" s="17" t="s">
        <v>146</v>
      </c>
      <c r="B86" s="17" t="s">
        <v>7</v>
      </c>
      <c r="C86" s="17" t="s">
        <v>17</v>
      </c>
      <c r="D86" s="17" t="s">
        <v>4</v>
      </c>
      <c r="E86">
        <v>9</v>
      </c>
      <c r="F86">
        <v>1665000</v>
      </c>
      <c r="G86">
        <v>0</v>
      </c>
      <c r="H86">
        <v>1665000</v>
      </c>
      <c r="I86" s="1">
        <v>46106</v>
      </c>
      <c r="J86" s="17" t="s">
        <v>20</v>
      </c>
      <c r="K86" t="s">
        <v>1057</v>
      </c>
    </row>
    <row r="87" spans="1:11" x14ac:dyDescent="0.25">
      <c r="A87" s="17" t="s">
        <v>147</v>
      </c>
      <c r="B87" s="17" t="s">
        <v>7</v>
      </c>
      <c r="C87" s="17" t="s">
        <v>27</v>
      </c>
      <c r="D87" s="17" t="s">
        <v>30</v>
      </c>
      <c r="E87">
        <v>3</v>
      </c>
      <c r="F87">
        <v>225000</v>
      </c>
      <c r="G87">
        <v>0</v>
      </c>
      <c r="H87">
        <v>225000</v>
      </c>
      <c r="I87" s="1">
        <v>46120</v>
      </c>
      <c r="J87" s="17" t="s">
        <v>10</v>
      </c>
      <c r="K87" t="s">
        <v>1057</v>
      </c>
    </row>
    <row r="88" spans="1:11" x14ac:dyDescent="0.25">
      <c r="A88" s="17" t="s">
        <v>148</v>
      </c>
      <c r="B88" s="17" t="s">
        <v>25</v>
      </c>
      <c r="C88" s="17" t="s">
        <v>8</v>
      </c>
      <c r="D88" s="17" t="s">
        <v>18</v>
      </c>
      <c r="E88">
        <v>8</v>
      </c>
      <c r="F88">
        <v>360000</v>
      </c>
      <c r="G88">
        <v>0</v>
      </c>
      <c r="H88">
        <v>360000</v>
      </c>
      <c r="I88" s="1">
        <v>46048</v>
      </c>
      <c r="J88" s="17" t="s">
        <v>33</v>
      </c>
      <c r="K88" t="s">
        <v>1057</v>
      </c>
    </row>
    <row r="89" spans="1:11" x14ac:dyDescent="0.25">
      <c r="A89" s="17" t="s">
        <v>149</v>
      </c>
      <c r="B89" s="17" t="s">
        <v>7</v>
      </c>
      <c r="C89" s="17" t="s">
        <v>27</v>
      </c>
      <c r="D89" s="17" t="s">
        <v>30</v>
      </c>
      <c r="E89">
        <v>8</v>
      </c>
      <c r="F89">
        <v>2000000</v>
      </c>
      <c r="G89">
        <v>0</v>
      </c>
      <c r="H89">
        <v>2000000</v>
      </c>
      <c r="I89" s="1">
        <v>46100</v>
      </c>
      <c r="J89" s="17" t="s">
        <v>5</v>
      </c>
      <c r="K89" t="s">
        <v>1057</v>
      </c>
    </row>
    <row r="90" spans="1:11" x14ac:dyDescent="0.25">
      <c r="A90" s="17" t="s">
        <v>150</v>
      </c>
      <c r="B90" s="17" t="s">
        <v>2</v>
      </c>
      <c r="C90" s="17" t="s">
        <v>8</v>
      </c>
      <c r="D90" s="17" t="s">
        <v>30</v>
      </c>
      <c r="E90">
        <v>4</v>
      </c>
      <c r="F90">
        <v>300000</v>
      </c>
      <c r="G90">
        <v>0</v>
      </c>
      <c r="H90">
        <v>300000</v>
      </c>
      <c r="I90" s="1">
        <v>46074</v>
      </c>
      <c r="J90" s="17" t="s">
        <v>33</v>
      </c>
      <c r="K90" t="s">
        <v>1057</v>
      </c>
    </row>
    <row r="91" spans="1:11" x14ac:dyDescent="0.25">
      <c r="A91" s="17" t="s">
        <v>153</v>
      </c>
      <c r="B91" s="17" t="s">
        <v>12</v>
      </c>
      <c r="C91" s="17" t="s">
        <v>29</v>
      </c>
      <c r="D91" s="17" t="s">
        <v>32</v>
      </c>
      <c r="E91">
        <v>8</v>
      </c>
      <c r="F91">
        <v>1480000</v>
      </c>
      <c r="G91">
        <v>0</v>
      </c>
      <c r="H91">
        <v>1480000</v>
      </c>
      <c r="I91" s="1">
        <v>46174</v>
      </c>
      <c r="J91" s="17" t="s">
        <v>33</v>
      </c>
      <c r="K91" t="s">
        <v>1057</v>
      </c>
    </row>
    <row r="92" spans="1:11" x14ac:dyDescent="0.25">
      <c r="A92" s="17" t="s">
        <v>154</v>
      </c>
      <c r="B92" s="17" t="s">
        <v>25</v>
      </c>
      <c r="C92" s="17" t="s">
        <v>17</v>
      </c>
      <c r="D92" s="17" t="s">
        <v>18</v>
      </c>
      <c r="E92">
        <v>4</v>
      </c>
      <c r="F92">
        <v>740000</v>
      </c>
      <c r="G92">
        <v>5000</v>
      </c>
      <c r="H92">
        <v>735000</v>
      </c>
      <c r="I92" s="1">
        <v>46080</v>
      </c>
      <c r="J92" s="17" t="s">
        <v>33</v>
      </c>
      <c r="K92" t="s">
        <v>1057</v>
      </c>
    </row>
    <row r="93" spans="1:11" x14ac:dyDescent="0.25">
      <c r="A93" s="17" t="s">
        <v>155</v>
      </c>
      <c r="B93" s="17" t="s">
        <v>2</v>
      </c>
      <c r="C93" s="17" t="s">
        <v>17</v>
      </c>
      <c r="D93" s="17" t="s">
        <v>4</v>
      </c>
      <c r="E93">
        <v>2</v>
      </c>
      <c r="F93">
        <v>150000</v>
      </c>
      <c r="G93">
        <v>0</v>
      </c>
      <c r="H93">
        <v>150000</v>
      </c>
      <c r="I93" s="1">
        <v>46059</v>
      </c>
      <c r="J93" s="17" t="s">
        <v>33</v>
      </c>
      <c r="K93" t="s">
        <v>1057</v>
      </c>
    </row>
    <row r="94" spans="1:11" x14ac:dyDescent="0.25">
      <c r="A94" s="17" t="s">
        <v>157</v>
      </c>
      <c r="B94" s="17" t="s">
        <v>2</v>
      </c>
      <c r="C94" s="17" t="s">
        <v>17</v>
      </c>
      <c r="D94" s="17" t="s">
        <v>30</v>
      </c>
      <c r="E94">
        <v>10</v>
      </c>
      <c r="F94">
        <v>2500000</v>
      </c>
      <c r="G94">
        <v>10000</v>
      </c>
      <c r="H94">
        <v>2490000</v>
      </c>
      <c r="I94" s="1">
        <v>46091</v>
      </c>
      <c r="J94" s="17" t="s">
        <v>10</v>
      </c>
      <c r="K94" t="s">
        <v>1057</v>
      </c>
    </row>
    <row r="95" spans="1:11" x14ac:dyDescent="0.25">
      <c r="A95" s="17" t="s">
        <v>158</v>
      </c>
      <c r="B95" s="17" t="s">
        <v>12</v>
      </c>
      <c r="C95" s="17" t="s">
        <v>8</v>
      </c>
      <c r="D95" s="17" t="s">
        <v>4</v>
      </c>
      <c r="E95">
        <v>9</v>
      </c>
      <c r="F95">
        <v>675000</v>
      </c>
      <c r="G95">
        <v>0</v>
      </c>
      <c r="H95">
        <v>675000</v>
      </c>
      <c r="I95" s="1">
        <v>46120</v>
      </c>
      <c r="J95" s="17" t="s">
        <v>10</v>
      </c>
      <c r="K95" t="s">
        <v>1057</v>
      </c>
    </row>
    <row r="96" spans="1:11" x14ac:dyDescent="0.25">
      <c r="A96" s="17" t="s">
        <v>160</v>
      </c>
      <c r="B96" s="17" t="s">
        <v>25</v>
      </c>
      <c r="C96" s="17" t="s">
        <v>27</v>
      </c>
      <c r="D96" s="17" t="s">
        <v>18</v>
      </c>
      <c r="E96">
        <v>5</v>
      </c>
      <c r="F96">
        <v>925000</v>
      </c>
      <c r="G96">
        <v>0</v>
      </c>
      <c r="H96">
        <v>925000</v>
      </c>
      <c r="I96" s="1">
        <v>46103</v>
      </c>
      <c r="J96" s="17" t="s">
        <v>10</v>
      </c>
      <c r="K96" t="s">
        <v>1057</v>
      </c>
    </row>
    <row r="97" spans="1:11" x14ac:dyDescent="0.25">
      <c r="A97" s="17" t="s">
        <v>161</v>
      </c>
      <c r="B97" s="17" t="s">
        <v>2</v>
      </c>
      <c r="C97" s="17" t="s">
        <v>17</v>
      </c>
      <c r="D97" s="17" t="s">
        <v>9</v>
      </c>
      <c r="E97">
        <v>6</v>
      </c>
      <c r="F97">
        <v>1500000</v>
      </c>
      <c r="G97">
        <v>0</v>
      </c>
      <c r="H97">
        <v>1500000</v>
      </c>
      <c r="I97" s="1">
        <v>46146</v>
      </c>
      <c r="J97" s="17" t="s">
        <v>5</v>
      </c>
      <c r="K97" t="s">
        <v>1057</v>
      </c>
    </row>
    <row r="98" spans="1:11" x14ac:dyDescent="0.25">
      <c r="A98" s="17" t="s">
        <v>162</v>
      </c>
      <c r="B98" s="17" t="s">
        <v>2</v>
      </c>
      <c r="C98" s="17" t="s">
        <v>17</v>
      </c>
      <c r="D98" s="17" t="s">
        <v>4</v>
      </c>
      <c r="E98">
        <v>7</v>
      </c>
      <c r="F98">
        <v>840000</v>
      </c>
      <c r="G98">
        <v>0</v>
      </c>
      <c r="H98">
        <v>840000</v>
      </c>
      <c r="I98" s="1">
        <v>46120</v>
      </c>
      <c r="J98" s="17" t="s">
        <v>33</v>
      </c>
      <c r="K98" t="s">
        <v>1057</v>
      </c>
    </row>
    <row r="99" spans="1:11" x14ac:dyDescent="0.25">
      <c r="A99" s="17" t="s">
        <v>164</v>
      </c>
      <c r="B99" s="17" t="s">
        <v>12</v>
      </c>
      <c r="C99" s="17" t="s">
        <v>3</v>
      </c>
      <c r="D99" s="17" t="s">
        <v>32</v>
      </c>
      <c r="E99">
        <v>8</v>
      </c>
      <c r="F99">
        <v>960000</v>
      </c>
      <c r="G99">
        <v>10000</v>
      </c>
      <c r="H99">
        <v>950000</v>
      </c>
      <c r="I99" s="1">
        <v>46249</v>
      </c>
      <c r="J99" s="17" t="s">
        <v>20</v>
      </c>
      <c r="K99" t="s">
        <v>1057</v>
      </c>
    </row>
    <row r="100" spans="1:11" x14ac:dyDescent="0.25">
      <c r="A100" s="17" t="s">
        <v>165</v>
      </c>
      <c r="B100" s="17" t="s">
        <v>7</v>
      </c>
      <c r="C100" s="17" t="s">
        <v>17</v>
      </c>
      <c r="D100" s="17" t="s">
        <v>9</v>
      </c>
      <c r="E100">
        <v>9</v>
      </c>
      <c r="F100">
        <v>1665000</v>
      </c>
      <c r="G100">
        <v>0</v>
      </c>
      <c r="H100">
        <v>1665000</v>
      </c>
      <c r="I100" s="1">
        <v>46050</v>
      </c>
      <c r="J100" s="17" t="s">
        <v>5</v>
      </c>
      <c r="K100" t="s">
        <v>1057</v>
      </c>
    </row>
    <row r="101" spans="1:11" x14ac:dyDescent="0.25">
      <c r="A101" s="17" t="s">
        <v>166</v>
      </c>
      <c r="B101" s="17" t="s">
        <v>25</v>
      </c>
      <c r="C101" s="17" t="s">
        <v>27</v>
      </c>
      <c r="D101" s="17" t="s">
        <v>4</v>
      </c>
      <c r="E101">
        <v>10</v>
      </c>
      <c r="F101">
        <v>2500000</v>
      </c>
      <c r="G101">
        <v>15000</v>
      </c>
      <c r="H101">
        <v>2485000</v>
      </c>
      <c r="I101" s="1">
        <v>46046</v>
      </c>
      <c r="J101" s="17" t="s">
        <v>20</v>
      </c>
      <c r="K101" t="s">
        <v>1057</v>
      </c>
    </row>
    <row r="102" spans="1:11" x14ac:dyDescent="0.25">
      <c r="A102" s="17" t="s">
        <v>167</v>
      </c>
      <c r="B102" s="17" t="s">
        <v>2</v>
      </c>
      <c r="C102" s="17" t="s">
        <v>3</v>
      </c>
      <c r="D102" s="17" t="s">
        <v>4</v>
      </c>
      <c r="E102">
        <v>2</v>
      </c>
      <c r="F102">
        <v>240000</v>
      </c>
      <c r="G102">
        <v>0</v>
      </c>
      <c r="H102">
        <v>240000</v>
      </c>
      <c r="I102" s="1">
        <v>46062</v>
      </c>
      <c r="J102" s="17" t="s">
        <v>10</v>
      </c>
      <c r="K102" t="s">
        <v>1057</v>
      </c>
    </row>
    <row r="103" spans="1:11" x14ac:dyDescent="0.25">
      <c r="A103" s="17" t="s">
        <v>168</v>
      </c>
      <c r="B103" s="17" t="s">
        <v>7</v>
      </c>
      <c r="C103" s="17" t="s">
        <v>8</v>
      </c>
      <c r="D103" s="17" t="s">
        <v>18</v>
      </c>
      <c r="E103">
        <v>6</v>
      </c>
      <c r="F103">
        <v>720000</v>
      </c>
      <c r="G103">
        <v>0</v>
      </c>
      <c r="H103">
        <v>720000</v>
      </c>
      <c r="I103" s="1">
        <v>46085</v>
      </c>
      <c r="J103" s="17" t="s">
        <v>10</v>
      </c>
      <c r="K103" t="s">
        <v>1057</v>
      </c>
    </row>
    <row r="104" spans="1:11" x14ac:dyDescent="0.25">
      <c r="A104" s="17" t="s">
        <v>169</v>
      </c>
      <c r="B104" s="17" t="s">
        <v>7</v>
      </c>
      <c r="C104" s="17" t="s">
        <v>17</v>
      </c>
      <c r="D104" s="17" t="s">
        <v>18</v>
      </c>
      <c r="E104">
        <v>10</v>
      </c>
      <c r="F104">
        <v>450000</v>
      </c>
      <c r="G104">
        <v>10000</v>
      </c>
      <c r="H104">
        <v>440000</v>
      </c>
      <c r="I104" s="1">
        <v>46146</v>
      </c>
      <c r="J104" s="17" t="s">
        <v>20</v>
      </c>
      <c r="K104" t="s">
        <v>1057</v>
      </c>
    </row>
    <row r="105" spans="1:11" x14ac:dyDescent="0.25">
      <c r="A105" s="17" t="s">
        <v>170</v>
      </c>
      <c r="B105" s="17" t="s">
        <v>7</v>
      </c>
      <c r="C105" s="17" t="s">
        <v>13</v>
      </c>
      <c r="D105" s="17" t="s">
        <v>30</v>
      </c>
      <c r="E105">
        <v>2</v>
      </c>
      <c r="F105">
        <v>150000</v>
      </c>
      <c r="G105">
        <v>0</v>
      </c>
      <c r="H105">
        <v>150000</v>
      </c>
      <c r="I105" s="1">
        <v>46114</v>
      </c>
      <c r="J105" s="17" t="s">
        <v>20</v>
      </c>
      <c r="K105" t="s">
        <v>1057</v>
      </c>
    </row>
    <row r="106" spans="1:11" x14ac:dyDescent="0.25">
      <c r="A106" s="17" t="s">
        <v>171</v>
      </c>
      <c r="B106" s="17" t="s">
        <v>2</v>
      </c>
      <c r="C106" s="17" t="s">
        <v>17</v>
      </c>
      <c r="D106" s="17" t="s">
        <v>4</v>
      </c>
      <c r="E106">
        <v>6</v>
      </c>
      <c r="F106">
        <v>1110000</v>
      </c>
      <c r="G106">
        <v>0</v>
      </c>
      <c r="H106">
        <v>1110000</v>
      </c>
      <c r="I106" s="1">
        <v>46105</v>
      </c>
      <c r="J106" s="17" t="s">
        <v>20</v>
      </c>
      <c r="K106" t="s">
        <v>1057</v>
      </c>
    </row>
    <row r="107" spans="1:11" x14ac:dyDescent="0.25">
      <c r="A107" s="17" t="s">
        <v>172</v>
      </c>
      <c r="B107" s="17" t="s">
        <v>2</v>
      </c>
      <c r="C107" s="17" t="s">
        <v>13</v>
      </c>
      <c r="D107" s="17" t="s">
        <v>32</v>
      </c>
      <c r="E107">
        <v>5</v>
      </c>
      <c r="F107">
        <v>925000</v>
      </c>
      <c r="G107">
        <v>0</v>
      </c>
      <c r="H107">
        <v>925000</v>
      </c>
      <c r="I107" s="1">
        <v>46194</v>
      </c>
      <c r="J107" s="17" t="s">
        <v>20</v>
      </c>
      <c r="K107" t="s">
        <v>1057</v>
      </c>
    </row>
    <row r="108" spans="1:11" x14ac:dyDescent="0.25">
      <c r="A108" s="17" t="s">
        <v>173</v>
      </c>
      <c r="B108" s="17" t="s">
        <v>12</v>
      </c>
      <c r="C108" s="17" t="s">
        <v>13</v>
      </c>
      <c r="D108" s="17" t="s">
        <v>18</v>
      </c>
      <c r="E108">
        <v>2</v>
      </c>
      <c r="F108">
        <v>240000</v>
      </c>
      <c r="G108">
        <v>0</v>
      </c>
      <c r="H108">
        <v>240000</v>
      </c>
      <c r="I108" s="1">
        <v>46120</v>
      </c>
      <c r="J108" s="17" t="s">
        <v>20</v>
      </c>
      <c r="K108" t="s">
        <v>1057</v>
      </c>
    </row>
    <row r="109" spans="1:11" x14ac:dyDescent="0.25">
      <c r="A109" s="17" t="s">
        <v>174</v>
      </c>
      <c r="B109" s="17" t="s">
        <v>7</v>
      </c>
      <c r="C109" s="17" t="s">
        <v>29</v>
      </c>
      <c r="D109" s="17" t="s">
        <v>32</v>
      </c>
      <c r="E109">
        <v>4</v>
      </c>
      <c r="F109">
        <v>740000</v>
      </c>
      <c r="G109">
        <v>5000</v>
      </c>
      <c r="H109">
        <v>735000</v>
      </c>
      <c r="I109" s="1">
        <v>46177</v>
      </c>
      <c r="J109" s="17" t="s">
        <v>10</v>
      </c>
      <c r="K109" t="s">
        <v>1057</v>
      </c>
    </row>
    <row r="110" spans="1:11" x14ac:dyDescent="0.25">
      <c r="A110" s="17" t="s">
        <v>175</v>
      </c>
      <c r="B110" s="17" t="s">
        <v>12</v>
      </c>
      <c r="C110" s="17" t="s">
        <v>3</v>
      </c>
      <c r="D110" s="17" t="s">
        <v>4</v>
      </c>
      <c r="E110">
        <v>3</v>
      </c>
      <c r="F110">
        <v>225000</v>
      </c>
      <c r="G110">
        <v>0</v>
      </c>
      <c r="H110">
        <v>225000</v>
      </c>
      <c r="I110" s="1">
        <v>46063</v>
      </c>
      <c r="J110" s="17" t="s">
        <v>5</v>
      </c>
      <c r="K110" t="s">
        <v>1057</v>
      </c>
    </row>
    <row r="111" spans="1:11" x14ac:dyDescent="0.25">
      <c r="A111" s="17" t="s">
        <v>176</v>
      </c>
      <c r="B111" s="17" t="s">
        <v>12</v>
      </c>
      <c r="C111" s="17" t="s">
        <v>3</v>
      </c>
      <c r="D111" s="17" t="s">
        <v>4</v>
      </c>
      <c r="E111">
        <v>7</v>
      </c>
      <c r="F111">
        <v>840000</v>
      </c>
      <c r="G111">
        <v>0</v>
      </c>
      <c r="H111">
        <v>840000</v>
      </c>
      <c r="I111" s="1">
        <v>46251</v>
      </c>
      <c r="J111" s="17" t="s">
        <v>33</v>
      </c>
      <c r="K111" t="s">
        <v>1057</v>
      </c>
    </row>
    <row r="112" spans="1:11" x14ac:dyDescent="0.25">
      <c r="A112" s="17" t="s">
        <v>177</v>
      </c>
      <c r="B112" s="17" t="s">
        <v>7</v>
      </c>
      <c r="C112" s="17" t="s">
        <v>27</v>
      </c>
      <c r="D112" s="17" t="s">
        <v>4</v>
      </c>
      <c r="E112">
        <v>8</v>
      </c>
      <c r="F112">
        <v>960000</v>
      </c>
      <c r="G112">
        <v>5000</v>
      </c>
      <c r="H112">
        <v>955000</v>
      </c>
      <c r="I112" s="1">
        <v>46169</v>
      </c>
      <c r="J112" s="17" t="s">
        <v>33</v>
      </c>
      <c r="K112" t="s">
        <v>1057</v>
      </c>
    </row>
    <row r="113" spans="1:11" x14ac:dyDescent="0.25">
      <c r="A113" s="17" t="s">
        <v>178</v>
      </c>
      <c r="B113" s="17" t="s">
        <v>12</v>
      </c>
      <c r="C113" s="17" t="s">
        <v>29</v>
      </c>
      <c r="D113" s="17" t="s">
        <v>18</v>
      </c>
      <c r="E113">
        <v>6</v>
      </c>
      <c r="F113">
        <v>1110000</v>
      </c>
      <c r="G113">
        <v>0</v>
      </c>
      <c r="H113">
        <v>1110000</v>
      </c>
      <c r="I113" s="1">
        <v>46119</v>
      </c>
      <c r="J113" s="17" t="s">
        <v>20</v>
      </c>
      <c r="K113" t="s">
        <v>1057</v>
      </c>
    </row>
    <row r="114" spans="1:11" x14ac:dyDescent="0.25">
      <c r="A114" s="17" t="s">
        <v>179</v>
      </c>
      <c r="B114" s="17" t="s">
        <v>25</v>
      </c>
      <c r="C114" s="17" t="s">
        <v>29</v>
      </c>
      <c r="D114" s="17" t="s">
        <v>30</v>
      </c>
      <c r="E114">
        <v>2</v>
      </c>
      <c r="F114">
        <v>240000</v>
      </c>
      <c r="G114">
        <v>0</v>
      </c>
      <c r="H114">
        <v>240000</v>
      </c>
      <c r="I114" s="1">
        <v>46177</v>
      </c>
      <c r="J114" s="17" t="s">
        <v>10</v>
      </c>
      <c r="K114" t="s">
        <v>1057</v>
      </c>
    </row>
    <row r="115" spans="1:11" x14ac:dyDescent="0.25">
      <c r="A115" s="17" t="s">
        <v>180</v>
      </c>
      <c r="B115" s="17" t="s">
        <v>2</v>
      </c>
      <c r="C115" s="17" t="s">
        <v>3</v>
      </c>
      <c r="D115" s="17" t="s">
        <v>9</v>
      </c>
      <c r="E115">
        <v>9</v>
      </c>
      <c r="F115">
        <v>675000</v>
      </c>
      <c r="G115">
        <v>0</v>
      </c>
      <c r="H115">
        <v>675000</v>
      </c>
      <c r="I115" s="1">
        <v>46161</v>
      </c>
      <c r="J115" s="17" t="s">
        <v>33</v>
      </c>
      <c r="K115" t="s">
        <v>1057</v>
      </c>
    </row>
    <row r="116" spans="1:11" x14ac:dyDescent="0.25">
      <c r="A116" s="17" t="s">
        <v>181</v>
      </c>
      <c r="B116" s="17" t="s">
        <v>2</v>
      </c>
      <c r="C116" s="17" t="s">
        <v>17</v>
      </c>
      <c r="D116" s="17" t="s">
        <v>18</v>
      </c>
      <c r="E116">
        <v>8</v>
      </c>
      <c r="F116">
        <v>960000</v>
      </c>
      <c r="G116">
        <v>15000</v>
      </c>
      <c r="H116">
        <v>945000</v>
      </c>
      <c r="I116" s="1">
        <v>46095</v>
      </c>
      <c r="J116" s="17" t="s">
        <v>10</v>
      </c>
      <c r="K116" t="s">
        <v>1057</v>
      </c>
    </row>
    <row r="117" spans="1:11" x14ac:dyDescent="0.25">
      <c r="A117" s="17" t="s">
        <v>182</v>
      </c>
      <c r="B117" s="17" t="s">
        <v>7</v>
      </c>
      <c r="C117" s="17" t="s">
        <v>29</v>
      </c>
      <c r="D117" s="17" t="s">
        <v>9</v>
      </c>
      <c r="E117">
        <v>7</v>
      </c>
      <c r="F117">
        <v>1295000</v>
      </c>
      <c r="G117">
        <v>10000</v>
      </c>
      <c r="H117">
        <v>1285000</v>
      </c>
      <c r="I117" s="1">
        <v>46054</v>
      </c>
      <c r="J117" s="17" t="s">
        <v>20</v>
      </c>
      <c r="K117" t="s">
        <v>1057</v>
      </c>
    </row>
    <row r="118" spans="1:11" x14ac:dyDescent="0.25">
      <c r="A118" s="17" t="s">
        <v>184</v>
      </c>
      <c r="B118" s="17" t="s">
        <v>12</v>
      </c>
      <c r="C118" s="17" t="s">
        <v>17</v>
      </c>
      <c r="D118" s="17" t="s">
        <v>32</v>
      </c>
      <c r="E118">
        <v>4</v>
      </c>
      <c r="F118">
        <v>300000</v>
      </c>
      <c r="G118">
        <v>0</v>
      </c>
      <c r="H118">
        <v>300000</v>
      </c>
      <c r="I118" s="1">
        <v>46133</v>
      </c>
      <c r="J118" s="17" t="s">
        <v>5</v>
      </c>
      <c r="K118" t="s">
        <v>1057</v>
      </c>
    </row>
    <row r="119" spans="1:11" x14ac:dyDescent="0.25">
      <c r="A119" s="17" t="s">
        <v>185</v>
      </c>
      <c r="B119" s="17" t="s">
        <v>7</v>
      </c>
      <c r="C119" s="17" t="s">
        <v>17</v>
      </c>
      <c r="D119" s="17" t="s">
        <v>9</v>
      </c>
      <c r="E119">
        <v>2</v>
      </c>
      <c r="F119">
        <v>500000</v>
      </c>
      <c r="G119">
        <v>0</v>
      </c>
      <c r="H119">
        <v>500000</v>
      </c>
      <c r="I119" s="1">
        <v>46200</v>
      </c>
      <c r="J119" s="17" t="s">
        <v>10</v>
      </c>
      <c r="K119" t="s">
        <v>1057</v>
      </c>
    </row>
    <row r="120" spans="1:11" x14ac:dyDescent="0.25">
      <c r="A120" s="17" t="s">
        <v>186</v>
      </c>
      <c r="B120" s="17" t="s">
        <v>2</v>
      </c>
      <c r="C120" s="17" t="s">
        <v>8</v>
      </c>
      <c r="D120" s="17" t="s">
        <v>18</v>
      </c>
      <c r="E120">
        <v>5</v>
      </c>
      <c r="F120">
        <v>1250000</v>
      </c>
      <c r="G120">
        <v>5000</v>
      </c>
      <c r="H120">
        <v>1245000</v>
      </c>
      <c r="I120" s="1">
        <v>46229</v>
      </c>
      <c r="J120" s="17" t="s">
        <v>10</v>
      </c>
      <c r="K120" t="s">
        <v>1057</v>
      </c>
    </row>
    <row r="121" spans="1:11" x14ac:dyDescent="0.25">
      <c r="A121" s="17" t="s">
        <v>187</v>
      </c>
      <c r="B121" s="17" t="s">
        <v>7</v>
      </c>
      <c r="C121" s="17" t="s">
        <v>27</v>
      </c>
      <c r="D121" s="17" t="s">
        <v>9</v>
      </c>
      <c r="E121">
        <v>1</v>
      </c>
      <c r="F121">
        <v>120000</v>
      </c>
      <c r="G121">
        <v>0</v>
      </c>
      <c r="H121">
        <v>120000</v>
      </c>
      <c r="I121" s="1">
        <v>46029</v>
      </c>
      <c r="J121" s="17" t="s">
        <v>10</v>
      </c>
      <c r="K121" t="s">
        <v>1057</v>
      </c>
    </row>
    <row r="122" spans="1:11" x14ac:dyDescent="0.25">
      <c r="A122" s="17" t="s">
        <v>188</v>
      </c>
      <c r="B122" s="17" t="s">
        <v>2</v>
      </c>
      <c r="C122" s="17" t="s">
        <v>13</v>
      </c>
      <c r="D122" s="17" t="s">
        <v>9</v>
      </c>
      <c r="E122">
        <v>9</v>
      </c>
      <c r="F122">
        <v>405000</v>
      </c>
      <c r="G122">
        <v>0</v>
      </c>
      <c r="H122">
        <v>405000</v>
      </c>
      <c r="I122" s="1">
        <v>46186</v>
      </c>
      <c r="J122" s="17" t="s">
        <v>20</v>
      </c>
      <c r="K122" t="s">
        <v>1057</v>
      </c>
    </row>
    <row r="123" spans="1:11" x14ac:dyDescent="0.25">
      <c r="A123" s="17" t="s">
        <v>190</v>
      </c>
      <c r="B123" s="17" t="s">
        <v>7</v>
      </c>
      <c r="C123" s="17" t="s">
        <v>27</v>
      </c>
      <c r="D123" s="17" t="s">
        <v>32</v>
      </c>
      <c r="E123">
        <v>3</v>
      </c>
      <c r="F123">
        <v>555000</v>
      </c>
      <c r="G123">
        <v>0</v>
      </c>
      <c r="H123">
        <v>555000</v>
      </c>
      <c r="I123" s="1">
        <v>46241</v>
      </c>
      <c r="J123" s="17" t="s">
        <v>10</v>
      </c>
      <c r="K123" t="s">
        <v>1057</v>
      </c>
    </row>
    <row r="124" spans="1:11" x14ac:dyDescent="0.25">
      <c r="A124" s="17" t="s">
        <v>191</v>
      </c>
      <c r="B124" s="17" t="s">
        <v>2</v>
      </c>
      <c r="C124" s="17" t="s">
        <v>17</v>
      </c>
      <c r="D124" s="17" t="s">
        <v>30</v>
      </c>
      <c r="E124">
        <v>3</v>
      </c>
      <c r="F124">
        <v>225000</v>
      </c>
      <c r="G124">
        <v>0</v>
      </c>
      <c r="H124">
        <v>225000</v>
      </c>
      <c r="I124" s="1">
        <v>46244</v>
      </c>
      <c r="J124" s="17" t="s">
        <v>20</v>
      </c>
      <c r="K124" t="s">
        <v>1057</v>
      </c>
    </row>
    <row r="125" spans="1:11" x14ac:dyDescent="0.25">
      <c r="A125" s="17" t="s">
        <v>193</v>
      </c>
      <c r="B125" s="17" t="s">
        <v>2</v>
      </c>
      <c r="C125" s="17" t="s">
        <v>13</v>
      </c>
      <c r="D125" s="17" t="s">
        <v>9</v>
      </c>
      <c r="E125">
        <v>2</v>
      </c>
      <c r="F125">
        <v>90000</v>
      </c>
      <c r="G125">
        <v>0</v>
      </c>
      <c r="H125">
        <v>90000</v>
      </c>
      <c r="I125" s="1">
        <v>46103</v>
      </c>
      <c r="J125" s="17" t="s">
        <v>5</v>
      </c>
      <c r="K125" t="s">
        <v>1057</v>
      </c>
    </row>
    <row r="126" spans="1:11" x14ac:dyDescent="0.25">
      <c r="A126" s="17" t="s">
        <v>194</v>
      </c>
      <c r="B126" s="17" t="s">
        <v>25</v>
      </c>
      <c r="C126" s="17" t="s">
        <v>29</v>
      </c>
      <c r="D126" s="17" t="s">
        <v>32</v>
      </c>
      <c r="E126">
        <v>6</v>
      </c>
      <c r="F126">
        <v>1110000</v>
      </c>
      <c r="G126">
        <v>0</v>
      </c>
      <c r="H126">
        <v>1110000</v>
      </c>
      <c r="I126" s="1">
        <v>46034</v>
      </c>
      <c r="J126" s="17" t="s">
        <v>10</v>
      </c>
      <c r="K126" t="s">
        <v>1057</v>
      </c>
    </row>
    <row r="127" spans="1:11" x14ac:dyDescent="0.25">
      <c r="A127" s="17" t="s">
        <v>196</v>
      </c>
      <c r="B127" s="17" t="s">
        <v>25</v>
      </c>
      <c r="C127" s="17" t="s">
        <v>29</v>
      </c>
      <c r="D127" s="17" t="s">
        <v>32</v>
      </c>
      <c r="E127">
        <v>1</v>
      </c>
      <c r="F127">
        <v>75000</v>
      </c>
      <c r="G127">
        <v>15000</v>
      </c>
      <c r="H127">
        <v>60000</v>
      </c>
      <c r="I127" s="1">
        <v>46227</v>
      </c>
      <c r="J127" s="17" t="s">
        <v>10</v>
      </c>
      <c r="K127" t="s">
        <v>1057</v>
      </c>
    </row>
    <row r="128" spans="1:11" x14ac:dyDescent="0.25">
      <c r="A128" s="17" t="s">
        <v>197</v>
      </c>
      <c r="B128" s="17" t="s">
        <v>2</v>
      </c>
      <c r="C128" s="17" t="s">
        <v>13</v>
      </c>
      <c r="D128" s="17" t="s">
        <v>4</v>
      </c>
      <c r="E128">
        <v>6</v>
      </c>
      <c r="F128">
        <v>450000</v>
      </c>
      <c r="G128">
        <v>0</v>
      </c>
      <c r="H128">
        <v>450000</v>
      </c>
      <c r="I128" s="1">
        <v>46161</v>
      </c>
      <c r="J128" s="17" t="s">
        <v>20</v>
      </c>
      <c r="K128" t="s">
        <v>1057</v>
      </c>
    </row>
    <row r="129" spans="1:11" x14ac:dyDescent="0.25">
      <c r="A129" s="17" t="s">
        <v>198</v>
      </c>
      <c r="B129" s="17" t="s">
        <v>25</v>
      </c>
      <c r="C129" s="17" t="s">
        <v>13</v>
      </c>
      <c r="D129" s="17" t="s">
        <v>32</v>
      </c>
      <c r="E129">
        <v>4</v>
      </c>
      <c r="F129">
        <v>740000</v>
      </c>
      <c r="G129">
        <v>0</v>
      </c>
      <c r="H129">
        <v>740000</v>
      </c>
      <c r="I129" s="1">
        <v>46207</v>
      </c>
      <c r="J129" s="17" t="s">
        <v>20</v>
      </c>
      <c r="K129" t="s">
        <v>1057</v>
      </c>
    </row>
    <row r="130" spans="1:11" x14ac:dyDescent="0.25">
      <c r="A130" s="17" t="s">
        <v>199</v>
      </c>
      <c r="B130" s="17" t="s">
        <v>2</v>
      </c>
      <c r="C130" s="17" t="s">
        <v>8</v>
      </c>
      <c r="D130" s="17" t="s">
        <v>30</v>
      </c>
      <c r="E130">
        <v>8</v>
      </c>
      <c r="F130">
        <v>2000000</v>
      </c>
      <c r="G130">
        <v>0</v>
      </c>
      <c r="H130">
        <v>2000000</v>
      </c>
      <c r="I130" s="1">
        <v>46262</v>
      </c>
      <c r="J130" s="17" t="s">
        <v>20</v>
      </c>
      <c r="K130" t="s">
        <v>1057</v>
      </c>
    </row>
    <row r="131" spans="1:11" x14ac:dyDescent="0.25">
      <c r="A131" s="17" t="s">
        <v>200</v>
      </c>
      <c r="B131" s="17" t="s">
        <v>12</v>
      </c>
      <c r="C131" s="17" t="s">
        <v>29</v>
      </c>
      <c r="D131" s="17" t="s">
        <v>9</v>
      </c>
      <c r="E131">
        <v>1</v>
      </c>
      <c r="F131">
        <v>120000</v>
      </c>
      <c r="G131">
        <v>15000</v>
      </c>
      <c r="H131">
        <v>105000</v>
      </c>
      <c r="I131" s="1">
        <v>46229</v>
      </c>
      <c r="J131" s="17" t="s">
        <v>33</v>
      </c>
      <c r="K131" t="s">
        <v>1057</v>
      </c>
    </row>
    <row r="132" spans="1:11" x14ac:dyDescent="0.25">
      <c r="A132" s="17" t="s">
        <v>201</v>
      </c>
      <c r="B132" s="17" t="s">
        <v>12</v>
      </c>
      <c r="C132" s="17" t="s">
        <v>29</v>
      </c>
      <c r="D132" s="17" t="s">
        <v>32</v>
      </c>
      <c r="E132">
        <v>4</v>
      </c>
      <c r="F132">
        <v>740000</v>
      </c>
      <c r="G132">
        <v>10000</v>
      </c>
      <c r="H132">
        <v>730000</v>
      </c>
      <c r="I132" s="1">
        <v>46198</v>
      </c>
      <c r="J132" s="17" t="s">
        <v>20</v>
      </c>
      <c r="K132" t="s">
        <v>1057</v>
      </c>
    </row>
    <row r="133" spans="1:11" x14ac:dyDescent="0.25">
      <c r="A133" s="17" t="s">
        <v>202</v>
      </c>
      <c r="B133" s="17" t="s">
        <v>2</v>
      </c>
      <c r="C133" s="17" t="s">
        <v>3</v>
      </c>
      <c r="D133" s="17" t="s">
        <v>4</v>
      </c>
      <c r="E133">
        <v>10</v>
      </c>
      <c r="F133">
        <v>750000</v>
      </c>
      <c r="G133">
        <v>15000</v>
      </c>
      <c r="H133">
        <v>735000</v>
      </c>
      <c r="I133" s="1">
        <v>46238</v>
      </c>
      <c r="J133" s="17" t="s">
        <v>10</v>
      </c>
      <c r="K133" t="s">
        <v>1057</v>
      </c>
    </row>
    <row r="134" spans="1:11" x14ac:dyDescent="0.25">
      <c r="A134" s="17" t="s">
        <v>204</v>
      </c>
      <c r="B134" s="17" t="s">
        <v>7</v>
      </c>
      <c r="C134" s="17" t="s">
        <v>17</v>
      </c>
      <c r="D134" s="17" t="s">
        <v>30</v>
      </c>
      <c r="E134">
        <v>9</v>
      </c>
      <c r="F134">
        <v>1080000</v>
      </c>
      <c r="G134">
        <v>0</v>
      </c>
      <c r="H134">
        <v>1080000</v>
      </c>
      <c r="I134" s="1">
        <v>46098</v>
      </c>
      <c r="J134" s="17" t="s">
        <v>20</v>
      </c>
      <c r="K134" t="s">
        <v>1057</v>
      </c>
    </row>
    <row r="135" spans="1:11" x14ac:dyDescent="0.25">
      <c r="A135" s="17" t="s">
        <v>205</v>
      </c>
      <c r="B135" s="17" t="s">
        <v>12</v>
      </c>
      <c r="C135" s="17" t="s">
        <v>27</v>
      </c>
      <c r="D135" s="17" t="s">
        <v>4</v>
      </c>
      <c r="E135">
        <v>2</v>
      </c>
      <c r="F135">
        <v>90000</v>
      </c>
      <c r="G135">
        <v>15000</v>
      </c>
      <c r="H135">
        <v>75000</v>
      </c>
      <c r="I135" s="1">
        <v>46160</v>
      </c>
      <c r="J135" s="17" t="s">
        <v>10</v>
      </c>
      <c r="K135" t="s">
        <v>1057</v>
      </c>
    </row>
    <row r="136" spans="1:11" x14ac:dyDescent="0.25">
      <c r="A136" s="17" t="s">
        <v>207</v>
      </c>
      <c r="B136" s="17" t="s">
        <v>25</v>
      </c>
      <c r="C136" s="17" t="s">
        <v>27</v>
      </c>
      <c r="D136" s="17" t="s">
        <v>9</v>
      </c>
      <c r="E136">
        <v>5</v>
      </c>
      <c r="F136">
        <v>375000</v>
      </c>
      <c r="G136">
        <v>0</v>
      </c>
      <c r="H136">
        <v>375000</v>
      </c>
      <c r="I136" s="1">
        <v>46231</v>
      </c>
      <c r="J136" s="17" t="s">
        <v>5</v>
      </c>
      <c r="K136" t="s">
        <v>1057</v>
      </c>
    </row>
    <row r="137" spans="1:11" x14ac:dyDescent="0.25">
      <c r="A137" s="17" t="s">
        <v>208</v>
      </c>
      <c r="B137" s="17" t="s">
        <v>25</v>
      </c>
      <c r="C137" s="17" t="s">
        <v>29</v>
      </c>
      <c r="D137" s="17" t="s">
        <v>18</v>
      </c>
      <c r="E137">
        <v>3</v>
      </c>
      <c r="F137">
        <v>225000</v>
      </c>
      <c r="G137">
        <v>0</v>
      </c>
      <c r="H137">
        <v>225000</v>
      </c>
      <c r="I137" s="1">
        <v>46227</v>
      </c>
      <c r="J137" s="17" t="s">
        <v>10</v>
      </c>
      <c r="K137" t="s">
        <v>1057</v>
      </c>
    </row>
    <row r="138" spans="1:11" x14ac:dyDescent="0.25">
      <c r="A138" s="17" t="s">
        <v>210</v>
      </c>
      <c r="B138" s="17" t="s">
        <v>12</v>
      </c>
      <c r="C138" s="17" t="s">
        <v>8</v>
      </c>
      <c r="D138" s="17" t="s">
        <v>30</v>
      </c>
      <c r="E138">
        <v>6</v>
      </c>
      <c r="F138">
        <v>270000</v>
      </c>
      <c r="G138">
        <v>0</v>
      </c>
      <c r="H138">
        <v>270000</v>
      </c>
      <c r="I138" s="1">
        <v>46050</v>
      </c>
      <c r="J138" s="17" t="s">
        <v>33</v>
      </c>
      <c r="K138" t="s">
        <v>1057</v>
      </c>
    </row>
    <row r="139" spans="1:11" x14ac:dyDescent="0.25">
      <c r="A139" s="17" t="s">
        <v>211</v>
      </c>
      <c r="B139" s="17" t="s">
        <v>25</v>
      </c>
      <c r="C139" s="17" t="s">
        <v>13</v>
      </c>
      <c r="D139" s="17" t="s">
        <v>32</v>
      </c>
      <c r="E139">
        <v>10</v>
      </c>
      <c r="F139">
        <v>1850000</v>
      </c>
      <c r="G139">
        <v>0</v>
      </c>
      <c r="H139">
        <v>1850000</v>
      </c>
      <c r="I139" s="1">
        <v>46026</v>
      </c>
      <c r="J139" s="17" t="s">
        <v>5</v>
      </c>
      <c r="K139" t="s">
        <v>1057</v>
      </c>
    </row>
    <row r="140" spans="1:11" x14ac:dyDescent="0.25">
      <c r="A140" s="17" t="s">
        <v>212</v>
      </c>
      <c r="B140" s="17" t="s">
        <v>2</v>
      </c>
      <c r="C140" s="17" t="s">
        <v>27</v>
      </c>
      <c r="D140" s="17" t="s">
        <v>18</v>
      </c>
      <c r="E140">
        <v>6</v>
      </c>
      <c r="F140">
        <v>1110000</v>
      </c>
      <c r="G140">
        <v>15000</v>
      </c>
      <c r="H140">
        <v>1095000</v>
      </c>
      <c r="I140" s="1">
        <v>46192</v>
      </c>
      <c r="J140" s="17" t="s">
        <v>20</v>
      </c>
      <c r="K140" t="s">
        <v>1057</v>
      </c>
    </row>
    <row r="141" spans="1:11" x14ac:dyDescent="0.25">
      <c r="A141" s="17" t="s">
        <v>213</v>
      </c>
      <c r="B141" s="17" t="s">
        <v>12</v>
      </c>
      <c r="C141" s="17" t="s">
        <v>17</v>
      </c>
      <c r="D141" s="17" t="s">
        <v>18</v>
      </c>
      <c r="E141">
        <v>8</v>
      </c>
      <c r="F141">
        <v>1480000</v>
      </c>
      <c r="G141">
        <v>0</v>
      </c>
      <c r="H141">
        <v>1480000</v>
      </c>
      <c r="I141" s="1">
        <v>46177</v>
      </c>
      <c r="J141" s="17" t="s">
        <v>10</v>
      </c>
      <c r="K141" t="s">
        <v>1057</v>
      </c>
    </row>
    <row r="142" spans="1:11" x14ac:dyDescent="0.25">
      <c r="A142" s="17" t="s">
        <v>214</v>
      </c>
      <c r="B142" s="17" t="s">
        <v>7</v>
      </c>
      <c r="C142" s="17" t="s">
        <v>27</v>
      </c>
      <c r="D142" s="17" t="s">
        <v>18</v>
      </c>
      <c r="E142">
        <v>7</v>
      </c>
      <c r="F142">
        <v>840000</v>
      </c>
      <c r="G142">
        <v>0</v>
      </c>
      <c r="H142">
        <v>840000</v>
      </c>
      <c r="I142" s="1">
        <v>46249</v>
      </c>
      <c r="J142" s="17" t="s">
        <v>10</v>
      </c>
      <c r="K142" t="s">
        <v>1057</v>
      </c>
    </row>
    <row r="143" spans="1:11" x14ac:dyDescent="0.25">
      <c r="A143" s="17" t="s">
        <v>215</v>
      </c>
      <c r="B143" s="17" t="s">
        <v>7</v>
      </c>
      <c r="C143" s="17" t="s">
        <v>8</v>
      </c>
      <c r="D143" s="17" t="s">
        <v>30</v>
      </c>
      <c r="E143">
        <v>3</v>
      </c>
      <c r="F143">
        <v>135000</v>
      </c>
      <c r="G143">
        <v>0</v>
      </c>
      <c r="H143">
        <v>135000</v>
      </c>
      <c r="I143" s="1">
        <v>46069</v>
      </c>
      <c r="J143" s="17" t="s">
        <v>10</v>
      </c>
      <c r="K143" t="s">
        <v>1057</v>
      </c>
    </row>
    <row r="144" spans="1:11" x14ac:dyDescent="0.25">
      <c r="A144" s="17" t="s">
        <v>216</v>
      </c>
      <c r="B144" s="17" t="s">
        <v>2</v>
      </c>
      <c r="C144" s="17" t="s">
        <v>13</v>
      </c>
      <c r="D144" s="17" t="s">
        <v>18</v>
      </c>
      <c r="E144">
        <v>5</v>
      </c>
      <c r="F144">
        <v>375000</v>
      </c>
      <c r="G144">
        <v>0</v>
      </c>
      <c r="H144">
        <v>375000</v>
      </c>
      <c r="I144" s="1">
        <v>46201</v>
      </c>
      <c r="J144" s="17" t="s">
        <v>20</v>
      </c>
      <c r="K144" t="s">
        <v>1057</v>
      </c>
    </row>
    <row r="145" spans="1:11" x14ac:dyDescent="0.25">
      <c r="A145" s="17" t="s">
        <v>217</v>
      </c>
      <c r="B145" s="17" t="s">
        <v>25</v>
      </c>
      <c r="C145" s="17" t="s">
        <v>27</v>
      </c>
      <c r="D145" s="17" t="s">
        <v>30</v>
      </c>
      <c r="E145">
        <v>8</v>
      </c>
      <c r="F145">
        <v>2000000</v>
      </c>
      <c r="G145">
        <v>0</v>
      </c>
      <c r="H145">
        <v>2000000</v>
      </c>
      <c r="I145" s="1">
        <v>46210</v>
      </c>
      <c r="J145" s="17" t="s">
        <v>5</v>
      </c>
      <c r="K145" t="s">
        <v>1057</v>
      </c>
    </row>
    <row r="146" spans="1:11" x14ac:dyDescent="0.25">
      <c r="A146" s="17" t="s">
        <v>219</v>
      </c>
      <c r="B146" s="17" t="s">
        <v>2</v>
      </c>
      <c r="C146" s="17" t="s">
        <v>29</v>
      </c>
      <c r="D146" s="17" t="s">
        <v>4</v>
      </c>
      <c r="E146">
        <v>2</v>
      </c>
      <c r="F146">
        <v>240000</v>
      </c>
      <c r="G146">
        <v>0</v>
      </c>
      <c r="H146">
        <v>240000</v>
      </c>
      <c r="I146" s="1">
        <v>46189</v>
      </c>
      <c r="J146" s="17" t="s">
        <v>5</v>
      </c>
      <c r="K146" t="s">
        <v>1057</v>
      </c>
    </row>
    <row r="147" spans="1:11" x14ac:dyDescent="0.25">
      <c r="A147" s="17" t="s">
        <v>221</v>
      </c>
      <c r="B147" s="17" t="s">
        <v>25</v>
      </c>
      <c r="C147" s="17" t="s">
        <v>3</v>
      </c>
      <c r="D147" s="17" t="s">
        <v>30</v>
      </c>
      <c r="E147">
        <v>9</v>
      </c>
      <c r="F147">
        <v>405000</v>
      </c>
      <c r="G147">
        <v>5000</v>
      </c>
      <c r="H147">
        <v>400000</v>
      </c>
      <c r="I147" s="1">
        <v>46047</v>
      </c>
      <c r="J147" s="17" t="s">
        <v>5</v>
      </c>
      <c r="K147" t="s">
        <v>1057</v>
      </c>
    </row>
    <row r="148" spans="1:11" x14ac:dyDescent="0.25">
      <c r="A148" s="17" t="s">
        <v>222</v>
      </c>
      <c r="B148" s="17" t="s">
        <v>2</v>
      </c>
      <c r="C148" s="17" t="s">
        <v>3</v>
      </c>
      <c r="D148" s="17" t="s">
        <v>9</v>
      </c>
      <c r="E148">
        <v>4</v>
      </c>
      <c r="F148">
        <v>740000</v>
      </c>
      <c r="G148">
        <v>10000</v>
      </c>
      <c r="H148">
        <v>730000</v>
      </c>
      <c r="I148" s="1">
        <v>46204</v>
      </c>
      <c r="J148" s="17" t="s">
        <v>5</v>
      </c>
      <c r="K148" t="s">
        <v>1057</v>
      </c>
    </row>
    <row r="149" spans="1:11" x14ac:dyDescent="0.25">
      <c r="A149" s="17" t="s">
        <v>223</v>
      </c>
      <c r="B149" s="17" t="s">
        <v>12</v>
      </c>
      <c r="C149" s="17" t="s">
        <v>8</v>
      </c>
      <c r="D149" s="17" t="s">
        <v>9</v>
      </c>
      <c r="E149">
        <v>9</v>
      </c>
      <c r="F149">
        <v>2250000</v>
      </c>
      <c r="G149">
        <v>0</v>
      </c>
      <c r="H149">
        <v>2250000</v>
      </c>
      <c r="I149" s="1">
        <v>46121</v>
      </c>
      <c r="J149" s="17" t="s">
        <v>10</v>
      </c>
      <c r="K149" t="s">
        <v>1057</v>
      </c>
    </row>
    <row r="150" spans="1:11" x14ac:dyDescent="0.25">
      <c r="A150" s="17" t="s">
        <v>224</v>
      </c>
      <c r="B150" s="17" t="s">
        <v>12</v>
      </c>
      <c r="C150" s="17" t="s">
        <v>3</v>
      </c>
      <c r="D150" s="17" t="s">
        <v>32</v>
      </c>
      <c r="E150">
        <v>3</v>
      </c>
      <c r="F150">
        <v>360000</v>
      </c>
      <c r="G150">
        <v>0</v>
      </c>
      <c r="H150">
        <v>360000</v>
      </c>
      <c r="I150" s="1">
        <v>46242</v>
      </c>
      <c r="J150" s="17" t="s">
        <v>33</v>
      </c>
      <c r="K150" t="s">
        <v>1057</v>
      </c>
    </row>
    <row r="151" spans="1:11" x14ac:dyDescent="0.25">
      <c r="A151" s="17" t="s">
        <v>225</v>
      </c>
      <c r="B151" s="17" t="s">
        <v>25</v>
      </c>
      <c r="C151" s="17" t="s">
        <v>27</v>
      </c>
      <c r="D151" s="17" t="s">
        <v>4</v>
      </c>
      <c r="E151">
        <v>7</v>
      </c>
      <c r="F151">
        <v>1750000</v>
      </c>
      <c r="G151">
        <v>10000</v>
      </c>
      <c r="H151">
        <v>1740000</v>
      </c>
      <c r="I151" s="1">
        <v>46069</v>
      </c>
      <c r="J151" s="17" t="s">
        <v>20</v>
      </c>
      <c r="K151" t="s">
        <v>1057</v>
      </c>
    </row>
    <row r="152" spans="1:11" x14ac:dyDescent="0.25">
      <c r="A152" s="17" t="s">
        <v>226</v>
      </c>
      <c r="B152" s="17" t="s">
        <v>2</v>
      </c>
      <c r="C152" s="17" t="s">
        <v>27</v>
      </c>
      <c r="D152" s="17" t="s">
        <v>18</v>
      </c>
      <c r="E152">
        <v>7</v>
      </c>
      <c r="F152">
        <v>525000</v>
      </c>
      <c r="G152">
        <v>0</v>
      </c>
      <c r="H152">
        <v>525000</v>
      </c>
      <c r="I152" s="1">
        <v>46186</v>
      </c>
      <c r="J152" s="17" t="s">
        <v>33</v>
      </c>
      <c r="K152" t="s">
        <v>1057</v>
      </c>
    </row>
    <row r="153" spans="1:11" x14ac:dyDescent="0.25">
      <c r="A153" s="17" t="s">
        <v>227</v>
      </c>
      <c r="B153" s="17" t="s">
        <v>25</v>
      </c>
      <c r="C153" s="17" t="s">
        <v>27</v>
      </c>
      <c r="D153" s="17" t="s">
        <v>9</v>
      </c>
      <c r="E153">
        <v>10</v>
      </c>
      <c r="F153">
        <v>1200000</v>
      </c>
      <c r="G153">
        <v>0</v>
      </c>
      <c r="H153">
        <v>1200000</v>
      </c>
      <c r="I153" s="1">
        <v>46146</v>
      </c>
      <c r="J153" s="17" t="s">
        <v>10</v>
      </c>
      <c r="K153" t="s">
        <v>1057</v>
      </c>
    </row>
    <row r="154" spans="1:11" x14ac:dyDescent="0.25">
      <c r="A154" s="17" t="s">
        <v>228</v>
      </c>
      <c r="B154" s="17" t="s">
        <v>12</v>
      </c>
      <c r="C154" s="17" t="s">
        <v>27</v>
      </c>
      <c r="D154" s="17" t="s">
        <v>18</v>
      </c>
      <c r="E154">
        <v>6</v>
      </c>
      <c r="F154">
        <v>450000</v>
      </c>
      <c r="G154">
        <v>0</v>
      </c>
      <c r="H154">
        <v>450000</v>
      </c>
      <c r="I154" s="1">
        <v>46153</v>
      </c>
      <c r="J154" s="17" t="s">
        <v>5</v>
      </c>
      <c r="K154" t="s">
        <v>1057</v>
      </c>
    </row>
    <row r="155" spans="1:11" x14ac:dyDescent="0.25">
      <c r="A155" s="17" t="s">
        <v>229</v>
      </c>
      <c r="B155" s="17" t="s">
        <v>12</v>
      </c>
      <c r="C155" s="17" t="s">
        <v>27</v>
      </c>
      <c r="D155" s="17" t="s">
        <v>32</v>
      </c>
      <c r="E155">
        <v>8</v>
      </c>
      <c r="F155">
        <v>1480000</v>
      </c>
      <c r="G155">
        <v>0</v>
      </c>
      <c r="H155">
        <v>1480000</v>
      </c>
      <c r="I155" s="1">
        <v>46176</v>
      </c>
      <c r="J155" s="17" t="s">
        <v>10</v>
      </c>
      <c r="K155" t="s">
        <v>1057</v>
      </c>
    </row>
    <row r="156" spans="1:11" x14ac:dyDescent="0.25">
      <c r="A156" s="17" t="s">
        <v>230</v>
      </c>
      <c r="B156" s="17" t="s">
        <v>7</v>
      </c>
      <c r="C156" s="17" t="s">
        <v>3</v>
      </c>
      <c r="D156" s="17" t="s">
        <v>30</v>
      </c>
      <c r="E156">
        <v>8</v>
      </c>
      <c r="F156">
        <v>2000000</v>
      </c>
      <c r="G156">
        <v>0</v>
      </c>
      <c r="H156">
        <v>2000000</v>
      </c>
      <c r="I156" s="1">
        <v>46154</v>
      </c>
      <c r="J156" s="17" t="s">
        <v>33</v>
      </c>
      <c r="K156" t="s">
        <v>1057</v>
      </c>
    </row>
    <row r="157" spans="1:11" x14ac:dyDescent="0.25">
      <c r="A157" s="17" t="s">
        <v>231</v>
      </c>
      <c r="B157" s="17" t="s">
        <v>2</v>
      </c>
      <c r="C157" s="17" t="s">
        <v>17</v>
      </c>
      <c r="D157" s="17" t="s">
        <v>4</v>
      </c>
      <c r="E157">
        <v>9</v>
      </c>
      <c r="F157">
        <v>2250000</v>
      </c>
      <c r="G157">
        <v>0</v>
      </c>
      <c r="H157">
        <v>2250000</v>
      </c>
      <c r="I157" s="1">
        <v>46183</v>
      </c>
      <c r="J157" s="17" t="s">
        <v>10</v>
      </c>
      <c r="K157" t="s">
        <v>1057</v>
      </c>
    </row>
    <row r="158" spans="1:11" x14ac:dyDescent="0.25">
      <c r="A158" s="17" t="s">
        <v>232</v>
      </c>
      <c r="B158" s="17" t="s">
        <v>7</v>
      </c>
      <c r="C158" s="17" t="s">
        <v>29</v>
      </c>
      <c r="D158" s="17" t="s">
        <v>32</v>
      </c>
      <c r="E158">
        <v>2</v>
      </c>
      <c r="F158">
        <v>500000</v>
      </c>
      <c r="G158">
        <v>0</v>
      </c>
      <c r="H158">
        <v>500000</v>
      </c>
      <c r="I158" s="1">
        <v>46036</v>
      </c>
      <c r="J158" s="17" t="s">
        <v>5</v>
      </c>
      <c r="K158" t="s">
        <v>1057</v>
      </c>
    </row>
    <row r="159" spans="1:11" x14ac:dyDescent="0.25">
      <c r="A159" s="17" t="s">
        <v>233</v>
      </c>
      <c r="B159" s="17" t="s">
        <v>7</v>
      </c>
      <c r="C159" s="17" t="s">
        <v>3</v>
      </c>
      <c r="D159" s="17" t="s">
        <v>32</v>
      </c>
      <c r="E159">
        <v>8</v>
      </c>
      <c r="F159">
        <v>2000000</v>
      </c>
      <c r="G159">
        <v>0</v>
      </c>
      <c r="H159">
        <v>2000000</v>
      </c>
      <c r="I159" s="1">
        <v>46225</v>
      </c>
      <c r="J159" s="17" t="s">
        <v>20</v>
      </c>
      <c r="K159" t="s">
        <v>1057</v>
      </c>
    </row>
    <row r="160" spans="1:11" x14ac:dyDescent="0.25">
      <c r="A160" s="17" t="s">
        <v>234</v>
      </c>
      <c r="B160" s="17" t="s">
        <v>25</v>
      </c>
      <c r="C160" s="17" t="s">
        <v>27</v>
      </c>
      <c r="D160" s="17" t="s">
        <v>30</v>
      </c>
      <c r="E160">
        <v>5</v>
      </c>
      <c r="F160">
        <v>1250000</v>
      </c>
      <c r="G160">
        <v>0</v>
      </c>
      <c r="H160">
        <v>1250000</v>
      </c>
      <c r="I160" s="1">
        <v>46032</v>
      </c>
      <c r="J160" s="17" t="s">
        <v>5</v>
      </c>
      <c r="K160" t="s">
        <v>1057</v>
      </c>
    </row>
    <row r="161" spans="1:11" x14ac:dyDescent="0.25">
      <c r="A161" s="17" t="s">
        <v>235</v>
      </c>
      <c r="B161" s="17" t="s">
        <v>7</v>
      </c>
      <c r="C161" s="17" t="s">
        <v>13</v>
      </c>
      <c r="D161" s="17" t="s">
        <v>30</v>
      </c>
      <c r="E161">
        <v>5</v>
      </c>
      <c r="F161">
        <v>600000</v>
      </c>
      <c r="G161">
        <v>0</v>
      </c>
      <c r="H161">
        <v>600000</v>
      </c>
      <c r="I161" s="1">
        <v>46059</v>
      </c>
      <c r="J161" s="17" t="s">
        <v>10</v>
      </c>
      <c r="K161" t="s">
        <v>1057</v>
      </c>
    </row>
    <row r="162" spans="1:11" x14ac:dyDescent="0.25">
      <c r="A162" s="17" t="s">
        <v>236</v>
      </c>
      <c r="B162" s="17" t="s">
        <v>12</v>
      </c>
      <c r="C162" s="17" t="s">
        <v>29</v>
      </c>
      <c r="D162" s="17" t="s">
        <v>9</v>
      </c>
      <c r="E162">
        <v>2</v>
      </c>
      <c r="F162">
        <v>370000</v>
      </c>
      <c r="G162">
        <v>0</v>
      </c>
      <c r="H162">
        <v>370000</v>
      </c>
      <c r="I162" s="1">
        <v>46042</v>
      </c>
      <c r="J162" s="17" t="s">
        <v>33</v>
      </c>
      <c r="K162" t="s">
        <v>1057</v>
      </c>
    </row>
    <row r="163" spans="1:11" x14ac:dyDescent="0.25">
      <c r="A163" s="17" t="s">
        <v>237</v>
      </c>
      <c r="B163" s="17" t="s">
        <v>25</v>
      </c>
      <c r="C163" s="17" t="s">
        <v>8</v>
      </c>
      <c r="D163" s="17" t="s">
        <v>32</v>
      </c>
      <c r="E163">
        <v>6</v>
      </c>
      <c r="F163">
        <v>720000</v>
      </c>
      <c r="G163">
        <v>0</v>
      </c>
      <c r="H163">
        <v>720000</v>
      </c>
      <c r="I163" s="1">
        <v>46217</v>
      </c>
      <c r="J163" s="17" t="s">
        <v>10</v>
      </c>
      <c r="K163" t="s">
        <v>1057</v>
      </c>
    </row>
    <row r="164" spans="1:11" x14ac:dyDescent="0.25">
      <c r="A164" s="17" t="s">
        <v>241</v>
      </c>
      <c r="B164" s="17" t="s">
        <v>2</v>
      </c>
      <c r="C164" s="17" t="s">
        <v>8</v>
      </c>
      <c r="D164" s="17" t="s">
        <v>30</v>
      </c>
      <c r="E164">
        <v>1</v>
      </c>
      <c r="F164">
        <v>120000</v>
      </c>
      <c r="G164">
        <v>0</v>
      </c>
      <c r="H164">
        <v>120000</v>
      </c>
      <c r="I164" s="1">
        <v>46029</v>
      </c>
      <c r="J164" s="17" t="s">
        <v>33</v>
      </c>
      <c r="K164" t="s">
        <v>1057</v>
      </c>
    </row>
    <row r="165" spans="1:11" x14ac:dyDescent="0.25">
      <c r="A165" s="17" t="s">
        <v>242</v>
      </c>
      <c r="B165" s="17" t="s">
        <v>25</v>
      </c>
      <c r="C165" s="17" t="s">
        <v>13</v>
      </c>
      <c r="D165" s="17" t="s">
        <v>32</v>
      </c>
      <c r="E165">
        <v>1</v>
      </c>
      <c r="F165">
        <v>75000</v>
      </c>
      <c r="G165">
        <v>0</v>
      </c>
      <c r="H165">
        <v>75000</v>
      </c>
      <c r="I165" s="1">
        <v>46074</v>
      </c>
      <c r="J165" s="17" t="s">
        <v>20</v>
      </c>
      <c r="K165" t="s">
        <v>1057</v>
      </c>
    </row>
    <row r="166" spans="1:11" x14ac:dyDescent="0.25">
      <c r="A166" s="17" t="s">
        <v>243</v>
      </c>
      <c r="B166" s="17" t="s">
        <v>7</v>
      </c>
      <c r="C166" s="17" t="s">
        <v>3</v>
      </c>
      <c r="D166" s="17" t="s">
        <v>30</v>
      </c>
      <c r="E166">
        <v>7</v>
      </c>
      <c r="F166">
        <v>1750000</v>
      </c>
      <c r="G166">
        <v>0</v>
      </c>
      <c r="H166">
        <v>1750000</v>
      </c>
      <c r="I166" s="1">
        <v>46057</v>
      </c>
      <c r="J166" s="17" t="s">
        <v>10</v>
      </c>
      <c r="K166" t="s">
        <v>1057</v>
      </c>
    </row>
    <row r="167" spans="1:11" x14ac:dyDescent="0.25">
      <c r="A167" s="17" t="s">
        <v>244</v>
      </c>
      <c r="B167" s="17" t="s">
        <v>12</v>
      </c>
      <c r="C167" s="17" t="s">
        <v>8</v>
      </c>
      <c r="D167" s="17" t="s">
        <v>18</v>
      </c>
      <c r="E167">
        <v>8</v>
      </c>
      <c r="F167">
        <v>960000</v>
      </c>
      <c r="G167">
        <v>0</v>
      </c>
      <c r="H167">
        <v>960000</v>
      </c>
      <c r="I167" s="1">
        <v>46143</v>
      </c>
      <c r="J167" s="17" t="s">
        <v>33</v>
      </c>
      <c r="K167" t="s">
        <v>1057</v>
      </c>
    </row>
    <row r="168" spans="1:11" x14ac:dyDescent="0.25">
      <c r="A168" s="17" t="s">
        <v>245</v>
      </c>
      <c r="B168" s="17" t="s">
        <v>12</v>
      </c>
      <c r="C168" s="17" t="s">
        <v>13</v>
      </c>
      <c r="D168" s="17" t="s">
        <v>9</v>
      </c>
      <c r="E168">
        <v>3</v>
      </c>
      <c r="F168">
        <v>750000</v>
      </c>
      <c r="G168">
        <v>10000</v>
      </c>
      <c r="H168">
        <v>740000</v>
      </c>
      <c r="I168" s="1">
        <v>46040</v>
      </c>
      <c r="J168" s="17" t="s">
        <v>5</v>
      </c>
      <c r="K168" t="s">
        <v>1057</v>
      </c>
    </row>
    <row r="169" spans="1:11" x14ac:dyDescent="0.25">
      <c r="A169" s="17" t="s">
        <v>247</v>
      </c>
      <c r="B169" s="17" t="s">
        <v>7</v>
      </c>
      <c r="C169" s="17" t="s">
        <v>13</v>
      </c>
      <c r="D169" s="17" t="s">
        <v>32</v>
      </c>
      <c r="E169">
        <v>7</v>
      </c>
      <c r="F169">
        <v>525000</v>
      </c>
      <c r="G169">
        <v>0</v>
      </c>
      <c r="H169">
        <v>525000</v>
      </c>
      <c r="I169" s="1">
        <v>46187</v>
      </c>
      <c r="J169" s="17" t="s">
        <v>33</v>
      </c>
      <c r="K169" t="s">
        <v>1057</v>
      </c>
    </row>
    <row r="170" spans="1:11" x14ac:dyDescent="0.25">
      <c r="A170" s="17" t="s">
        <v>248</v>
      </c>
      <c r="B170" s="17" t="s">
        <v>7</v>
      </c>
      <c r="C170" s="17" t="s">
        <v>13</v>
      </c>
      <c r="D170" s="17" t="s">
        <v>4</v>
      </c>
      <c r="E170">
        <v>5</v>
      </c>
      <c r="F170">
        <v>600000</v>
      </c>
      <c r="G170">
        <v>0</v>
      </c>
      <c r="H170">
        <v>600000</v>
      </c>
      <c r="I170" s="1">
        <v>46238</v>
      </c>
      <c r="J170" s="17" t="s">
        <v>10</v>
      </c>
      <c r="K170" t="s">
        <v>1057</v>
      </c>
    </row>
    <row r="171" spans="1:11" x14ac:dyDescent="0.25">
      <c r="A171" s="17" t="s">
        <v>249</v>
      </c>
      <c r="B171" s="17" t="s">
        <v>7</v>
      </c>
      <c r="C171" s="17" t="s">
        <v>13</v>
      </c>
      <c r="D171" s="17" t="s">
        <v>4</v>
      </c>
      <c r="E171">
        <v>2</v>
      </c>
      <c r="F171">
        <v>150000</v>
      </c>
      <c r="G171">
        <v>0</v>
      </c>
      <c r="H171">
        <v>150000</v>
      </c>
      <c r="I171" s="1">
        <v>46031</v>
      </c>
      <c r="J171" s="17" t="s">
        <v>20</v>
      </c>
      <c r="K171" t="s">
        <v>1057</v>
      </c>
    </row>
    <row r="172" spans="1:11" x14ac:dyDescent="0.25">
      <c r="A172" s="17" t="s">
        <v>250</v>
      </c>
      <c r="B172" s="17" t="s">
        <v>7</v>
      </c>
      <c r="C172" s="17" t="s">
        <v>3</v>
      </c>
      <c r="D172" s="17" t="s">
        <v>4</v>
      </c>
      <c r="E172">
        <v>6</v>
      </c>
      <c r="F172">
        <v>1110000</v>
      </c>
      <c r="G172">
        <v>0</v>
      </c>
      <c r="H172">
        <v>1110000</v>
      </c>
      <c r="I172" s="1">
        <v>46131</v>
      </c>
      <c r="J172" s="17" t="s">
        <v>33</v>
      </c>
      <c r="K172" t="s">
        <v>1057</v>
      </c>
    </row>
    <row r="173" spans="1:11" x14ac:dyDescent="0.25">
      <c r="A173" s="17" t="s">
        <v>251</v>
      </c>
      <c r="B173" s="17" t="s">
        <v>25</v>
      </c>
      <c r="C173" s="17" t="s">
        <v>8</v>
      </c>
      <c r="D173" s="17" t="s">
        <v>32</v>
      </c>
      <c r="E173">
        <v>3</v>
      </c>
      <c r="F173">
        <v>555000</v>
      </c>
      <c r="G173">
        <v>0</v>
      </c>
      <c r="H173">
        <v>555000</v>
      </c>
      <c r="I173" s="1">
        <v>46144</v>
      </c>
      <c r="J173" s="17" t="s">
        <v>33</v>
      </c>
      <c r="K173" t="s">
        <v>1057</v>
      </c>
    </row>
    <row r="174" spans="1:11" x14ac:dyDescent="0.25">
      <c r="A174" s="17" t="s">
        <v>252</v>
      </c>
      <c r="B174" s="17" t="s">
        <v>7</v>
      </c>
      <c r="C174" s="17" t="s">
        <v>13</v>
      </c>
      <c r="D174" s="17" t="s">
        <v>9</v>
      </c>
      <c r="E174">
        <v>8</v>
      </c>
      <c r="F174">
        <v>600000</v>
      </c>
      <c r="G174">
        <v>0</v>
      </c>
      <c r="H174">
        <v>600000</v>
      </c>
      <c r="I174" s="1">
        <v>46047</v>
      </c>
      <c r="J174" s="17" t="s">
        <v>5</v>
      </c>
      <c r="K174" t="s">
        <v>1057</v>
      </c>
    </row>
    <row r="175" spans="1:11" x14ac:dyDescent="0.25">
      <c r="A175" s="17" t="s">
        <v>253</v>
      </c>
      <c r="B175" s="17" t="s">
        <v>7</v>
      </c>
      <c r="C175" s="17" t="s">
        <v>8</v>
      </c>
      <c r="D175" s="17" t="s">
        <v>9</v>
      </c>
      <c r="E175">
        <v>9</v>
      </c>
      <c r="F175">
        <v>405000</v>
      </c>
      <c r="G175">
        <v>0</v>
      </c>
      <c r="H175">
        <v>405000</v>
      </c>
      <c r="I175" s="1">
        <v>46044</v>
      </c>
      <c r="J175" s="17" t="s">
        <v>20</v>
      </c>
      <c r="K175" t="s">
        <v>1057</v>
      </c>
    </row>
    <row r="176" spans="1:11" x14ac:dyDescent="0.25">
      <c r="A176" s="17" t="s">
        <v>254</v>
      </c>
      <c r="B176" s="17" t="s">
        <v>7</v>
      </c>
      <c r="C176" s="17" t="s">
        <v>3</v>
      </c>
      <c r="D176" s="17" t="s">
        <v>4</v>
      </c>
      <c r="E176">
        <v>6</v>
      </c>
      <c r="F176">
        <v>1500000</v>
      </c>
      <c r="G176">
        <v>0</v>
      </c>
      <c r="H176">
        <v>1500000</v>
      </c>
      <c r="I176" s="1">
        <v>46094</v>
      </c>
      <c r="J176" s="17" t="s">
        <v>5</v>
      </c>
      <c r="K176" t="s">
        <v>1057</v>
      </c>
    </row>
    <row r="177" spans="1:11" x14ac:dyDescent="0.25">
      <c r="A177" s="17" t="s">
        <v>256</v>
      </c>
      <c r="B177" s="17" t="s">
        <v>25</v>
      </c>
      <c r="C177" s="17" t="s">
        <v>13</v>
      </c>
      <c r="D177" s="17" t="s">
        <v>32</v>
      </c>
      <c r="E177">
        <v>3</v>
      </c>
      <c r="F177">
        <v>225000</v>
      </c>
      <c r="G177">
        <v>5000</v>
      </c>
      <c r="H177">
        <v>220000</v>
      </c>
      <c r="I177" s="1">
        <v>46122</v>
      </c>
      <c r="J177" s="17" t="s">
        <v>10</v>
      </c>
      <c r="K177" t="s">
        <v>1057</v>
      </c>
    </row>
    <row r="178" spans="1:11" x14ac:dyDescent="0.25">
      <c r="A178" s="17" t="s">
        <v>257</v>
      </c>
      <c r="B178" s="17" t="s">
        <v>12</v>
      </c>
      <c r="C178" s="17" t="s">
        <v>3</v>
      </c>
      <c r="D178" s="17" t="s">
        <v>30</v>
      </c>
      <c r="E178">
        <v>7</v>
      </c>
      <c r="F178">
        <v>315000</v>
      </c>
      <c r="G178">
        <v>0</v>
      </c>
      <c r="H178">
        <v>315000</v>
      </c>
      <c r="I178" s="1">
        <v>46125</v>
      </c>
      <c r="J178" s="17" t="s">
        <v>33</v>
      </c>
      <c r="K178" t="s">
        <v>1057</v>
      </c>
    </row>
    <row r="179" spans="1:11" x14ac:dyDescent="0.25">
      <c r="A179" s="17" t="s">
        <v>258</v>
      </c>
      <c r="B179" s="17" t="s">
        <v>2</v>
      </c>
      <c r="C179" s="17" t="s">
        <v>8</v>
      </c>
      <c r="D179" s="17" t="s">
        <v>9</v>
      </c>
      <c r="E179">
        <v>9</v>
      </c>
      <c r="F179">
        <v>1665000</v>
      </c>
      <c r="G179">
        <v>0</v>
      </c>
      <c r="H179">
        <v>1665000</v>
      </c>
      <c r="I179" s="1">
        <v>46205</v>
      </c>
      <c r="J179" s="17" t="s">
        <v>10</v>
      </c>
      <c r="K179" t="s">
        <v>1057</v>
      </c>
    </row>
    <row r="180" spans="1:11" x14ac:dyDescent="0.25">
      <c r="A180" s="17" t="s">
        <v>259</v>
      </c>
      <c r="B180" s="17" t="s">
        <v>2</v>
      </c>
      <c r="C180" s="17" t="s">
        <v>3</v>
      </c>
      <c r="D180" s="17" t="s">
        <v>18</v>
      </c>
      <c r="E180">
        <v>6</v>
      </c>
      <c r="F180">
        <v>1110000</v>
      </c>
      <c r="G180">
        <v>5000</v>
      </c>
      <c r="H180">
        <v>1105000</v>
      </c>
      <c r="I180" s="1">
        <v>46043</v>
      </c>
      <c r="J180" s="17" t="s">
        <v>20</v>
      </c>
      <c r="K180" t="s">
        <v>1057</v>
      </c>
    </row>
    <row r="181" spans="1:11" x14ac:dyDescent="0.25">
      <c r="A181" s="17" t="s">
        <v>260</v>
      </c>
      <c r="B181" s="17" t="s">
        <v>2</v>
      </c>
      <c r="C181" s="17" t="s">
        <v>13</v>
      </c>
      <c r="D181" s="17" t="s">
        <v>18</v>
      </c>
      <c r="E181">
        <v>9</v>
      </c>
      <c r="F181">
        <v>1080000</v>
      </c>
      <c r="G181">
        <v>0</v>
      </c>
      <c r="H181">
        <v>1080000</v>
      </c>
      <c r="I181" s="1">
        <v>46117</v>
      </c>
      <c r="J181" s="17" t="s">
        <v>33</v>
      </c>
      <c r="K181" t="s">
        <v>1057</v>
      </c>
    </row>
    <row r="182" spans="1:11" x14ac:dyDescent="0.25">
      <c r="A182" s="17" t="s">
        <v>264</v>
      </c>
      <c r="B182" s="17" t="s">
        <v>25</v>
      </c>
      <c r="C182" s="17" t="s">
        <v>29</v>
      </c>
      <c r="D182" s="17" t="s">
        <v>32</v>
      </c>
      <c r="E182">
        <v>3</v>
      </c>
      <c r="F182">
        <v>225000</v>
      </c>
      <c r="G182">
        <v>0</v>
      </c>
      <c r="H182">
        <v>225000</v>
      </c>
      <c r="I182" s="1">
        <v>46197</v>
      </c>
      <c r="J182" s="17" t="s">
        <v>33</v>
      </c>
      <c r="K182" t="s">
        <v>1057</v>
      </c>
    </row>
    <row r="183" spans="1:11" x14ac:dyDescent="0.25">
      <c r="A183" s="17" t="s">
        <v>265</v>
      </c>
      <c r="B183" s="17" t="s">
        <v>2</v>
      </c>
      <c r="C183" s="17" t="s">
        <v>17</v>
      </c>
      <c r="D183" s="17" t="s">
        <v>32</v>
      </c>
      <c r="E183">
        <v>2</v>
      </c>
      <c r="F183">
        <v>150000</v>
      </c>
      <c r="G183">
        <v>15000</v>
      </c>
      <c r="H183">
        <v>135000</v>
      </c>
      <c r="I183" s="1">
        <v>46300</v>
      </c>
      <c r="J183" s="17" t="s">
        <v>5</v>
      </c>
      <c r="K183" t="s">
        <v>1057</v>
      </c>
    </row>
    <row r="184" spans="1:11" x14ac:dyDescent="0.25">
      <c r="A184" s="17" t="s">
        <v>266</v>
      </c>
      <c r="B184" s="17" t="s">
        <v>2</v>
      </c>
      <c r="C184" s="17" t="s">
        <v>17</v>
      </c>
      <c r="D184" s="17" t="s">
        <v>9</v>
      </c>
      <c r="E184">
        <v>6</v>
      </c>
      <c r="F184">
        <v>720000</v>
      </c>
      <c r="G184">
        <v>0</v>
      </c>
      <c r="H184">
        <v>720000</v>
      </c>
      <c r="I184" s="1">
        <v>46145</v>
      </c>
      <c r="J184" s="17" t="s">
        <v>20</v>
      </c>
      <c r="K184" t="s">
        <v>1057</v>
      </c>
    </row>
    <row r="185" spans="1:11" x14ac:dyDescent="0.25">
      <c r="A185" s="17" t="s">
        <v>268</v>
      </c>
      <c r="B185" s="17" t="s">
        <v>12</v>
      </c>
      <c r="C185" s="17" t="s">
        <v>8</v>
      </c>
      <c r="D185" s="17" t="s">
        <v>4</v>
      </c>
      <c r="E185">
        <v>9</v>
      </c>
      <c r="F185">
        <v>405000</v>
      </c>
      <c r="G185">
        <v>0</v>
      </c>
      <c r="H185">
        <v>405000</v>
      </c>
      <c r="I185" s="1">
        <v>46231</v>
      </c>
      <c r="J185" s="17" t="s">
        <v>10</v>
      </c>
      <c r="K185" t="s">
        <v>1057</v>
      </c>
    </row>
    <row r="186" spans="1:11" x14ac:dyDescent="0.25">
      <c r="A186" s="17" t="s">
        <v>269</v>
      </c>
      <c r="B186" s="17" t="s">
        <v>7</v>
      </c>
      <c r="C186" s="17" t="s">
        <v>8</v>
      </c>
      <c r="D186" s="17" t="s">
        <v>32</v>
      </c>
      <c r="E186">
        <v>8</v>
      </c>
      <c r="F186">
        <v>960000</v>
      </c>
      <c r="G186">
        <v>15000</v>
      </c>
      <c r="H186">
        <v>945000</v>
      </c>
      <c r="I186" s="1">
        <v>46038</v>
      </c>
      <c r="J186" s="17" t="s">
        <v>10</v>
      </c>
      <c r="K186" t="s">
        <v>1057</v>
      </c>
    </row>
    <row r="187" spans="1:11" x14ac:dyDescent="0.25">
      <c r="A187" s="17" t="s">
        <v>270</v>
      </c>
      <c r="B187" s="17" t="s">
        <v>25</v>
      </c>
      <c r="C187" s="17" t="s">
        <v>17</v>
      </c>
      <c r="D187" s="17" t="s">
        <v>32</v>
      </c>
      <c r="E187">
        <v>7</v>
      </c>
      <c r="F187">
        <v>315000</v>
      </c>
      <c r="G187">
        <v>0</v>
      </c>
      <c r="H187">
        <v>315000</v>
      </c>
      <c r="I187" s="1">
        <v>46024</v>
      </c>
      <c r="J187" s="17" t="s">
        <v>33</v>
      </c>
      <c r="K187" t="s">
        <v>1057</v>
      </c>
    </row>
    <row r="188" spans="1:11" x14ac:dyDescent="0.25">
      <c r="A188" s="17" t="s">
        <v>272</v>
      </c>
      <c r="B188" s="17" t="s">
        <v>25</v>
      </c>
      <c r="C188" s="17" t="s">
        <v>8</v>
      </c>
      <c r="D188" s="17" t="s">
        <v>9</v>
      </c>
      <c r="E188">
        <v>7</v>
      </c>
      <c r="F188">
        <v>1750000</v>
      </c>
      <c r="G188">
        <v>0</v>
      </c>
      <c r="H188">
        <v>1750000</v>
      </c>
      <c r="I188" s="1">
        <v>46223</v>
      </c>
      <c r="J188" s="17" t="s">
        <v>10</v>
      </c>
      <c r="K188" t="s">
        <v>1057</v>
      </c>
    </row>
    <row r="189" spans="1:11" x14ac:dyDescent="0.25">
      <c r="A189" s="17" t="s">
        <v>273</v>
      </c>
      <c r="B189" s="17" t="s">
        <v>2</v>
      </c>
      <c r="C189" s="17" t="s">
        <v>3</v>
      </c>
      <c r="D189" s="17" t="s">
        <v>30</v>
      </c>
      <c r="E189">
        <v>2</v>
      </c>
      <c r="F189">
        <v>500000</v>
      </c>
      <c r="G189">
        <v>0</v>
      </c>
      <c r="H189">
        <v>500000</v>
      </c>
      <c r="I189" s="1">
        <v>46247</v>
      </c>
      <c r="J189" s="17" t="s">
        <v>33</v>
      </c>
      <c r="K189" t="s">
        <v>1057</v>
      </c>
    </row>
    <row r="190" spans="1:11" x14ac:dyDescent="0.25">
      <c r="A190" s="17" t="s">
        <v>274</v>
      </c>
      <c r="B190" s="17" t="s">
        <v>2</v>
      </c>
      <c r="C190" s="17" t="s">
        <v>27</v>
      </c>
      <c r="D190" s="17" t="s">
        <v>4</v>
      </c>
      <c r="E190">
        <v>3</v>
      </c>
      <c r="F190">
        <v>750000</v>
      </c>
      <c r="G190">
        <v>0</v>
      </c>
      <c r="H190">
        <v>750000</v>
      </c>
      <c r="I190" s="1">
        <v>46063</v>
      </c>
      <c r="J190" s="17" t="s">
        <v>10</v>
      </c>
      <c r="K190" t="s">
        <v>1057</v>
      </c>
    </row>
    <row r="191" spans="1:11" x14ac:dyDescent="0.25">
      <c r="A191" s="17" t="s">
        <v>275</v>
      </c>
      <c r="B191" s="17" t="s">
        <v>25</v>
      </c>
      <c r="C191" s="17" t="s">
        <v>29</v>
      </c>
      <c r="D191" s="17" t="s">
        <v>32</v>
      </c>
      <c r="E191">
        <v>7</v>
      </c>
      <c r="F191">
        <v>525000</v>
      </c>
      <c r="G191">
        <v>0</v>
      </c>
      <c r="H191">
        <v>525000</v>
      </c>
      <c r="I191" s="1">
        <v>46201</v>
      </c>
      <c r="J191" s="17" t="s">
        <v>33</v>
      </c>
      <c r="K191" t="s">
        <v>1057</v>
      </c>
    </row>
    <row r="192" spans="1:11" x14ac:dyDescent="0.25">
      <c r="A192" s="17" t="s">
        <v>277</v>
      </c>
      <c r="B192" s="17" t="s">
        <v>25</v>
      </c>
      <c r="C192" s="17" t="s">
        <v>27</v>
      </c>
      <c r="D192" s="17" t="s">
        <v>9</v>
      </c>
      <c r="E192">
        <v>10</v>
      </c>
      <c r="F192">
        <v>450000</v>
      </c>
      <c r="G192">
        <v>0</v>
      </c>
      <c r="H192">
        <v>450000</v>
      </c>
      <c r="I192" s="1">
        <v>46140</v>
      </c>
      <c r="J192" s="17" t="s">
        <v>5</v>
      </c>
      <c r="K192" t="s">
        <v>1057</v>
      </c>
    </row>
    <row r="193" spans="1:11" x14ac:dyDescent="0.25">
      <c r="A193" s="17" t="s">
        <v>278</v>
      </c>
      <c r="B193" s="17" t="s">
        <v>12</v>
      </c>
      <c r="C193" s="17" t="s">
        <v>17</v>
      </c>
      <c r="D193" s="17" t="s">
        <v>4</v>
      </c>
      <c r="E193">
        <v>10</v>
      </c>
      <c r="F193">
        <v>2500000</v>
      </c>
      <c r="G193">
        <v>0</v>
      </c>
      <c r="H193">
        <v>2500000</v>
      </c>
      <c r="I193" s="1">
        <v>46249</v>
      </c>
      <c r="J193" s="17" t="s">
        <v>5</v>
      </c>
      <c r="K193" t="s">
        <v>1057</v>
      </c>
    </row>
    <row r="194" spans="1:11" x14ac:dyDescent="0.25">
      <c r="A194" s="17" t="s">
        <v>279</v>
      </c>
      <c r="B194" s="17" t="s">
        <v>12</v>
      </c>
      <c r="C194" s="17" t="s">
        <v>13</v>
      </c>
      <c r="D194" s="17" t="s">
        <v>4</v>
      </c>
      <c r="E194">
        <v>3</v>
      </c>
      <c r="F194">
        <v>360000</v>
      </c>
      <c r="G194">
        <v>0</v>
      </c>
      <c r="H194">
        <v>360000</v>
      </c>
      <c r="I194" s="1">
        <v>46083</v>
      </c>
      <c r="J194" s="17" t="s">
        <v>20</v>
      </c>
      <c r="K194" t="s">
        <v>1057</v>
      </c>
    </row>
    <row r="195" spans="1:11" x14ac:dyDescent="0.25">
      <c r="A195" s="17" t="s">
        <v>280</v>
      </c>
      <c r="B195" s="17" t="s">
        <v>2</v>
      </c>
      <c r="C195" s="17" t="s">
        <v>3</v>
      </c>
      <c r="D195" s="17" t="s">
        <v>18</v>
      </c>
      <c r="E195">
        <v>3</v>
      </c>
      <c r="F195">
        <v>360000</v>
      </c>
      <c r="G195">
        <v>0</v>
      </c>
      <c r="H195">
        <v>360000</v>
      </c>
      <c r="I195" s="1">
        <v>46034</v>
      </c>
      <c r="J195" s="17" t="s">
        <v>33</v>
      </c>
      <c r="K195" t="s">
        <v>1057</v>
      </c>
    </row>
    <row r="196" spans="1:11" x14ac:dyDescent="0.25">
      <c r="A196" s="17" t="s">
        <v>281</v>
      </c>
      <c r="B196" s="17" t="s">
        <v>7</v>
      </c>
      <c r="C196" s="17" t="s">
        <v>27</v>
      </c>
      <c r="D196" s="17" t="s">
        <v>32</v>
      </c>
      <c r="E196">
        <v>3</v>
      </c>
      <c r="F196">
        <v>135000</v>
      </c>
      <c r="G196">
        <v>0</v>
      </c>
      <c r="H196">
        <v>135000</v>
      </c>
      <c r="I196" s="1">
        <v>46139</v>
      </c>
      <c r="J196" s="17" t="s">
        <v>10</v>
      </c>
      <c r="K196" t="s">
        <v>1057</v>
      </c>
    </row>
    <row r="197" spans="1:11" x14ac:dyDescent="0.25">
      <c r="A197" s="17" t="s">
        <v>282</v>
      </c>
      <c r="B197" s="17" t="s">
        <v>7</v>
      </c>
      <c r="C197" s="17" t="s">
        <v>27</v>
      </c>
      <c r="D197" s="17" t="s">
        <v>32</v>
      </c>
      <c r="E197">
        <v>7</v>
      </c>
      <c r="F197">
        <v>840000</v>
      </c>
      <c r="G197">
        <v>10000</v>
      </c>
      <c r="H197">
        <v>830000</v>
      </c>
      <c r="I197" s="1">
        <v>46220</v>
      </c>
      <c r="J197" s="17" t="s">
        <v>20</v>
      </c>
      <c r="K197" t="s">
        <v>1057</v>
      </c>
    </row>
    <row r="198" spans="1:11" x14ac:dyDescent="0.25">
      <c r="A198" s="17" t="s">
        <v>283</v>
      </c>
      <c r="B198" s="17" t="s">
        <v>25</v>
      </c>
      <c r="C198" s="17" t="s">
        <v>27</v>
      </c>
      <c r="D198" s="17" t="s">
        <v>4</v>
      </c>
      <c r="E198">
        <v>3</v>
      </c>
      <c r="F198">
        <v>225000</v>
      </c>
      <c r="G198">
        <v>10000</v>
      </c>
      <c r="H198">
        <v>215000</v>
      </c>
      <c r="I198" s="1">
        <v>46261</v>
      </c>
      <c r="J198" s="17" t="s">
        <v>5</v>
      </c>
      <c r="K198" t="s">
        <v>1057</v>
      </c>
    </row>
    <row r="199" spans="1:11" x14ac:dyDescent="0.25">
      <c r="A199" s="17" t="s">
        <v>284</v>
      </c>
      <c r="B199" s="17" t="s">
        <v>12</v>
      </c>
      <c r="C199" s="17" t="s">
        <v>3</v>
      </c>
      <c r="D199" s="17" t="s">
        <v>9</v>
      </c>
      <c r="E199">
        <v>4</v>
      </c>
      <c r="F199">
        <v>1000000</v>
      </c>
      <c r="G199">
        <v>0</v>
      </c>
      <c r="H199">
        <v>1000000</v>
      </c>
      <c r="I199" s="1">
        <v>46050</v>
      </c>
      <c r="J199" s="17" t="s">
        <v>20</v>
      </c>
      <c r="K199" t="s">
        <v>1057</v>
      </c>
    </row>
    <row r="200" spans="1:11" x14ac:dyDescent="0.25">
      <c r="A200" s="17" t="s">
        <v>286</v>
      </c>
      <c r="B200" s="17" t="s">
        <v>12</v>
      </c>
      <c r="C200" s="17" t="s">
        <v>13</v>
      </c>
      <c r="D200" s="17" t="s">
        <v>9</v>
      </c>
      <c r="E200">
        <v>1</v>
      </c>
      <c r="F200">
        <v>75000</v>
      </c>
      <c r="G200">
        <v>5000</v>
      </c>
      <c r="H200">
        <v>70000</v>
      </c>
      <c r="I200" s="1">
        <v>46071</v>
      </c>
      <c r="J200" s="17" t="s">
        <v>20</v>
      </c>
      <c r="K200" t="s">
        <v>1057</v>
      </c>
    </row>
    <row r="201" spans="1:11" x14ac:dyDescent="0.25">
      <c r="A201" s="17" t="s">
        <v>287</v>
      </c>
      <c r="B201" s="17" t="s">
        <v>12</v>
      </c>
      <c r="C201" s="17" t="s">
        <v>8</v>
      </c>
      <c r="D201" s="17" t="s">
        <v>30</v>
      </c>
      <c r="E201">
        <v>4</v>
      </c>
      <c r="F201">
        <v>180000</v>
      </c>
      <c r="G201">
        <v>0</v>
      </c>
      <c r="H201">
        <v>180000</v>
      </c>
      <c r="I201" s="1">
        <v>46105</v>
      </c>
      <c r="J201" s="17" t="s">
        <v>10</v>
      </c>
      <c r="K201" t="s">
        <v>1057</v>
      </c>
    </row>
    <row r="202" spans="1:11" x14ac:dyDescent="0.25">
      <c r="A202" s="17" t="s">
        <v>288</v>
      </c>
      <c r="B202" s="17" t="s">
        <v>25</v>
      </c>
      <c r="C202" s="17" t="s">
        <v>29</v>
      </c>
      <c r="D202" s="17" t="s">
        <v>4</v>
      </c>
      <c r="E202">
        <v>7</v>
      </c>
      <c r="F202">
        <v>840000</v>
      </c>
      <c r="G202">
        <v>0</v>
      </c>
      <c r="H202">
        <v>840000</v>
      </c>
      <c r="I202" s="1">
        <v>46181</v>
      </c>
      <c r="J202" s="17" t="s">
        <v>20</v>
      </c>
      <c r="K202" t="s">
        <v>1057</v>
      </c>
    </row>
    <row r="203" spans="1:11" x14ac:dyDescent="0.25">
      <c r="A203" s="17" t="s">
        <v>289</v>
      </c>
      <c r="B203" s="17" t="s">
        <v>7</v>
      </c>
      <c r="C203" s="17" t="s">
        <v>29</v>
      </c>
      <c r="D203" s="17" t="s">
        <v>4</v>
      </c>
      <c r="E203">
        <v>1</v>
      </c>
      <c r="F203">
        <v>185000</v>
      </c>
      <c r="G203">
        <v>0</v>
      </c>
      <c r="H203">
        <v>185000</v>
      </c>
      <c r="I203" s="1">
        <v>46184</v>
      </c>
      <c r="J203" s="17" t="s">
        <v>10</v>
      </c>
      <c r="K203" t="s">
        <v>1057</v>
      </c>
    </row>
    <row r="204" spans="1:11" x14ac:dyDescent="0.25">
      <c r="A204" s="17" t="s">
        <v>291</v>
      </c>
      <c r="B204" s="17" t="s">
        <v>2</v>
      </c>
      <c r="C204" s="17" t="s">
        <v>17</v>
      </c>
      <c r="D204" s="17" t="s">
        <v>4</v>
      </c>
      <c r="E204">
        <v>2</v>
      </c>
      <c r="F204">
        <v>500000</v>
      </c>
      <c r="G204">
        <v>0</v>
      </c>
      <c r="H204">
        <v>500000</v>
      </c>
      <c r="I204" s="1">
        <v>46071</v>
      </c>
      <c r="J204" s="17" t="s">
        <v>10</v>
      </c>
      <c r="K204" t="s">
        <v>1057</v>
      </c>
    </row>
    <row r="205" spans="1:11" x14ac:dyDescent="0.25">
      <c r="A205" s="17" t="s">
        <v>292</v>
      </c>
      <c r="B205" s="17" t="s">
        <v>25</v>
      </c>
      <c r="C205" s="17" t="s">
        <v>27</v>
      </c>
      <c r="D205" s="17" t="s">
        <v>32</v>
      </c>
      <c r="E205">
        <v>10</v>
      </c>
      <c r="F205">
        <v>2500000</v>
      </c>
      <c r="G205">
        <v>0</v>
      </c>
      <c r="H205">
        <v>2500000</v>
      </c>
      <c r="I205" s="1">
        <v>46037</v>
      </c>
      <c r="J205" s="17" t="s">
        <v>33</v>
      </c>
      <c r="K205" t="s">
        <v>1057</v>
      </c>
    </row>
    <row r="206" spans="1:11" x14ac:dyDescent="0.25">
      <c r="A206" s="17" t="s">
        <v>293</v>
      </c>
      <c r="B206" s="17" t="s">
        <v>12</v>
      </c>
      <c r="C206" s="17" t="s">
        <v>29</v>
      </c>
      <c r="D206" s="17" t="s">
        <v>4</v>
      </c>
      <c r="E206">
        <v>9</v>
      </c>
      <c r="F206">
        <v>675000</v>
      </c>
      <c r="G206">
        <v>0</v>
      </c>
      <c r="H206">
        <v>675000</v>
      </c>
      <c r="I206" s="1">
        <v>46193</v>
      </c>
      <c r="J206" s="17" t="s">
        <v>10</v>
      </c>
      <c r="K206" t="s">
        <v>1057</v>
      </c>
    </row>
    <row r="207" spans="1:11" x14ac:dyDescent="0.25">
      <c r="A207" s="17" t="s">
        <v>294</v>
      </c>
      <c r="B207" s="17" t="s">
        <v>12</v>
      </c>
      <c r="C207" s="17" t="s">
        <v>29</v>
      </c>
      <c r="D207" s="17" t="s">
        <v>32</v>
      </c>
      <c r="E207">
        <v>3</v>
      </c>
      <c r="F207">
        <v>750000</v>
      </c>
      <c r="G207">
        <v>0</v>
      </c>
      <c r="H207">
        <v>750000</v>
      </c>
      <c r="I207" s="1">
        <v>46174</v>
      </c>
      <c r="J207" s="17" t="s">
        <v>20</v>
      </c>
      <c r="K207" t="s">
        <v>1057</v>
      </c>
    </row>
    <row r="208" spans="1:11" x14ac:dyDescent="0.25">
      <c r="A208" s="17" t="s">
        <v>295</v>
      </c>
      <c r="B208" s="17" t="s">
        <v>12</v>
      </c>
      <c r="C208" s="17" t="s">
        <v>8</v>
      </c>
      <c r="D208" s="17" t="s">
        <v>9</v>
      </c>
      <c r="E208">
        <v>2</v>
      </c>
      <c r="F208">
        <v>370000</v>
      </c>
      <c r="G208">
        <v>10000</v>
      </c>
      <c r="H208">
        <v>360000</v>
      </c>
      <c r="I208" s="1">
        <v>46128</v>
      </c>
      <c r="J208" s="17" t="s">
        <v>5</v>
      </c>
      <c r="K208" t="s">
        <v>1057</v>
      </c>
    </row>
    <row r="209" spans="1:11" x14ac:dyDescent="0.25">
      <c r="A209" s="17" t="s">
        <v>296</v>
      </c>
      <c r="B209" s="17" t="s">
        <v>12</v>
      </c>
      <c r="C209" s="17" t="s">
        <v>13</v>
      </c>
      <c r="D209" s="17" t="s">
        <v>9</v>
      </c>
      <c r="E209">
        <v>2</v>
      </c>
      <c r="F209">
        <v>240000</v>
      </c>
      <c r="G209">
        <v>0</v>
      </c>
      <c r="H209">
        <v>240000</v>
      </c>
      <c r="I209" s="1">
        <v>46065</v>
      </c>
      <c r="J209" s="17" t="s">
        <v>10</v>
      </c>
      <c r="K209" t="s">
        <v>1057</v>
      </c>
    </row>
    <row r="210" spans="1:11" x14ac:dyDescent="0.25">
      <c r="A210" s="17" t="s">
        <v>298</v>
      </c>
      <c r="B210" s="17" t="s">
        <v>7</v>
      </c>
      <c r="C210" s="17" t="s">
        <v>27</v>
      </c>
      <c r="D210" s="17" t="s">
        <v>18</v>
      </c>
      <c r="E210">
        <v>3</v>
      </c>
      <c r="F210">
        <v>750000</v>
      </c>
      <c r="G210">
        <v>0</v>
      </c>
      <c r="H210">
        <v>750000</v>
      </c>
      <c r="I210" s="1">
        <v>46105</v>
      </c>
      <c r="J210" s="17" t="s">
        <v>20</v>
      </c>
      <c r="K210" t="s">
        <v>1057</v>
      </c>
    </row>
    <row r="211" spans="1:11" x14ac:dyDescent="0.25">
      <c r="A211" s="17" t="s">
        <v>299</v>
      </c>
      <c r="B211" s="17" t="s">
        <v>25</v>
      </c>
      <c r="C211" s="17" t="s">
        <v>17</v>
      </c>
      <c r="D211" s="17" t="s">
        <v>4</v>
      </c>
      <c r="E211">
        <v>8</v>
      </c>
      <c r="F211">
        <v>360000</v>
      </c>
      <c r="G211">
        <v>0</v>
      </c>
      <c r="H211">
        <v>360000</v>
      </c>
      <c r="I211" s="1">
        <v>46190</v>
      </c>
      <c r="J211" s="17" t="s">
        <v>33</v>
      </c>
      <c r="K211" t="s">
        <v>1057</v>
      </c>
    </row>
    <row r="212" spans="1:11" x14ac:dyDescent="0.25">
      <c r="A212" s="17" t="s">
        <v>302</v>
      </c>
      <c r="B212" s="17" t="s">
        <v>25</v>
      </c>
      <c r="C212" s="17" t="s">
        <v>17</v>
      </c>
      <c r="D212" s="17" t="s">
        <v>4</v>
      </c>
      <c r="E212">
        <v>7</v>
      </c>
      <c r="F212">
        <v>525000</v>
      </c>
      <c r="G212">
        <v>0</v>
      </c>
      <c r="H212">
        <v>525000</v>
      </c>
      <c r="I212" s="1">
        <v>46113</v>
      </c>
      <c r="J212" s="17" t="s">
        <v>20</v>
      </c>
      <c r="K212" t="s">
        <v>1057</v>
      </c>
    </row>
    <row r="213" spans="1:11" x14ac:dyDescent="0.25">
      <c r="A213" s="17" t="s">
        <v>303</v>
      </c>
      <c r="B213" s="17" t="s">
        <v>12</v>
      </c>
      <c r="C213" s="17" t="s">
        <v>13</v>
      </c>
      <c r="D213" s="17" t="s">
        <v>32</v>
      </c>
      <c r="E213">
        <v>1</v>
      </c>
      <c r="F213">
        <v>45000</v>
      </c>
      <c r="G213">
        <v>0</v>
      </c>
      <c r="H213">
        <v>45000</v>
      </c>
      <c r="I213" s="1">
        <v>46221</v>
      </c>
      <c r="J213" s="17" t="s">
        <v>20</v>
      </c>
      <c r="K213" t="s">
        <v>1057</v>
      </c>
    </row>
    <row r="214" spans="1:11" x14ac:dyDescent="0.25">
      <c r="A214" s="17" t="s">
        <v>304</v>
      </c>
      <c r="B214" s="17" t="s">
        <v>2</v>
      </c>
      <c r="C214" s="17" t="s">
        <v>8</v>
      </c>
      <c r="D214" s="17" t="s">
        <v>4</v>
      </c>
      <c r="E214">
        <v>4</v>
      </c>
      <c r="F214">
        <v>1000000</v>
      </c>
      <c r="G214">
        <v>15000</v>
      </c>
      <c r="H214">
        <v>985000</v>
      </c>
      <c r="I214" s="1">
        <v>46084</v>
      </c>
      <c r="J214" s="17" t="s">
        <v>5</v>
      </c>
      <c r="K214" t="s">
        <v>1057</v>
      </c>
    </row>
    <row r="215" spans="1:11" x14ac:dyDescent="0.25">
      <c r="A215" s="17" t="s">
        <v>305</v>
      </c>
      <c r="B215" s="17" t="s">
        <v>2</v>
      </c>
      <c r="C215" s="17" t="s">
        <v>13</v>
      </c>
      <c r="D215" s="17" t="s">
        <v>32</v>
      </c>
      <c r="E215">
        <v>9</v>
      </c>
      <c r="F215">
        <v>2250000</v>
      </c>
      <c r="G215">
        <v>10000</v>
      </c>
      <c r="H215">
        <v>2240000</v>
      </c>
      <c r="I215" s="1">
        <v>46073</v>
      </c>
      <c r="J215" s="17" t="s">
        <v>20</v>
      </c>
      <c r="K215" t="s">
        <v>1057</v>
      </c>
    </row>
    <row r="216" spans="1:11" x14ac:dyDescent="0.25">
      <c r="A216" s="17" t="s">
        <v>306</v>
      </c>
      <c r="B216" s="17" t="s">
        <v>7</v>
      </c>
      <c r="C216" s="17" t="s">
        <v>8</v>
      </c>
      <c r="D216" s="17" t="s">
        <v>18</v>
      </c>
      <c r="E216">
        <v>6</v>
      </c>
      <c r="F216">
        <v>1110000</v>
      </c>
      <c r="G216">
        <v>0</v>
      </c>
      <c r="H216">
        <v>1110000</v>
      </c>
      <c r="I216" s="1">
        <v>46179</v>
      </c>
      <c r="J216" s="17" t="s">
        <v>5</v>
      </c>
      <c r="K216" t="s">
        <v>1057</v>
      </c>
    </row>
    <row r="217" spans="1:11" x14ac:dyDescent="0.25">
      <c r="A217" s="17" t="s">
        <v>307</v>
      </c>
      <c r="B217" s="17" t="s">
        <v>7</v>
      </c>
      <c r="C217" s="17" t="s">
        <v>13</v>
      </c>
      <c r="D217" s="17" t="s">
        <v>30</v>
      </c>
      <c r="E217">
        <v>3</v>
      </c>
      <c r="F217">
        <v>225000</v>
      </c>
      <c r="G217">
        <v>0</v>
      </c>
      <c r="H217">
        <v>225000</v>
      </c>
      <c r="I217" s="1">
        <v>46100</v>
      </c>
      <c r="J217" s="17" t="s">
        <v>33</v>
      </c>
      <c r="K217" t="s">
        <v>1057</v>
      </c>
    </row>
    <row r="218" spans="1:11" x14ac:dyDescent="0.25">
      <c r="A218" s="17" t="s">
        <v>308</v>
      </c>
      <c r="B218" s="17" t="s">
        <v>12</v>
      </c>
      <c r="C218" s="17" t="s">
        <v>13</v>
      </c>
      <c r="D218" s="17" t="s">
        <v>32</v>
      </c>
      <c r="E218">
        <v>5</v>
      </c>
      <c r="F218">
        <v>925000</v>
      </c>
      <c r="G218">
        <v>0</v>
      </c>
      <c r="H218">
        <v>925000</v>
      </c>
      <c r="I218" s="1">
        <v>46258</v>
      </c>
      <c r="J218" s="17" t="s">
        <v>5</v>
      </c>
      <c r="K218" t="s">
        <v>1057</v>
      </c>
    </row>
    <row r="219" spans="1:11" x14ac:dyDescent="0.25">
      <c r="A219" s="17" t="s">
        <v>309</v>
      </c>
      <c r="B219" s="17" t="s">
        <v>12</v>
      </c>
      <c r="C219" s="17" t="s">
        <v>29</v>
      </c>
      <c r="D219" s="17" t="s">
        <v>32</v>
      </c>
      <c r="E219">
        <v>7</v>
      </c>
      <c r="F219">
        <v>315000</v>
      </c>
      <c r="G219">
        <v>0</v>
      </c>
      <c r="H219">
        <v>315000</v>
      </c>
      <c r="I219" s="1">
        <v>46073</v>
      </c>
      <c r="J219" s="17" t="s">
        <v>10</v>
      </c>
      <c r="K219" t="s">
        <v>1057</v>
      </c>
    </row>
    <row r="220" spans="1:11" x14ac:dyDescent="0.25">
      <c r="A220" s="17" t="s">
        <v>311</v>
      </c>
      <c r="B220" s="17" t="s">
        <v>25</v>
      </c>
      <c r="C220" s="17" t="s">
        <v>13</v>
      </c>
      <c r="D220" s="17" t="s">
        <v>30</v>
      </c>
      <c r="E220">
        <v>5</v>
      </c>
      <c r="F220">
        <v>375000</v>
      </c>
      <c r="G220">
        <v>0</v>
      </c>
      <c r="H220">
        <v>375000</v>
      </c>
      <c r="I220" s="1">
        <v>46136</v>
      </c>
      <c r="J220" s="17" t="s">
        <v>33</v>
      </c>
      <c r="K220" t="s">
        <v>1057</v>
      </c>
    </row>
    <row r="221" spans="1:11" x14ac:dyDescent="0.25">
      <c r="A221" s="17" t="s">
        <v>313</v>
      </c>
      <c r="B221" s="17" t="s">
        <v>12</v>
      </c>
      <c r="C221" s="17" t="s">
        <v>27</v>
      </c>
      <c r="D221" s="17" t="s">
        <v>9</v>
      </c>
      <c r="E221">
        <v>7</v>
      </c>
      <c r="F221">
        <v>1295000</v>
      </c>
      <c r="G221">
        <v>0</v>
      </c>
      <c r="H221">
        <v>1295000</v>
      </c>
      <c r="I221" s="1">
        <v>46113</v>
      </c>
      <c r="J221" s="17" t="s">
        <v>20</v>
      </c>
      <c r="K221" t="s">
        <v>1057</v>
      </c>
    </row>
    <row r="222" spans="1:11" x14ac:dyDescent="0.25">
      <c r="A222" s="17" t="s">
        <v>314</v>
      </c>
      <c r="B222" s="17" t="s">
        <v>25</v>
      </c>
      <c r="C222" s="17" t="s">
        <v>27</v>
      </c>
      <c r="D222" s="17" t="s">
        <v>18</v>
      </c>
      <c r="E222">
        <v>9</v>
      </c>
      <c r="F222">
        <v>2250000</v>
      </c>
      <c r="G222">
        <v>0</v>
      </c>
      <c r="H222">
        <v>2250000</v>
      </c>
      <c r="I222" s="1">
        <v>46167</v>
      </c>
      <c r="J222" s="17" t="s">
        <v>5</v>
      </c>
      <c r="K222" t="s">
        <v>1057</v>
      </c>
    </row>
    <row r="223" spans="1:11" x14ac:dyDescent="0.25">
      <c r="A223" s="17" t="s">
        <v>315</v>
      </c>
      <c r="B223" s="17" t="s">
        <v>2</v>
      </c>
      <c r="C223" s="17" t="s">
        <v>13</v>
      </c>
      <c r="D223" s="17" t="s">
        <v>9</v>
      </c>
      <c r="E223">
        <v>2</v>
      </c>
      <c r="F223">
        <v>370000</v>
      </c>
      <c r="G223">
        <v>5000</v>
      </c>
      <c r="H223">
        <v>365000</v>
      </c>
      <c r="I223" s="1">
        <v>46333</v>
      </c>
      <c r="J223" s="17" t="s">
        <v>10</v>
      </c>
      <c r="K223" t="s">
        <v>1057</v>
      </c>
    </row>
    <row r="224" spans="1:11" x14ac:dyDescent="0.25">
      <c r="A224" s="17" t="s">
        <v>316</v>
      </c>
      <c r="B224" s="17" t="s">
        <v>12</v>
      </c>
      <c r="C224" s="17" t="s">
        <v>13</v>
      </c>
      <c r="D224" s="17" t="s">
        <v>32</v>
      </c>
      <c r="E224">
        <v>3</v>
      </c>
      <c r="F224">
        <v>750000</v>
      </c>
      <c r="G224">
        <v>0</v>
      </c>
      <c r="H224">
        <v>750000</v>
      </c>
      <c r="I224" s="1">
        <v>46154</v>
      </c>
      <c r="J224" s="17" t="s">
        <v>10</v>
      </c>
      <c r="K224" t="s">
        <v>1057</v>
      </c>
    </row>
    <row r="225" spans="1:11" x14ac:dyDescent="0.25">
      <c r="A225" s="17" t="s">
        <v>317</v>
      </c>
      <c r="B225" s="17" t="s">
        <v>7</v>
      </c>
      <c r="C225" s="17" t="s">
        <v>27</v>
      </c>
      <c r="D225" s="17" t="s">
        <v>4</v>
      </c>
      <c r="E225">
        <v>9</v>
      </c>
      <c r="F225">
        <v>405000</v>
      </c>
      <c r="G225">
        <v>0</v>
      </c>
      <c r="H225">
        <v>405000</v>
      </c>
      <c r="I225" s="1">
        <v>46097</v>
      </c>
      <c r="J225" s="17" t="s">
        <v>5</v>
      </c>
      <c r="K225" t="s">
        <v>1057</v>
      </c>
    </row>
    <row r="226" spans="1:11" x14ac:dyDescent="0.25">
      <c r="A226" s="17" t="s">
        <v>318</v>
      </c>
      <c r="B226" s="17" t="s">
        <v>25</v>
      </c>
      <c r="C226" s="17" t="s">
        <v>3</v>
      </c>
      <c r="D226" s="17" t="s">
        <v>30</v>
      </c>
      <c r="E226">
        <v>3</v>
      </c>
      <c r="F226">
        <v>135000</v>
      </c>
      <c r="G226">
        <v>0</v>
      </c>
      <c r="H226">
        <v>135000</v>
      </c>
      <c r="I226" s="1">
        <v>46222</v>
      </c>
      <c r="J226" s="17" t="s">
        <v>5</v>
      </c>
      <c r="K226" t="s">
        <v>1057</v>
      </c>
    </row>
    <row r="227" spans="1:11" x14ac:dyDescent="0.25">
      <c r="A227" s="17" t="s">
        <v>319</v>
      </c>
      <c r="B227" s="17" t="s">
        <v>7</v>
      </c>
      <c r="C227" s="17" t="s">
        <v>3</v>
      </c>
      <c r="D227" s="17" t="s">
        <v>32</v>
      </c>
      <c r="E227">
        <v>2</v>
      </c>
      <c r="F227">
        <v>500000</v>
      </c>
      <c r="G227">
        <v>0</v>
      </c>
      <c r="H227">
        <v>500000</v>
      </c>
      <c r="I227" s="1">
        <v>46152</v>
      </c>
      <c r="J227" s="17" t="s">
        <v>20</v>
      </c>
      <c r="K227" t="s">
        <v>1057</v>
      </c>
    </row>
    <row r="228" spans="1:11" x14ac:dyDescent="0.25">
      <c r="A228" s="17" t="s">
        <v>320</v>
      </c>
      <c r="B228" s="17" t="s">
        <v>12</v>
      </c>
      <c r="C228" s="17" t="s">
        <v>17</v>
      </c>
      <c r="D228" s="17" t="s">
        <v>30</v>
      </c>
      <c r="E228">
        <v>10</v>
      </c>
      <c r="F228">
        <v>750000</v>
      </c>
      <c r="G228">
        <v>0</v>
      </c>
      <c r="H228">
        <v>750000</v>
      </c>
      <c r="I228" s="1">
        <v>46135</v>
      </c>
      <c r="J228" s="17" t="s">
        <v>5</v>
      </c>
      <c r="K228" t="s">
        <v>1057</v>
      </c>
    </row>
    <row r="229" spans="1:11" x14ac:dyDescent="0.25">
      <c r="A229" s="17" t="s">
        <v>324</v>
      </c>
      <c r="B229" s="17" t="s">
        <v>2</v>
      </c>
      <c r="C229" s="17" t="s">
        <v>3</v>
      </c>
      <c r="D229" s="17" t="s">
        <v>30</v>
      </c>
      <c r="E229">
        <v>7</v>
      </c>
      <c r="F229">
        <v>840000</v>
      </c>
      <c r="G229">
        <v>0</v>
      </c>
      <c r="H229">
        <v>840000</v>
      </c>
      <c r="I229" s="1">
        <v>46029</v>
      </c>
      <c r="J229" s="17" t="s">
        <v>20</v>
      </c>
      <c r="K229" t="s">
        <v>1057</v>
      </c>
    </row>
    <row r="230" spans="1:11" x14ac:dyDescent="0.25">
      <c r="A230" s="17" t="s">
        <v>325</v>
      </c>
      <c r="B230" s="17" t="s">
        <v>2</v>
      </c>
      <c r="C230" s="17" t="s">
        <v>13</v>
      </c>
      <c r="D230" s="17" t="s">
        <v>9</v>
      </c>
      <c r="E230">
        <v>1</v>
      </c>
      <c r="F230">
        <v>120000</v>
      </c>
      <c r="G230">
        <v>0</v>
      </c>
      <c r="H230">
        <v>120000</v>
      </c>
      <c r="I230" s="1">
        <v>46090</v>
      </c>
      <c r="J230" s="17" t="s">
        <v>33</v>
      </c>
      <c r="K230" t="s">
        <v>1057</v>
      </c>
    </row>
    <row r="231" spans="1:11" x14ac:dyDescent="0.25">
      <c r="A231" s="17" t="s">
        <v>326</v>
      </c>
      <c r="B231" s="17" t="s">
        <v>25</v>
      </c>
      <c r="C231" s="17" t="s">
        <v>8</v>
      </c>
      <c r="D231" s="17" t="s">
        <v>30</v>
      </c>
      <c r="E231">
        <v>4</v>
      </c>
      <c r="F231">
        <v>1000000</v>
      </c>
      <c r="G231">
        <v>0</v>
      </c>
      <c r="H231">
        <v>1000000</v>
      </c>
      <c r="I231" s="1">
        <v>46229</v>
      </c>
      <c r="J231" s="17" t="s">
        <v>10</v>
      </c>
      <c r="K231" t="s">
        <v>1057</v>
      </c>
    </row>
    <row r="232" spans="1:11" x14ac:dyDescent="0.25">
      <c r="A232" s="17" t="s">
        <v>327</v>
      </c>
      <c r="B232" s="17" t="s">
        <v>12</v>
      </c>
      <c r="C232" s="17" t="s">
        <v>13</v>
      </c>
      <c r="D232" s="17" t="s">
        <v>30</v>
      </c>
      <c r="E232">
        <v>5</v>
      </c>
      <c r="F232">
        <v>375000</v>
      </c>
      <c r="G232">
        <v>0</v>
      </c>
      <c r="H232">
        <v>375000</v>
      </c>
      <c r="I232" s="1">
        <v>46253</v>
      </c>
      <c r="J232" s="17" t="s">
        <v>5</v>
      </c>
      <c r="K232" t="s">
        <v>1057</v>
      </c>
    </row>
    <row r="233" spans="1:11" x14ac:dyDescent="0.25">
      <c r="A233" s="17" t="s">
        <v>328</v>
      </c>
      <c r="B233" s="17" t="s">
        <v>2</v>
      </c>
      <c r="C233" s="17" t="s">
        <v>8</v>
      </c>
      <c r="D233" s="17" t="s">
        <v>30</v>
      </c>
      <c r="E233">
        <v>4</v>
      </c>
      <c r="F233">
        <v>480000</v>
      </c>
      <c r="G233">
        <v>0</v>
      </c>
      <c r="H233">
        <v>480000</v>
      </c>
      <c r="I233" s="1">
        <v>46183</v>
      </c>
      <c r="J233" s="17" t="s">
        <v>10</v>
      </c>
      <c r="K233" t="s">
        <v>1057</v>
      </c>
    </row>
    <row r="234" spans="1:11" x14ac:dyDescent="0.25">
      <c r="A234" s="17" t="s">
        <v>329</v>
      </c>
      <c r="B234" s="17" t="s">
        <v>12</v>
      </c>
      <c r="C234" s="17" t="s">
        <v>3</v>
      </c>
      <c r="D234" s="17" t="s">
        <v>4</v>
      </c>
      <c r="E234">
        <v>4</v>
      </c>
      <c r="F234">
        <v>480000</v>
      </c>
      <c r="G234">
        <v>0</v>
      </c>
      <c r="H234">
        <v>480000</v>
      </c>
      <c r="I234" s="1">
        <v>46135</v>
      </c>
      <c r="J234" s="17" t="s">
        <v>20</v>
      </c>
      <c r="K234" t="s">
        <v>1057</v>
      </c>
    </row>
    <row r="235" spans="1:11" x14ac:dyDescent="0.25">
      <c r="A235" s="17" t="s">
        <v>330</v>
      </c>
      <c r="B235" s="17" t="s">
        <v>12</v>
      </c>
      <c r="C235" s="17" t="s">
        <v>13</v>
      </c>
      <c r="D235" s="17" t="s">
        <v>4</v>
      </c>
      <c r="E235">
        <v>10</v>
      </c>
      <c r="F235">
        <v>1200000</v>
      </c>
      <c r="G235">
        <v>0</v>
      </c>
      <c r="H235">
        <v>1200000</v>
      </c>
      <c r="I235" s="1">
        <v>46127</v>
      </c>
      <c r="J235" s="17" t="s">
        <v>20</v>
      </c>
      <c r="K235" t="s">
        <v>1057</v>
      </c>
    </row>
    <row r="236" spans="1:11" x14ac:dyDescent="0.25">
      <c r="A236" s="17" t="s">
        <v>332</v>
      </c>
      <c r="B236" s="17" t="s">
        <v>12</v>
      </c>
      <c r="C236" s="17" t="s">
        <v>8</v>
      </c>
      <c r="D236" s="17" t="s">
        <v>18</v>
      </c>
      <c r="E236">
        <v>10</v>
      </c>
      <c r="F236">
        <v>750000</v>
      </c>
      <c r="G236">
        <v>0</v>
      </c>
      <c r="H236">
        <v>750000</v>
      </c>
      <c r="I236" s="1">
        <v>46123</v>
      </c>
      <c r="J236" s="17" t="s">
        <v>20</v>
      </c>
      <c r="K236" t="s">
        <v>1057</v>
      </c>
    </row>
    <row r="237" spans="1:11" x14ac:dyDescent="0.25">
      <c r="A237" s="17" t="s">
        <v>333</v>
      </c>
      <c r="B237" s="17" t="s">
        <v>2</v>
      </c>
      <c r="C237" s="17" t="s">
        <v>27</v>
      </c>
      <c r="D237" s="17" t="s">
        <v>18</v>
      </c>
      <c r="E237">
        <v>1</v>
      </c>
      <c r="F237">
        <v>75000</v>
      </c>
      <c r="G237">
        <v>5000</v>
      </c>
      <c r="H237">
        <v>70000</v>
      </c>
      <c r="I237" s="1">
        <v>46221</v>
      </c>
      <c r="J237" s="17" t="s">
        <v>20</v>
      </c>
      <c r="K237" t="s">
        <v>1057</v>
      </c>
    </row>
    <row r="238" spans="1:11" x14ac:dyDescent="0.25">
      <c r="A238" s="17" t="s">
        <v>335</v>
      </c>
      <c r="B238" s="17" t="s">
        <v>25</v>
      </c>
      <c r="C238" s="17" t="s">
        <v>3</v>
      </c>
      <c r="D238" s="17" t="s">
        <v>9</v>
      </c>
      <c r="E238">
        <v>6</v>
      </c>
      <c r="F238">
        <v>450000</v>
      </c>
      <c r="G238">
        <v>0</v>
      </c>
      <c r="H238">
        <v>450000</v>
      </c>
      <c r="I238" s="1">
        <v>46068</v>
      </c>
      <c r="J238" s="17" t="s">
        <v>33</v>
      </c>
      <c r="K238" t="s">
        <v>1057</v>
      </c>
    </row>
    <row r="239" spans="1:11" x14ac:dyDescent="0.25">
      <c r="A239" s="17" t="s">
        <v>336</v>
      </c>
      <c r="B239" s="17" t="s">
        <v>7</v>
      </c>
      <c r="C239" s="17" t="s">
        <v>13</v>
      </c>
      <c r="D239" s="17" t="s">
        <v>9</v>
      </c>
      <c r="E239">
        <v>6</v>
      </c>
      <c r="F239">
        <v>270000</v>
      </c>
      <c r="G239">
        <v>0</v>
      </c>
      <c r="H239">
        <v>270000</v>
      </c>
      <c r="I239" s="1">
        <v>46114</v>
      </c>
      <c r="J239" s="17" t="s">
        <v>20</v>
      </c>
      <c r="K239" t="s">
        <v>1057</v>
      </c>
    </row>
    <row r="240" spans="1:11" x14ac:dyDescent="0.25">
      <c r="A240" s="17" t="s">
        <v>337</v>
      </c>
      <c r="B240" s="17" t="s">
        <v>25</v>
      </c>
      <c r="C240" s="17" t="s">
        <v>17</v>
      </c>
      <c r="D240" s="17" t="s">
        <v>30</v>
      </c>
      <c r="E240">
        <v>4</v>
      </c>
      <c r="F240">
        <v>740000</v>
      </c>
      <c r="G240">
        <v>0</v>
      </c>
      <c r="H240">
        <v>740000</v>
      </c>
      <c r="I240" s="1">
        <v>46174</v>
      </c>
      <c r="J240" s="17" t="s">
        <v>20</v>
      </c>
      <c r="K240" t="s">
        <v>1057</v>
      </c>
    </row>
    <row r="241" spans="1:11" x14ac:dyDescent="0.25">
      <c r="A241" s="17" t="s">
        <v>339</v>
      </c>
      <c r="B241" s="17" t="s">
        <v>7</v>
      </c>
      <c r="C241" s="17" t="s">
        <v>13</v>
      </c>
      <c r="D241" s="17" t="s">
        <v>32</v>
      </c>
      <c r="E241">
        <v>9</v>
      </c>
      <c r="F241">
        <v>675000</v>
      </c>
      <c r="G241">
        <v>0</v>
      </c>
      <c r="H241">
        <v>675000</v>
      </c>
      <c r="I241" s="1">
        <v>46152</v>
      </c>
      <c r="J241" s="17" t="s">
        <v>5</v>
      </c>
      <c r="K241" t="s">
        <v>1057</v>
      </c>
    </row>
    <row r="242" spans="1:11" x14ac:dyDescent="0.25">
      <c r="A242" s="17" t="s">
        <v>340</v>
      </c>
      <c r="B242" s="17" t="s">
        <v>7</v>
      </c>
      <c r="C242" s="17" t="s">
        <v>17</v>
      </c>
      <c r="D242" s="17" t="s">
        <v>18</v>
      </c>
      <c r="E242">
        <v>2</v>
      </c>
      <c r="F242">
        <v>500000</v>
      </c>
      <c r="G242">
        <v>0</v>
      </c>
      <c r="H242">
        <v>500000</v>
      </c>
      <c r="I242" s="1">
        <v>46149</v>
      </c>
      <c r="J242" s="17" t="s">
        <v>20</v>
      </c>
      <c r="K242" t="s">
        <v>1057</v>
      </c>
    </row>
    <row r="243" spans="1:11" x14ac:dyDescent="0.25">
      <c r="A243" s="17" t="s">
        <v>343</v>
      </c>
      <c r="B243" s="17" t="s">
        <v>2</v>
      </c>
      <c r="C243" s="17" t="s">
        <v>3</v>
      </c>
      <c r="D243" s="17" t="s">
        <v>4</v>
      </c>
      <c r="E243">
        <v>8</v>
      </c>
      <c r="F243">
        <v>2000000</v>
      </c>
      <c r="G243">
        <v>0</v>
      </c>
      <c r="H243">
        <v>2000000</v>
      </c>
      <c r="I243" s="1">
        <v>46359</v>
      </c>
      <c r="J243" s="17" t="s">
        <v>10</v>
      </c>
      <c r="K243" t="s">
        <v>1057</v>
      </c>
    </row>
    <row r="244" spans="1:11" x14ac:dyDescent="0.25">
      <c r="A244" s="17" t="s">
        <v>344</v>
      </c>
      <c r="B244" s="17" t="s">
        <v>12</v>
      </c>
      <c r="C244" s="17" t="s">
        <v>3</v>
      </c>
      <c r="D244" s="17" t="s">
        <v>4</v>
      </c>
      <c r="E244">
        <v>3</v>
      </c>
      <c r="F244">
        <v>225000</v>
      </c>
      <c r="G244">
        <v>0</v>
      </c>
      <c r="H244">
        <v>225000</v>
      </c>
      <c r="I244" s="1">
        <v>46096</v>
      </c>
      <c r="J244" s="17" t="s">
        <v>10</v>
      </c>
      <c r="K244" t="s">
        <v>1057</v>
      </c>
    </row>
    <row r="245" spans="1:11" x14ac:dyDescent="0.25">
      <c r="A245" s="17" t="s">
        <v>346</v>
      </c>
      <c r="B245" s="17" t="s">
        <v>12</v>
      </c>
      <c r="C245" s="17" t="s">
        <v>27</v>
      </c>
      <c r="D245" s="17" t="s">
        <v>9</v>
      </c>
      <c r="E245">
        <v>6</v>
      </c>
      <c r="F245">
        <v>1500000</v>
      </c>
      <c r="G245">
        <v>10000</v>
      </c>
      <c r="H245">
        <v>1490000</v>
      </c>
      <c r="I245" s="1">
        <v>46188</v>
      </c>
      <c r="J245" s="17" t="s">
        <v>5</v>
      </c>
      <c r="K245" t="s">
        <v>1057</v>
      </c>
    </row>
    <row r="246" spans="1:11" x14ac:dyDescent="0.25">
      <c r="A246" s="17" t="s">
        <v>347</v>
      </c>
      <c r="B246" s="17" t="s">
        <v>12</v>
      </c>
      <c r="C246" s="17" t="s">
        <v>17</v>
      </c>
      <c r="D246" s="17" t="s">
        <v>18</v>
      </c>
      <c r="E246">
        <v>10</v>
      </c>
      <c r="F246">
        <v>2500000</v>
      </c>
      <c r="G246">
        <v>0</v>
      </c>
      <c r="H246">
        <v>2500000</v>
      </c>
      <c r="I246" s="1">
        <v>46116</v>
      </c>
      <c r="J246" s="17" t="s">
        <v>20</v>
      </c>
      <c r="K246" t="s">
        <v>1057</v>
      </c>
    </row>
    <row r="247" spans="1:11" x14ac:dyDescent="0.25">
      <c r="A247" s="17" t="s">
        <v>348</v>
      </c>
      <c r="B247" s="17" t="s">
        <v>2</v>
      </c>
      <c r="C247" s="17" t="s">
        <v>29</v>
      </c>
      <c r="D247" s="17" t="s">
        <v>18</v>
      </c>
      <c r="E247">
        <v>4</v>
      </c>
      <c r="F247">
        <v>480000</v>
      </c>
      <c r="G247">
        <v>0</v>
      </c>
      <c r="H247">
        <v>480000</v>
      </c>
      <c r="I247" s="1">
        <v>46065</v>
      </c>
      <c r="J247" s="17" t="s">
        <v>10</v>
      </c>
      <c r="K247" t="s">
        <v>1057</v>
      </c>
    </row>
    <row r="248" spans="1:11" x14ac:dyDescent="0.25">
      <c r="A248" s="17" t="s">
        <v>349</v>
      </c>
      <c r="B248" s="17" t="s">
        <v>25</v>
      </c>
      <c r="C248" s="17" t="s">
        <v>13</v>
      </c>
      <c r="D248" s="17" t="s">
        <v>18</v>
      </c>
      <c r="E248">
        <v>3</v>
      </c>
      <c r="F248">
        <v>225000</v>
      </c>
      <c r="G248">
        <v>0</v>
      </c>
      <c r="H248">
        <v>225000</v>
      </c>
      <c r="I248" s="1">
        <v>46057</v>
      </c>
      <c r="J248" s="17" t="s">
        <v>10</v>
      </c>
      <c r="K248" t="s">
        <v>1057</v>
      </c>
    </row>
    <row r="249" spans="1:11" x14ac:dyDescent="0.25">
      <c r="A249" s="17" t="s">
        <v>350</v>
      </c>
      <c r="B249" s="17" t="s">
        <v>12</v>
      </c>
      <c r="C249" s="17" t="s">
        <v>13</v>
      </c>
      <c r="D249" s="17" t="s">
        <v>4</v>
      </c>
      <c r="E249">
        <v>9</v>
      </c>
      <c r="F249">
        <v>675000</v>
      </c>
      <c r="G249">
        <v>0</v>
      </c>
      <c r="H249">
        <v>675000</v>
      </c>
      <c r="I249" s="1">
        <v>46208</v>
      </c>
      <c r="J249" s="17" t="s">
        <v>33</v>
      </c>
      <c r="K249" t="s">
        <v>1057</v>
      </c>
    </row>
    <row r="250" spans="1:11" x14ac:dyDescent="0.25">
      <c r="A250" s="17" t="s">
        <v>351</v>
      </c>
      <c r="B250" s="17" t="s">
        <v>25</v>
      </c>
      <c r="C250" s="17" t="s">
        <v>17</v>
      </c>
      <c r="D250" s="17" t="s">
        <v>18</v>
      </c>
      <c r="E250">
        <v>1</v>
      </c>
      <c r="F250">
        <v>185000</v>
      </c>
      <c r="G250">
        <v>0</v>
      </c>
      <c r="H250">
        <v>185000</v>
      </c>
      <c r="I250" s="1">
        <v>46023</v>
      </c>
      <c r="J250" s="17" t="s">
        <v>10</v>
      </c>
      <c r="K250" t="s">
        <v>1057</v>
      </c>
    </row>
    <row r="251" spans="1:11" x14ac:dyDescent="0.25">
      <c r="A251" s="17" t="s">
        <v>352</v>
      </c>
      <c r="B251" s="17" t="s">
        <v>12</v>
      </c>
      <c r="C251" s="17" t="s">
        <v>3</v>
      </c>
      <c r="D251" s="17" t="s">
        <v>32</v>
      </c>
      <c r="E251">
        <v>6</v>
      </c>
      <c r="F251">
        <v>270000</v>
      </c>
      <c r="G251">
        <v>0</v>
      </c>
      <c r="H251">
        <v>270000</v>
      </c>
      <c r="I251" s="1">
        <v>46212</v>
      </c>
      <c r="J251" s="17" t="s">
        <v>5</v>
      </c>
      <c r="K251" t="s">
        <v>1057</v>
      </c>
    </row>
    <row r="252" spans="1:11" x14ac:dyDescent="0.25">
      <c r="A252" s="17" t="s">
        <v>353</v>
      </c>
      <c r="B252" s="17" t="s">
        <v>7</v>
      </c>
      <c r="C252" s="17" t="s">
        <v>29</v>
      </c>
      <c r="D252" s="17" t="s">
        <v>18</v>
      </c>
      <c r="E252">
        <v>10</v>
      </c>
      <c r="F252">
        <v>450000</v>
      </c>
      <c r="G252">
        <v>15000</v>
      </c>
      <c r="H252">
        <v>435000</v>
      </c>
      <c r="I252" s="1">
        <v>46060</v>
      </c>
      <c r="J252" s="17" t="s">
        <v>5</v>
      </c>
      <c r="K252" t="s">
        <v>1057</v>
      </c>
    </row>
    <row r="253" spans="1:11" x14ac:dyDescent="0.25">
      <c r="A253" s="17" t="s">
        <v>355</v>
      </c>
      <c r="B253" s="17" t="s">
        <v>2</v>
      </c>
      <c r="C253" s="17" t="s">
        <v>27</v>
      </c>
      <c r="D253" s="17" t="s">
        <v>32</v>
      </c>
      <c r="E253">
        <v>5</v>
      </c>
      <c r="F253">
        <v>375000</v>
      </c>
      <c r="G253">
        <v>0</v>
      </c>
      <c r="H253">
        <v>375000</v>
      </c>
      <c r="I253" s="1">
        <v>46118</v>
      </c>
      <c r="J253" s="17" t="s">
        <v>5</v>
      </c>
      <c r="K253" t="s">
        <v>1057</v>
      </c>
    </row>
    <row r="254" spans="1:11" x14ac:dyDescent="0.25">
      <c r="A254" s="17" t="s">
        <v>356</v>
      </c>
      <c r="B254" s="17" t="s">
        <v>25</v>
      </c>
      <c r="C254" s="17" t="s">
        <v>3</v>
      </c>
      <c r="D254" s="17" t="s">
        <v>4</v>
      </c>
      <c r="E254">
        <v>1</v>
      </c>
      <c r="F254">
        <v>120000</v>
      </c>
      <c r="G254">
        <v>0</v>
      </c>
      <c r="H254">
        <v>120000</v>
      </c>
      <c r="I254" s="1">
        <v>46139</v>
      </c>
      <c r="J254" s="17" t="s">
        <v>20</v>
      </c>
      <c r="K254" t="s">
        <v>1057</v>
      </c>
    </row>
    <row r="255" spans="1:11" x14ac:dyDescent="0.25">
      <c r="A255" s="17" t="s">
        <v>357</v>
      </c>
      <c r="B255" s="17" t="s">
        <v>12</v>
      </c>
      <c r="C255" s="17" t="s">
        <v>27</v>
      </c>
      <c r="D255" s="17" t="s">
        <v>4</v>
      </c>
      <c r="E255">
        <v>2</v>
      </c>
      <c r="F255">
        <v>370000</v>
      </c>
      <c r="G255">
        <v>0</v>
      </c>
      <c r="H255">
        <v>370000</v>
      </c>
      <c r="I255" s="1">
        <v>46163</v>
      </c>
      <c r="J255" s="17" t="s">
        <v>20</v>
      </c>
      <c r="K255" t="s">
        <v>1057</v>
      </c>
    </row>
    <row r="256" spans="1:11" x14ac:dyDescent="0.25">
      <c r="A256" s="17" t="s">
        <v>358</v>
      </c>
      <c r="B256" s="17" t="s">
        <v>7</v>
      </c>
      <c r="C256" s="17" t="s">
        <v>27</v>
      </c>
      <c r="D256" s="17" t="s">
        <v>30</v>
      </c>
      <c r="E256">
        <v>3</v>
      </c>
      <c r="F256">
        <v>135000</v>
      </c>
      <c r="G256">
        <v>0</v>
      </c>
      <c r="H256">
        <v>135000</v>
      </c>
      <c r="I256" s="1">
        <v>46125</v>
      </c>
      <c r="J256" s="17" t="s">
        <v>20</v>
      </c>
      <c r="K256" t="s">
        <v>1057</v>
      </c>
    </row>
    <row r="257" spans="1:11" x14ac:dyDescent="0.25">
      <c r="A257" s="17" t="s">
        <v>359</v>
      </c>
      <c r="B257" s="17" t="s">
        <v>2</v>
      </c>
      <c r="C257" s="17" t="s">
        <v>3</v>
      </c>
      <c r="D257" s="17" t="s">
        <v>32</v>
      </c>
      <c r="E257">
        <v>5</v>
      </c>
      <c r="F257">
        <v>225000</v>
      </c>
      <c r="G257">
        <v>0</v>
      </c>
      <c r="H257">
        <v>225000</v>
      </c>
      <c r="I257" s="1">
        <v>46160</v>
      </c>
      <c r="J257" s="17" t="s">
        <v>5</v>
      </c>
      <c r="K257" t="s">
        <v>1057</v>
      </c>
    </row>
    <row r="258" spans="1:11" x14ac:dyDescent="0.25">
      <c r="A258" s="17" t="s">
        <v>360</v>
      </c>
      <c r="B258" s="17" t="s">
        <v>25</v>
      </c>
      <c r="C258" s="17" t="s">
        <v>13</v>
      </c>
      <c r="D258" s="17" t="s">
        <v>32</v>
      </c>
      <c r="E258">
        <v>1</v>
      </c>
      <c r="F258">
        <v>185000</v>
      </c>
      <c r="G258">
        <v>0</v>
      </c>
      <c r="H258">
        <v>185000</v>
      </c>
      <c r="I258" s="1">
        <v>46133</v>
      </c>
      <c r="J258" s="17" t="s">
        <v>10</v>
      </c>
      <c r="K258" t="s">
        <v>1057</v>
      </c>
    </row>
    <row r="259" spans="1:11" x14ac:dyDescent="0.25">
      <c r="A259" s="17" t="s">
        <v>361</v>
      </c>
      <c r="B259" s="17" t="s">
        <v>7</v>
      </c>
      <c r="C259" s="17" t="s">
        <v>8</v>
      </c>
      <c r="D259" s="17" t="s">
        <v>18</v>
      </c>
      <c r="E259">
        <v>5</v>
      </c>
      <c r="F259">
        <v>1250000</v>
      </c>
      <c r="G259">
        <v>15000</v>
      </c>
      <c r="H259">
        <v>1235000</v>
      </c>
      <c r="I259" s="1">
        <v>46062</v>
      </c>
      <c r="J259" s="17" t="s">
        <v>33</v>
      </c>
      <c r="K259" t="s">
        <v>1057</v>
      </c>
    </row>
    <row r="260" spans="1:11" x14ac:dyDescent="0.25">
      <c r="A260" s="17" t="s">
        <v>363</v>
      </c>
      <c r="B260" s="17" t="s">
        <v>7</v>
      </c>
      <c r="C260" s="17" t="s">
        <v>17</v>
      </c>
      <c r="D260" s="17" t="s">
        <v>18</v>
      </c>
      <c r="E260">
        <v>5</v>
      </c>
      <c r="F260">
        <v>1250000</v>
      </c>
      <c r="G260">
        <v>0</v>
      </c>
      <c r="H260">
        <v>1250000</v>
      </c>
      <c r="I260" s="1">
        <v>46210</v>
      </c>
      <c r="J260" s="17" t="s">
        <v>20</v>
      </c>
      <c r="K260" t="s">
        <v>1057</v>
      </c>
    </row>
    <row r="261" spans="1:11" x14ac:dyDescent="0.25">
      <c r="A261" s="17" t="s">
        <v>365</v>
      </c>
      <c r="B261" s="17" t="s">
        <v>7</v>
      </c>
      <c r="C261" s="17" t="s">
        <v>13</v>
      </c>
      <c r="D261" s="17" t="s">
        <v>9</v>
      </c>
      <c r="E261">
        <v>10</v>
      </c>
      <c r="F261">
        <v>1200000</v>
      </c>
      <c r="G261">
        <v>5000</v>
      </c>
      <c r="H261">
        <v>1195000</v>
      </c>
      <c r="I261" s="1">
        <v>46097</v>
      </c>
      <c r="J261" s="17" t="s">
        <v>33</v>
      </c>
      <c r="K261" t="s">
        <v>1057</v>
      </c>
    </row>
    <row r="262" spans="1:11" x14ac:dyDescent="0.25">
      <c r="A262" s="17" t="s">
        <v>366</v>
      </c>
      <c r="B262" s="17" t="s">
        <v>25</v>
      </c>
      <c r="C262" s="17" t="s">
        <v>13</v>
      </c>
      <c r="D262" s="17" t="s">
        <v>4</v>
      </c>
      <c r="E262">
        <v>3</v>
      </c>
      <c r="F262">
        <v>135000</v>
      </c>
      <c r="G262">
        <v>10000</v>
      </c>
      <c r="H262">
        <v>125000</v>
      </c>
      <c r="I262" s="1">
        <v>46039</v>
      </c>
      <c r="J262" s="17" t="s">
        <v>33</v>
      </c>
      <c r="K262" t="s">
        <v>1057</v>
      </c>
    </row>
    <row r="263" spans="1:11" x14ac:dyDescent="0.25">
      <c r="A263" s="17" t="s">
        <v>367</v>
      </c>
      <c r="B263" s="17" t="s">
        <v>12</v>
      </c>
      <c r="C263" s="17" t="s">
        <v>3</v>
      </c>
      <c r="D263" s="17" t="s">
        <v>4</v>
      </c>
      <c r="E263">
        <v>7</v>
      </c>
      <c r="F263">
        <v>1750000</v>
      </c>
      <c r="G263">
        <v>0</v>
      </c>
      <c r="H263">
        <v>1750000</v>
      </c>
      <c r="I263" s="1">
        <v>46225</v>
      </c>
      <c r="J263" s="17" t="s">
        <v>20</v>
      </c>
      <c r="K263" t="s">
        <v>1057</v>
      </c>
    </row>
    <row r="264" spans="1:11" x14ac:dyDescent="0.25">
      <c r="A264" s="17" t="s">
        <v>368</v>
      </c>
      <c r="B264" s="17" t="s">
        <v>2</v>
      </c>
      <c r="C264" s="17" t="s">
        <v>27</v>
      </c>
      <c r="D264" s="17" t="s">
        <v>30</v>
      </c>
      <c r="E264">
        <v>1</v>
      </c>
      <c r="F264">
        <v>75000</v>
      </c>
      <c r="G264">
        <v>0</v>
      </c>
      <c r="H264">
        <v>75000</v>
      </c>
      <c r="I264" s="1">
        <v>46097</v>
      </c>
      <c r="J264" s="17" t="s">
        <v>10</v>
      </c>
      <c r="K264" t="s">
        <v>1057</v>
      </c>
    </row>
    <row r="265" spans="1:11" x14ac:dyDescent="0.25">
      <c r="A265" s="17" t="s">
        <v>369</v>
      </c>
      <c r="B265" s="17" t="s">
        <v>25</v>
      </c>
      <c r="C265" s="17" t="s">
        <v>3</v>
      </c>
      <c r="D265" s="17" t="s">
        <v>18</v>
      </c>
      <c r="E265">
        <v>2</v>
      </c>
      <c r="F265">
        <v>240000</v>
      </c>
      <c r="G265">
        <v>0</v>
      </c>
      <c r="H265">
        <v>240000</v>
      </c>
      <c r="I265" s="1">
        <v>46190</v>
      </c>
      <c r="J265" s="17" t="s">
        <v>5</v>
      </c>
      <c r="K265" t="s">
        <v>1057</v>
      </c>
    </row>
    <row r="266" spans="1:11" x14ac:dyDescent="0.25">
      <c r="A266" s="17" t="s">
        <v>370</v>
      </c>
      <c r="B266" s="17" t="s">
        <v>7</v>
      </c>
      <c r="C266" s="17" t="s">
        <v>8</v>
      </c>
      <c r="D266" s="17" t="s">
        <v>32</v>
      </c>
      <c r="E266">
        <v>2</v>
      </c>
      <c r="F266">
        <v>240000</v>
      </c>
      <c r="G266">
        <v>0</v>
      </c>
      <c r="H266">
        <v>240000</v>
      </c>
      <c r="I266" s="1">
        <v>46097</v>
      </c>
      <c r="J266" s="17" t="s">
        <v>5</v>
      </c>
      <c r="K266" t="s">
        <v>1057</v>
      </c>
    </row>
    <row r="267" spans="1:11" x14ac:dyDescent="0.25">
      <c r="A267" s="17" t="s">
        <v>371</v>
      </c>
      <c r="B267" s="17" t="s">
        <v>12</v>
      </c>
      <c r="C267" s="17" t="s">
        <v>3</v>
      </c>
      <c r="D267" s="17" t="s">
        <v>30</v>
      </c>
      <c r="E267">
        <v>3</v>
      </c>
      <c r="F267">
        <v>750000</v>
      </c>
      <c r="G267">
        <v>0</v>
      </c>
      <c r="H267">
        <v>750000</v>
      </c>
      <c r="I267" s="1">
        <v>46049</v>
      </c>
      <c r="J267" s="17" t="s">
        <v>20</v>
      </c>
      <c r="K267" t="s">
        <v>1057</v>
      </c>
    </row>
    <row r="268" spans="1:11" x14ac:dyDescent="0.25">
      <c r="A268" s="17" t="s">
        <v>373</v>
      </c>
      <c r="B268" s="17" t="s">
        <v>12</v>
      </c>
      <c r="C268" s="17" t="s">
        <v>27</v>
      </c>
      <c r="D268" s="17" t="s">
        <v>9</v>
      </c>
      <c r="E268">
        <v>6</v>
      </c>
      <c r="F268">
        <v>1110000</v>
      </c>
      <c r="G268">
        <v>15000</v>
      </c>
      <c r="H268">
        <v>1095000</v>
      </c>
      <c r="I268" s="1">
        <v>46247</v>
      </c>
      <c r="J268" s="17" t="s">
        <v>10</v>
      </c>
      <c r="K268" t="s">
        <v>1057</v>
      </c>
    </row>
    <row r="269" spans="1:11" x14ac:dyDescent="0.25">
      <c r="A269" s="17" t="s">
        <v>374</v>
      </c>
      <c r="B269" s="17" t="s">
        <v>2</v>
      </c>
      <c r="C269" s="17" t="s">
        <v>8</v>
      </c>
      <c r="D269" s="17" t="s">
        <v>30</v>
      </c>
      <c r="E269">
        <v>5</v>
      </c>
      <c r="F269">
        <v>375000</v>
      </c>
      <c r="G269">
        <v>0</v>
      </c>
      <c r="H269">
        <v>375000</v>
      </c>
      <c r="I269" s="1">
        <v>46216</v>
      </c>
      <c r="J269" s="17" t="s">
        <v>10</v>
      </c>
      <c r="K269" t="s">
        <v>1057</v>
      </c>
    </row>
    <row r="270" spans="1:11" x14ac:dyDescent="0.25">
      <c r="A270" s="17" t="s">
        <v>376</v>
      </c>
      <c r="B270" s="17" t="s">
        <v>2</v>
      </c>
      <c r="C270" s="17" t="s">
        <v>13</v>
      </c>
      <c r="D270" s="17" t="s">
        <v>9</v>
      </c>
      <c r="E270">
        <v>4</v>
      </c>
      <c r="F270">
        <v>480000</v>
      </c>
      <c r="G270">
        <v>15000</v>
      </c>
      <c r="H270">
        <v>465000</v>
      </c>
      <c r="I270" s="1">
        <v>46028</v>
      </c>
      <c r="J270" s="17" t="s">
        <v>10</v>
      </c>
      <c r="K270" t="s">
        <v>1057</v>
      </c>
    </row>
    <row r="271" spans="1:11" x14ac:dyDescent="0.25">
      <c r="A271" s="17" t="s">
        <v>377</v>
      </c>
      <c r="B271" s="17" t="s">
        <v>7</v>
      </c>
      <c r="C271" s="17" t="s">
        <v>27</v>
      </c>
      <c r="D271" s="17" t="s">
        <v>30</v>
      </c>
      <c r="E271">
        <v>9</v>
      </c>
      <c r="F271">
        <v>1080000</v>
      </c>
      <c r="G271">
        <v>0</v>
      </c>
      <c r="H271">
        <v>1080000</v>
      </c>
      <c r="I271" s="1">
        <v>46239</v>
      </c>
      <c r="J271" s="17" t="s">
        <v>10</v>
      </c>
      <c r="K271" t="s">
        <v>1057</v>
      </c>
    </row>
    <row r="272" spans="1:11" x14ac:dyDescent="0.25">
      <c r="A272" s="17" t="s">
        <v>379</v>
      </c>
      <c r="B272" s="17" t="s">
        <v>2</v>
      </c>
      <c r="C272" s="17" t="s">
        <v>27</v>
      </c>
      <c r="D272" s="17" t="s">
        <v>32</v>
      </c>
      <c r="E272">
        <v>4</v>
      </c>
      <c r="F272">
        <v>1000000</v>
      </c>
      <c r="G272">
        <v>0</v>
      </c>
      <c r="H272">
        <v>1000000</v>
      </c>
      <c r="I272" s="1">
        <v>46072</v>
      </c>
      <c r="J272" s="17" t="s">
        <v>20</v>
      </c>
      <c r="K272" t="s">
        <v>1057</v>
      </c>
    </row>
    <row r="273" spans="1:11" x14ac:dyDescent="0.25">
      <c r="A273" s="17" t="s">
        <v>380</v>
      </c>
      <c r="B273" s="17" t="s">
        <v>12</v>
      </c>
      <c r="C273" s="17" t="s">
        <v>17</v>
      </c>
      <c r="D273" s="17" t="s">
        <v>4</v>
      </c>
      <c r="E273">
        <v>2</v>
      </c>
      <c r="F273">
        <v>150000</v>
      </c>
      <c r="G273">
        <v>15000</v>
      </c>
      <c r="H273">
        <v>135000</v>
      </c>
      <c r="I273" s="1">
        <v>46186</v>
      </c>
      <c r="J273" s="17" t="s">
        <v>5</v>
      </c>
      <c r="K273" t="s">
        <v>1057</v>
      </c>
    </row>
    <row r="274" spans="1:11" x14ac:dyDescent="0.25">
      <c r="A274" s="17" t="s">
        <v>381</v>
      </c>
      <c r="B274" s="17" t="s">
        <v>2</v>
      </c>
      <c r="C274" s="17" t="s">
        <v>17</v>
      </c>
      <c r="D274" s="17" t="s">
        <v>9</v>
      </c>
      <c r="E274">
        <v>7</v>
      </c>
      <c r="F274">
        <v>315000</v>
      </c>
      <c r="G274">
        <v>0</v>
      </c>
      <c r="H274">
        <v>315000</v>
      </c>
      <c r="I274" s="1">
        <v>46255</v>
      </c>
      <c r="J274" s="17" t="s">
        <v>33</v>
      </c>
      <c r="K274" t="s">
        <v>1057</v>
      </c>
    </row>
    <row r="275" spans="1:11" x14ac:dyDescent="0.25">
      <c r="A275" s="17" t="s">
        <v>382</v>
      </c>
      <c r="B275" s="17" t="s">
        <v>7</v>
      </c>
      <c r="C275" s="17" t="s">
        <v>3</v>
      </c>
      <c r="D275" s="17" t="s">
        <v>32</v>
      </c>
      <c r="E275">
        <v>2</v>
      </c>
      <c r="F275">
        <v>90000</v>
      </c>
      <c r="G275">
        <v>0</v>
      </c>
      <c r="H275">
        <v>90000</v>
      </c>
      <c r="I275" s="1">
        <v>46032</v>
      </c>
      <c r="J275" s="17" t="s">
        <v>20</v>
      </c>
      <c r="K275" t="s">
        <v>1057</v>
      </c>
    </row>
    <row r="276" spans="1:11" x14ac:dyDescent="0.25">
      <c r="A276" s="17" t="s">
        <v>383</v>
      </c>
      <c r="B276" s="17" t="s">
        <v>25</v>
      </c>
      <c r="C276" s="17" t="s">
        <v>29</v>
      </c>
      <c r="D276" s="17" t="s">
        <v>30</v>
      </c>
      <c r="E276">
        <v>10</v>
      </c>
      <c r="F276">
        <v>2500000</v>
      </c>
      <c r="G276">
        <v>0</v>
      </c>
      <c r="H276">
        <v>2500000</v>
      </c>
      <c r="I276" s="1">
        <v>46134</v>
      </c>
      <c r="J276" s="17" t="s">
        <v>5</v>
      </c>
      <c r="K276" t="s">
        <v>1057</v>
      </c>
    </row>
    <row r="277" spans="1:11" x14ac:dyDescent="0.25">
      <c r="A277" s="17" t="s">
        <v>384</v>
      </c>
      <c r="B277" s="17" t="s">
        <v>2</v>
      </c>
      <c r="C277" s="17" t="s">
        <v>13</v>
      </c>
      <c r="D277" s="17" t="s">
        <v>4</v>
      </c>
      <c r="E277">
        <v>2</v>
      </c>
      <c r="F277">
        <v>90000</v>
      </c>
      <c r="G277">
        <v>0</v>
      </c>
      <c r="H277">
        <v>90000</v>
      </c>
      <c r="I277" s="1">
        <v>46140</v>
      </c>
      <c r="J277" s="17" t="s">
        <v>10</v>
      </c>
      <c r="K277" t="s">
        <v>1057</v>
      </c>
    </row>
    <row r="278" spans="1:11" x14ac:dyDescent="0.25">
      <c r="A278" s="17" t="s">
        <v>385</v>
      </c>
      <c r="B278" s="17" t="s">
        <v>7</v>
      </c>
      <c r="C278" s="17" t="s">
        <v>8</v>
      </c>
      <c r="D278" s="17" t="s">
        <v>4</v>
      </c>
      <c r="E278">
        <v>5</v>
      </c>
      <c r="F278">
        <v>375000</v>
      </c>
      <c r="G278">
        <v>0</v>
      </c>
      <c r="H278">
        <v>375000</v>
      </c>
      <c r="I278" s="1">
        <v>46143</v>
      </c>
      <c r="J278" s="17" t="s">
        <v>20</v>
      </c>
      <c r="K278" t="s">
        <v>1057</v>
      </c>
    </row>
    <row r="279" spans="1:11" x14ac:dyDescent="0.25">
      <c r="A279" s="17" t="s">
        <v>386</v>
      </c>
      <c r="B279" s="17" t="s">
        <v>7</v>
      </c>
      <c r="C279" s="17" t="s">
        <v>8</v>
      </c>
      <c r="D279" s="17" t="s">
        <v>18</v>
      </c>
      <c r="E279">
        <v>1</v>
      </c>
      <c r="F279">
        <v>250000</v>
      </c>
      <c r="G279">
        <v>0</v>
      </c>
      <c r="H279">
        <v>250000</v>
      </c>
      <c r="I279" s="1">
        <v>46075</v>
      </c>
      <c r="J279" s="17" t="s">
        <v>33</v>
      </c>
      <c r="K279" t="s">
        <v>1057</v>
      </c>
    </row>
    <row r="280" spans="1:11" x14ac:dyDescent="0.25">
      <c r="A280" s="17" t="s">
        <v>387</v>
      </c>
      <c r="B280" s="17" t="s">
        <v>2</v>
      </c>
      <c r="C280" s="17" t="s">
        <v>8</v>
      </c>
      <c r="D280" s="17" t="s">
        <v>9</v>
      </c>
      <c r="E280">
        <v>6</v>
      </c>
      <c r="F280">
        <v>1500000</v>
      </c>
      <c r="G280">
        <v>0</v>
      </c>
      <c r="H280">
        <v>1500000</v>
      </c>
      <c r="I280" s="1">
        <v>46045</v>
      </c>
      <c r="J280" s="17" t="s">
        <v>33</v>
      </c>
      <c r="K280" t="s">
        <v>1057</v>
      </c>
    </row>
    <row r="281" spans="1:11" x14ac:dyDescent="0.25">
      <c r="A281" s="17" t="s">
        <v>388</v>
      </c>
      <c r="B281" s="17" t="s">
        <v>7</v>
      </c>
      <c r="C281" s="17" t="s">
        <v>29</v>
      </c>
      <c r="D281" s="17" t="s">
        <v>4</v>
      </c>
      <c r="E281">
        <v>2</v>
      </c>
      <c r="F281">
        <v>370000</v>
      </c>
      <c r="G281">
        <v>0</v>
      </c>
      <c r="H281">
        <v>370000</v>
      </c>
      <c r="I281" s="1">
        <v>46211</v>
      </c>
      <c r="J281" s="17" t="s">
        <v>33</v>
      </c>
      <c r="K281" t="s">
        <v>1057</v>
      </c>
    </row>
    <row r="282" spans="1:11" x14ac:dyDescent="0.25">
      <c r="A282" s="17" t="s">
        <v>390</v>
      </c>
      <c r="B282" s="17" t="s">
        <v>25</v>
      </c>
      <c r="C282" s="17" t="s">
        <v>3</v>
      </c>
      <c r="D282" s="17" t="s">
        <v>9</v>
      </c>
      <c r="E282">
        <v>2</v>
      </c>
      <c r="F282">
        <v>150000</v>
      </c>
      <c r="G282">
        <v>0</v>
      </c>
      <c r="H282">
        <v>150000</v>
      </c>
      <c r="I282" s="1">
        <v>46235</v>
      </c>
      <c r="J282" s="17" t="s">
        <v>5</v>
      </c>
      <c r="K282" t="s">
        <v>1057</v>
      </c>
    </row>
    <row r="283" spans="1:11" x14ac:dyDescent="0.25">
      <c r="A283" s="17" t="s">
        <v>392</v>
      </c>
      <c r="B283" s="17" t="s">
        <v>25</v>
      </c>
      <c r="C283" s="17" t="s">
        <v>3</v>
      </c>
      <c r="D283" s="17" t="s">
        <v>4</v>
      </c>
      <c r="E283">
        <v>4</v>
      </c>
      <c r="F283">
        <v>1000000</v>
      </c>
      <c r="G283">
        <v>0</v>
      </c>
      <c r="H283">
        <v>1000000</v>
      </c>
      <c r="I283" s="1">
        <v>46143</v>
      </c>
      <c r="J283" s="17" t="s">
        <v>33</v>
      </c>
      <c r="K283" t="s">
        <v>1057</v>
      </c>
    </row>
    <row r="284" spans="1:11" x14ac:dyDescent="0.25">
      <c r="A284" s="17" t="s">
        <v>393</v>
      </c>
      <c r="B284" s="17" t="s">
        <v>2</v>
      </c>
      <c r="C284" s="17" t="s">
        <v>27</v>
      </c>
      <c r="D284" s="17" t="s">
        <v>9</v>
      </c>
      <c r="E284">
        <v>1</v>
      </c>
      <c r="F284">
        <v>185000</v>
      </c>
      <c r="G284">
        <v>0</v>
      </c>
      <c r="H284">
        <v>185000</v>
      </c>
      <c r="I284" s="1">
        <v>46063</v>
      </c>
      <c r="J284" s="17" t="s">
        <v>10</v>
      </c>
      <c r="K284" t="s">
        <v>1057</v>
      </c>
    </row>
    <row r="285" spans="1:11" x14ac:dyDescent="0.25">
      <c r="A285" s="17" t="s">
        <v>395</v>
      </c>
      <c r="B285" s="17" t="s">
        <v>7</v>
      </c>
      <c r="C285" s="17" t="s">
        <v>29</v>
      </c>
      <c r="D285" s="17" t="s">
        <v>32</v>
      </c>
      <c r="E285">
        <v>3</v>
      </c>
      <c r="F285">
        <v>750000</v>
      </c>
      <c r="G285">
        <v>0</v>
      </c>
      <c r="H285">
        <v>750000</v>
      </c>
      <c r="I285" s="1">
        <v>46215</v>
      </c>
      <c r="J285" s="17" t="s">
        <v>33</v>
      </c>
      <c r="K285" t="s">
        <v>1057</v>
      </c>
    </row>
    <row r="286" spans="1:11" x14ac:dyDescent="0.25">
      <c r="A286" s="17" t="s">
        <v>396</v>
      </c>
      <c r="B286" s="17" t="s">
        <v>12</v>
      </c>
      <c r="C286" s="17" t="s">
        <v>13</v>
      </c>
      <c r="D286" s="17" t="s">
        <v>32</v>
      </c>
      <c r="E286">
        <v>2</v>
      </c>
      <c r="F286">
        <v>500000</v>
      </c>
      <c r="G286">
        <v>0</v>
      </c>
      <c r="H286">
        <v>500000</v>
      </c>
      <c r="I286" s="1">
        <v>46131</v>
      </c>
      <c r="J286" s="17" t="s">
        <v>33</v>
      </c>
      <c r="K286" t="s">
        <v>1057</v>
      </c>
    </row>
    <row r="287" spans="1:11" x14ac:dyDescent="0.25">
      <c r="A287" s="17" t="s">
        <v>397</v>
      </c>
      <c r="B287" s="17" t="s">
        <v>7</v>
      </c>
      <c r="C287" s="17" t="s">
        <v>8</v>
      </c>
      <c r="D287" s="17" t="s">
        <v>30</v>
      </c>
      <c r="E287">
        <v>1</v>
      </c>
      <c r="F287">
        <v>250000</v>
      </c>
      <c r="G287">
        <v>0</v>
      </c>
      <c r="H287">
        <v>250000</v>
      </c>
      <c r="I287" s="1">
        <v>46253</v>
      </c>
      <c r="J287" s="17" t="s">
        <v>10</v>
      </c>
      <c r="K287" t="s">
        <v>1057</v>
      </c>
    </row>
    <row r="288" spans="1:11" x14ac:dyDescent="0.25">
      <c r="A288" s="17" t="s">
        <v>398</v>
      </c>
      <c r="B288" s="17" t="s">
        <v>25</v>
      </c>
      <c r="C288" s="17" t="s">
        <v>27</v>
      </c>
      <c r="D288" s="17" t="s">
        <v>9</v>
      </c>
      <c r="E288">
        <v>5</v>
      </c>
      <c r="F288">
        <v>375000</v>
      </c>
      <c r="G288">
        <v>0</v>
      </c>
      <c r="H288">
        <v>375000</v>
      </c>
      <c r="I288" s="1">
        <v>46063</v>
      </c>
      <c r="J288" s="17" t="s">
        <v>10</v>
      </c>
      <c r="K288" t="s">
        <v>1057</v>
      </c>
    </row>
    <row r="289" spans="1:11" x14ac:dyDescent="0.25">
      <c r="A289" s="17" t="s">
        <v>399</v>
      </c>
      <c r="B289" s="17" t="s">
        <v>2</v>
      </c>
      <c r="C289" s="17" t="s">
        <v>29</v>
      </c>
      <c r="D289" s="17" t="s">
        <v>9</v>
      </c>
      <c r="E289">
        <v>6</v>
      </c>
      <c r="F289">
        <v>270000</v>
      </c>
      <c r="G289">
        <v>0</v>
      </c>
      <c r="H289">
        <v>270000</v>
      </c>
      <c r="I289" s="1">
        <v>46044</v>
      </c>
      <c r="J289" s="17" t="s">
        <v>10</v>
      </c>
      <c r="K289" t="s">
        <v>1057</v>
      </c>
    </row>
    <row r="290" spans="1:11" x14ac:dyDescent="0.25">
      <c r="A290" s="17" t="s">
        <v>400</v>
      </c>
      <c r="B290" s="17" t="s">
        <v>2</v>
      </c>
      <c r="C290" s="17" t="s">
        <v>27</v>
      </c>
      <c r="D290" s="17" t="s">
        <v>9</v>
      </c>
      <c r="E290">
        <v>3</v>
      </c>
      <c r="F290">
        <v>555000</v>
      </c>
      <c r="G290">
        <v>0</v>
      </c>
      <c r="H290">
        <v>555000</v>
      </c>
      <c r="I290" s="1">
        <v>46035</v>
      </c>
      <c r="J290" s="17" t="s">
        <v>33</v>
      </c>
      <c r="K290" t="s">
        <v>1057</v>
      </c>
    </row>
    <row r="291" spans="1:11" x14ac:dyDescent="0.25">
      <c r="A291" s="17" t="s">
        <v>401</v>
      </c>
      <c r="B291" s="17" t="s">
        <v>7</v>
      </c>
      <c r="C291" s="17" t="s">
        <v>13</v>
      </c>
      <c r="D291" s="17" t="s">
        <v>4</v>
      </c>
      <c r="E291">
        <v>5</v>
      </c>
      <c r="F291">
        <v>225000</v>
      </c>
      <c r="G291">
        <v>0</v>
      </c>
      <c r="H291">
        <v>225000</v>
      </c>
      <c r="I291" s="1">
        <v>46237</v>
      </c>
      <c r="J291" s="17" t="s">
        <v>5</v>
      </c>
      <c r="K291" t="s">
        <v>1057</v>
      </c>
    </row>
    <row r="292" spans="1:11" x14ac:dyDescent="0.25">
      <c r="A292" s="17" t="s">
        <v>403</v>
      </c>
      <c r="B292" s="17" t="s">
        <v>7</v>
      </c>
      <c r="C292" s="17" t="s">
        <v>3</v>
      </c>
      <c r="D292" s="17" t="s">
        <v>30</v>
      </c>
      <c r="E292">
        <v>8</v>
      </c>
      <c r="F292">
        <v>600000</v>
      </c>
      <c r="G292">
        <v>0</v>
      </c>
      <c r="H292">
        <v>600000</v>
      </c>
      <c r="I292" s="1">
        <v>46190</v>
      </c>
      <c r="J292" s="17" t="s">
        <v>20</v>
      </c>
      <c r="K292" t="s">
        <v>1057</v>
      </c>
    </row>
    <row r="293" spans="1:11" x14ac:dyDescent="0.25">
      <c r="A293" s="17" t="s">
        <v>404</v>
      </c>
      <c r="B293" s="17" t="s">
        <v>12</v>
      </c>
      <c r="C293" s="17" t="s">
        <v>13</v>
      </c>
      <c r="D293" s="17" t="s">
        <v>18</v>
      </c>
      <c r="E293">
        <v>10</v>
      </c>
      <c r="F293">
        <v>750000</v>
      </c>
      <c r="G293">
        <v>5000</v>
      </c>
      <c r="H293">
        <v>745000</v>
      </c>
      <c r="I293" s="1">
        <v>46060</v>
      </c>
      <c r="J293" s="17" t="s">
        <v>20</v>
      </c>
      <c r="K293" t="s">
        <v>1057</v>
      </c>
    </row>
    <row r="294" spans="1:11" x14ac:dyDescent="0.25">
      <c r="A294" s="17" t="s">
        <v>405</v>
      </c>
      <c r="B294" s="17" t="s">
        <v>2</v>
      </c>
      <c r="C294" s="17" t="s">
        <v>13</v>
      </c>
      <c r="D294" s="17" t="s">
        <v>9</v>
      </c>
      <c r="E294">
        <v>6</v>
      </c>
      <c r="F294">
        <v>720000</v>
      </c>
      <c r="G294">
        <v>0</v>
      </c>
      <c r="H294">
        <v>720000</v>
      </c>
      <c r="I294" s="1">
        <v>46231</v>
      </c>
      <c r="J294" s="17" t="s">
        <v>20</v>
      </c>
      <c r="K294" t="s">
        <v>1057</v>
      </c>
    </row>
    <row r="295" spans="1:11" x14ac:dyDescent="0.25">
      <c r="A295" s="17" t="s">
        <v>406</v>
      </c>
      <c r="B295" s="17" t="s">
        <v>2</v>
      </c>
      <c r="C295" s="17" t="s">
        <v>29</v>
      </c>
      <c r="D295" s="17" t="s">
        <v>18</v>
      </c>
      <c r="E295">
        <v>4</v>
      </c>
      <c r="F295">
        <v>1000000</v>
      </c>
      <c r="G295">
        <v>0</v>
      </c>
      <c r="H295">
        <v>1000000</v>
      </c>
      <c r="I295" s="1">
        <v>46221</v>
      </c>
      <c r="J295" s="17" t="s">
        <v>33</v>
      </c>
      <c r="K295" t="s">
        <v>1057</v>
      </c>
    </row>
    <row r="296" spans="1:11" x14ac:dyDescent="0.25">
      <c r="A296" s="17" t="s">
        <v>407</v>
      </c>
      <c r="B296" s="17" t="s">
        <v>12</v>
      </c>
      <c r="C296" s="17" t="s">
        <v>13</v>
      </c>
      <c r="D296" s="17" t="s">
        <v>9</v>
      </c>
      <c r="E296">
        <v>1</v>
      </c>
      <c r="F296">
        <v>75000</v>
      </c>
      <c r="G296">
        <v>0</v>
      </c>
      <c r="H296">
        <v>75000</v>
      </c>
      <c r="I296" s="1">
        <v>46044</v>
      </c>
      <c r="J296" s="17" t="s">
        <v>33</v>
      </c>
      <c r="K296" t="s">
        <v>1057</v>
      </c>
    </row>
    <row r="297" spans="1:11" x14ac:dyDescent="0.25">
      <c r="A297" s="17" t="s">
        <v>408</v>
      </c>
      <c r="B297" s="17" t="s">
        <v>2</v>
      </c>
      <c r="C297" s="17" t="s">
        <v>29</v>
      </c>
      <c r="D297" s="17" t="s">
        <v>30</v>
      </c>
      <c r="E297">
        <v>8</v>
      </c>
      <c r="F297">
        <v>2000000</v>
      </c>
      <c r="G297">
        <v>0</v>
      </c>
      <c r="H297">
        <v>2000000</v>
      </c>
      <c r="I297" s="1">
        <v>46101</v>
      </c>
      <c r="J297" s="17" t="s">
        <v>33</v>
      </c>
      <c r="K297" t="s">
        <v>1057</v>
      </c>
    </row>
    <row r="298" spans="1:11" x14ac:dyDescent="0.25">
      <c r="A298" s="17" t="s">
        <v>409</v>
      </c>
      <c r="B298" s="17" t="s">
        <v>12</v>
      </c>
      <c r="C298" s="17" t="s">
        <v>13</v>
      </c>
      <c r="D298" s="17" t="s">
        <v>32</v>
      </c>
      <c r="E298">
        <v>9</v>
      </c>
      <c r="F298">
        <v>1080000</v>
      </c>
      <c r="G298">
        <v>0</v>
      </c>
      <c r="H298">
        <v>1080000</v>
      </c>
      <c r="I298" s="1">
        <v>46138</v>
      </c>
      <c r="J298" s="17" t="s">
        <v>5</v>
      </c>
      <c r="K298" t="s">
        <v>1057</v>
      </c>
    </row>
    <row r="299" spans="1:11" x14ac:dyDescent="0.25">
      <c r="A299" s="17" t="s">
        <v>411</v>
      </c>
      <c r="B299" s="17" t="s">
        <v>12</v>
      </c>
      <c r="C299" s="17" t="s">
        <v>27</v>
      </c>
      <c r="D299" s="17" t="s">
        <v>4</v>
      </c>
      <c r="E299">
        <v>8</v>
      </c>
      <c r="F299">
        <v>2000000</v>
      </c>
      <c r="G299">
        <v>0</v>
      </c>
      <c r="H299">
        <v>2000000</v>
      </c>
      <c r="I299" s="1">
        <v>46041</v>
      </c>
      <c r="J299" s="17" t="s">
        <v>33</v>
      </c>
      <c r="K299" t="s">
        <v>1057</v>
      </c>
    </row>
    <row r="300" spans="1:11" x14ac:dyDescent="0.25">
      <c r="A300" s="17" t="s">
        <v>413</v>
      </c>
      <c r="B300" s="17" t="s">
        <v>7</v>
      </c>
      <c r="C300" s="17" t="s">
        <v>17</v>
      </c>
      <c r="D300" s="17" t="s">
        <v>18</v>
      </c>
      <c r="E300">
        <v>4</v>
      </c>
      <c r="F300">
        <v>480000</v>
      </c>
      <c r="G300">
        <v>0</v>
      </c>
      <c r="H300">
        <v>480000</v>
      </c>
      <c r="I300" s="1">
        <v>46250</v>
      </c>
      <c r="J300" s="17" t="s">
        <v>5</v>
      </c>
      <c r="K300" t="s">
        <v>1057</v>
      </c>
    </row>
    <row r="301" spans="1:11" x14ac:dyDescent="0.25">
      <c r="A301" s="17" t="s">
        <v>415</v>
      </c>
      <c r="B301" s="17" t="s">
        <v>2</v>
      </c>
      <c r="C301" s="17" t="s">
        <v>8</v>
      </c>
      <c r="D301" s="17" t="s">
        <v>9</v>
      </c>
      <c r="E301">
        <v>8</v>
      </c>
      <c r="F301">
        <v>360000</v>
      </c>
      <c r="G301">
        <v>0</v>
      </c>
      <c r="H301">
        <v>360000</v>
      </c>
      <c r="I301" s="1">
        <v>46236</v>
      </c>
      <c r="J301" s="17" t="s">
        <v>5</v>
      </c>
      <c r="K301" t="s">
        <v>1057</v>
      </c>
    </row>
    <row r="302" spans="1:11" x14ac:dyDescent="0.25">
      <c r="A302" s="17" t="s">
        <v>417</v>
      </c>
      <c r="B302" s="17" t="s">
        <v>25</v>
      </c>
      <c r="C302" s="17" t="s">
        <v>3</v>
      </c>
      <c r="D302" s="17" t="s">
        <v>4</v>
      </c>
      <c r="E302">
        <v>2</v>
      </c>
      <c r="F302">
        <v>90000</v>
      </c>
      <c r="G302">
        <v>0</v>
      </c>
      <c r="H302">
        <v>90000</v>
      </c>
      <c r="I302" s="1">
        <v>46208</v>
      </c>
      <c r="J302" s="17" t="s">
        <v>33</v>
      </c>
      <c r="K302" t="s">
        <v>1057</v>
      </c>
    </row>
    <row r="303" spans="1:11" x14ac:dyDescent="0.25">
      <c r="A303" s="17" t="s">
        <v>418</v>
      </c>
      <c r="B303" s="17" t="s">
        <v>7</v>
      </c>
      <c r="C303" s="17" t="s">
        <v>3</v>
      </c>
      <c r="D303" s="17" t="s">
        <v>30</v>
      </c>
      <c r="E303">
        <v>1</v>
      </c>
      <c r="F303">
        <v>185000</v>
      </c>
      <c r="G303">
        <v>0</v>
      </c>
      <c r="H303">
        <v>185000</v>
      </c>
      <c r="I303" s="1">
        <v>46145</v>
      </c>
      <c r="J303" s="17" t="s">
        <v>10</v>
      </c>
      <c r="K303" t="s">
        <v>1057</v>
      </c>
    </row>
    <row r="304" spans="1:11" x14ac:dyDescent="0.25">
      <c r="A304" s="17" t="s">
        <v>419</v>
      </c>
      <c r="B304" s="17" t="s">
        <v>12</v>
      </c>
      <c r="C304" s="17" t="s">
        <v>3</v>
      </c>
      <c r="D304" s="17" t="s">
        <v>30</v>
      </c>
      <c r="E304">
        <v>8</v>
      </c>
      <c r="F304">
        <v>960000</v>
      </c>
      <c r="G304">
        <v>0</v>
      </c>
      <c r="H304">
        <v>960000</v>
      </c>
      <c r="I304" s="1">
        <v>46072</v>
      </c>
      <c r="J304" s="17" t="s">
        <v>5</v>
      </c>
      <c r="K304" t="s">
        <v>1057</v>
      </c>
    </row>
    <row r="305" spans="1:11" x14ac:dyDescent="0.25">
      <c r="A305" s="17" t="s">
        <v>421</v>
      </c>
      <c r="B305" s="17" t="s">
        <v>25</v>
      </c>
      <c r="C305" s="17" t="s">
        <v>27</v>
      </c>
      <c r="D305" s="17" t="s">
        <v>18</v>
      </c>
      <c r="E305">
        <v>9</v>
      </c>
      <c r="F305">
        <v>405000</v>
      </c>
      <c r="G305">
        <v>0</v>
      </c>
      <c r="H305">
        <v>405000</v>
      </c>
      <c r="I305" s="1">
        <v>46147</v>
      </c>
      <c r="J305" s="17" t="s">
        <v>33</v>
      </c>
      <c r="K305" t="s">
        <v>1057</v>
      </c>
    </row>
    <row r="306" spans="1:11" x14ac:dyDescent="0.25">
      <c r="A306" s="17" t="s">
        <v>423</v>
      </c>
      <c r="B306" s="17" t="s">
        <v>2</v>
      </c>
      <c r="C306" s="17" t="s">
        <v>27</v>
      </c>
      <c r="D306" s="17" t="s">
        <v>18</v>
      </c>
      <c r="E306">
        <v>1</v>
      </c>
      <c r="F306">
        <v>185000</v>
      </c>
      <c r="G306">
        <v>15000</v>
      </c>
      <c r="H306">
        <v>170000</v>
      </c>
      <c r="I306" s="1">
        <v>46077</v>
      </c>
      <c r="J306" s="17" t="s">
        <v>20</v>
      </c>
      <c r="K306" t="s">
        <v>1057</v>
      </c>
    </row>
    <row r="307" spans="1:11" x14ac:dyDescent="0.25">
      <c r="A307" s="17" t="s">
        <v>424</v>
      </c>
      <c r="B307" s="17" t="s">
        <v>25</v>
      </c>
      <c r="C307" s="17" t="s">
        <v>17</v>
      </c>
      <c r="D307" s="17" t="s">
        <v>32</v>
      </c>
      <c r="E307">
        <v>7</v>
      </c>
      <c r="F307">
        <v>1295000</v>
      </c>
      <c r="G307">
        <v>15000</v>
      </c>
      <c r="H307">
        <v>1280000</v>
      </c>
      <c r="I307" s="1">
        <v>46220</v>
      </c>
      <c r="J307" s="17" t="s">
        <v>5</v>
      </c>
      <c r="K307" t="s">
        <v>1057</v>
      </c>
    </row>
    <row r="308" spans="1:11" x14ac:dyDescent="0.25">
      <c r="A308" s="17" t="s">
        <v>425</v>
      </c>
      <c r="B308" s="17" t="s">
        <v>25</v>
      </c>
      <c r="C308" s="17" t="s">
        <v>27</v>
      </c>
      <c r="D308" s="17" t="s">
        <v>18</v>
      </c>
      <c r="E308">
        <v>6</v>
      </c>
      <c r="F308">
        <v>1500000</v>
      </c>
      <c r="G308">
        <v>0</v>
      </c>
      <c r="H308">
        <v>1500000</v>
      </c>
      <c r="I308" s="1">
        <v>46085</v>
      </c>
      <c r="J308" s="17" t="s">
        <v>5</v>
      </c>
      <c r="K308" t="s">
        <v>1057</v>
      </c>
    </row>
    <row r="309" spans="1:11" x14ac:dyDescent="0.25">
      <c r="A309" s="17" t="s">
        <v>426</v>
      </c>
      <c r="B309" s="17" t="s">
        <v>12</v>
      </c>
      <c r="C309" s="17" t="s">
        <v>29</v>
      </c>
      <c r="D309" s="17" t="s">
        <v>32</v>
      </c>
      <c r="E309">
        <v>9</v>
      </c>
      <c r="F309">
        <v>1080000</v>
      </c>
      <c r="G309">
        <v>0</v>
      </c>
      <c r="H309">
        <v>1080000</v>
      </c>
      <c r="I309" s="1">
        <v>46143</v>
      </c>
      <c r="J309" s="17" t="s">
        <v>33</v>
      </c>
      <c r="K309" t="s">
        <v>1057</v>
      </c>
    </row>
    <row r="310" spans="1:11" x14ac:dyDescent="0.25">
      <c r="A310" s="17" t="s">
        <v>428</v>
      </c>
      <c r="B310" s="17" t="s">
        <v>12</v>
      </c>
      <c r="C310" s="17" t="s">
        <v>27</v>
      </c>
      <c r="D310" s="17" t="s">
        <v>30</v>
      </c>
      <c r="E310">
        <v>2</v>
      </c>
      <c r="F310">
        <v>500000</v>
      </c>
      <c r="G310">
        <v>0</v>
      </c>
      <c r="H310">
        <v>500000</v>
      </c>
      <c r="I310" s="1">
        <v>46127</v>
      </c>
      <c r="J310" s="17" t="s">
        <v>20</v>
      </c>
      <c r="K310" t="s">
        <v>1057</v>
      </c>
    </row>
    <row r="311" spans="1:11" x14ac:dyDescent="0.25">
      <c r="A311" s="17" t="s">
        <v>429</v>
      </c>
      <c r="B311" s="17" t="s">
        <v>2</v>
      </c>
      <c r="C311" s="17" t="s">
        <v>29</v>
      </c>
      <c r="D311" s="17" t="s">
        <v>4</v>
      </c>
      <c r="E311">
        <v>4</v>
      </c>
      <c r="F311">
        <v>480000</v>
      </c>
      <c r="G311">
        <v>0</v>
      </c>
      <c r="H311">
        <v>480000</v>
      </c>
      <c r="I311" s="1">
        <v>46155</v>
      </c>
      <c r="J311" s="17" t="s">
        <v>33</v>
      </c>
      <c r="K311" t="s">
        <v>1057</v>
      </c>
    </row>
    <row r="312" spans="1:11" x14ac:dyDescent="0.25">
      <c r="A312" s="17" t="s">
        <v>430</v>
      </c>
      <c r="B312" s="17" t="s">
        <v>7</v>
      </c>
      <c r="C312" s="17" t="s">
        <v>8</v>
      </c>
      <c r="D312" s="17" t="s">
        <v>18</v>
      </c>
      <c r="E312">
        <v>3</v>
      </c>
      <c r="F312">
        <v>225000</v>
      </c>
      <c r="G312">
        <v>0</v>
      </c>
      <c r="H312">
        <v>225000</v>
      </c>
      <c r="I312" s="1">
        <v>46231</v>
      </c>
      <c r="J312" s="17" t="s">
        <v>10</v>
      </c>
      <c r="K312" t="s">
        <v>1057</v>
      </c>
    </row>
    <row r="313" spans="1:11" x14ac:dyDescent="0.25">
      <c r="A313" s="17" t="s">
        <v>431</v>
      </c>
      <c r="B313" s="17" t="s">
        <v>2</v>
      </c>
      <c r="C313" s="17" t="s">
        <v>29</v>
      </c>
      <c r="D313" s="17" t="s">
        <v>30</v>
      </c>
      <c r="E313">
        <v>5</v>
      </c>
      <c r="F313">
        <v>375000</v>
      </c>
      <c r="G313">
        <v>0</v>
      </c>
      <c r="H313">
        <v>375000</v>
      </c>
      <c r="I313" s="1">
        <v>46194</v>
      </c>
      <c r="J313" s="17" t="s">
        <v>10</v>
      </c>
      <c r="K313" t="s">
        <v>1057</v>
      </c>
    </row>
    <row r="314" spans="1:11" x14ac:dyDescent="0.25">
      <c r="A314" s="17" t="s">
        <v>432</v>
      </c>
      <c r="B314" s="17" t="s">
        <v>7</v>
      </c>
      <c r="C314" s="17" t="s">
        <v>8</v>
      </c>
      <c r="D314" s="17" t="s">
        <v>18</v>
      </c>
      <c r="E314">
        <v>4</v>
      </c>
      <c r="F314">
        <v>300000</v>
      </c>
      <c r="G314">
        <v>5000</v>
      </c>
      <c r="H314">
        <v>295000</v>
      </c>
      <c r="I314" s="1">
        <v>46160</v>
      </c>
      <c r="J314" s="17" t="s">
        <v>5</v>
      </c>
      <c r="K314" t="s">
        <v>1057</v>
      </c>
    </row>
    <row r="315" spans="1:11" x14ac:dyDescent="0.25">
      <c r="A315" s="17" t="s">
        <v>433</v>
      </c>
      <c r="B315" s="17" t="s">
        <v>2</v>
      </c>
      <c r="C315" s="17" t="s">
        <v>8</v>
      </c>
      <c r="D315" s="17" t="s">
        <v>30</v>
      </c>
      <c r="E315">
        <v>7</v>
      </c>
      <c r="F315">
        <v>840000</v>
      </c>
      <c r="G315">
        <v>0</v>
      </c>
      <c r="H315">
        <v>840000</v>
      </c>
      <c r="I315" s="1">
        <v>46132</v>
      </c>
      <c r="J315" s="17" t="s">
        <v>5</v>
      </c>
      <c r="K315" t="s">
        <v>1057</v>
      </c>
    </row>
    <row r="316" spans="1:11" x14ac:dyDescent="0.25">
      <c r="A316" s="17" t="s">
        <v>434</v>
      </c>
      <c r="B316" s="17" t="s">
        <v>7</v>
      </c>
      <c r="C316" s="17" t="s">
        <v>8</v>
      </c>
      <c r="D316" s="17" t="s">
        <v>4</v>
      </c>
      <c r="E316">
        <v>3</v>
      </c>
      <c r="F316">
        <v>225000</v>
      </c>
      <c r="G316">
        <v>15000</v>
      </c>
      <c r="H316">
        <v>210000</v>
      </c>
      <c r="I316" s="1">
        <v>46174</v>
      </c>
      <c r="J316" s="17" t="s">
        <v>20</v>
      </c>
      <c r="K316" t="s">
        <v>1057</v>
      </c>
    </row>
    <row r="317" spans="1:11" x14ac:dyDescent="0.25">
      <c r="A317" s="17" t="s">
        <v>435</v>
      </c>
      <c r="B317" s="17" t="s">
        <v>12</v>
      </c>
      <c r="C317" s="17" t="s">
        <v>13</v>
      </c>
      <c r="D317" s="17" t="s">
        <v>32</v>
      </c>
      <c r="E317">
        <v>7</v>
      </c>
      <c r="F317">
        <v>840000</v>
      </c>
      <c r="G317">
        <v>5000</v>
      </c>
      <c r="H317">
        <v>835000</v>
      </c>
      <c r="I317" s="1">
        <v>46070</v>
      </c>
      <c r="J317" s="17" t="s">
        <v>10</v>
      </c>
      <c r="K317" t="s">
        <v>1057</v>
      </c>
    </row>
    <row r="318" spans="1:11" x14ac:dyDescent="0.25">
      <c r="A318" s="17" t="s">
        <v>436</v>
      </c>
      <c r="B318" s="17" t="s">
        <v>25</v>
      </c>
      <c r="C318" s="17" t="s">
        <v>29</v>
      </c>
      <c r="D318" s="17" t="s">
        <v>4</v>
      </c>
      <c r="E318">
        <v>8</v>
      </c>
      <c r="F318">
        <v>1480000</v>
      </c>
      <c r="G318">
        <v>0</v>
      </c>
      <c r="H318">
        <v>1480000</v>
      </c>
      <c r="I318" s="1">
        <v>46083</v>
      </c>
      <c r="J318" s="17" t="s">
        <v>5</v>
      </c>
      <c r="K318" t="s">
        <v>1057</v>
      </c>
    </row>
    <row r="319" spans="1:11" x14ac:dyDescent="0.25">
      <c r="A319" s="17" t="s">
        <v>437</v>
      </c>
      <c r="B319" s="17" t="s">
        <v>25</v>
      </c>
      <c r="C319" s="17" t="s">
        <v>13</v>
      </c>
      <c r="D319" s="17" t="s">
        <v>32</v>
      </c>
      <c r="E319">
        <v>3</v>
      </c>
      <c r="F319">
        <v>555000</v>
      </c>
      <c r="G319">
        <v>0</v>
      </c>
      <c r="H319">
        <v>555000</v>
      </c>
      <c r="I319" s="1">
        <v>46164</v>
      </c>
      <c r="J319" s="17" t="s">
        <v>5</v>
      </c>
      <c r="K319" t="s">
        <v>1057</v>
      </c>
    </row>
    <row r="320" spans="1:11" x14ac:dyDescent="0.25">
      <c r="A320" s="17" t="s">
        <v>438</v>
      </c>
      <c r="B320" s="17" t="s">
        <v>25</v>
      </c>
      <c r="C320" s="17" t="s">
        <v>17</v>
      </c>
      <c r="D320" s="17" t="s">
        <v>32</v>
      </c>
      <c r="E320">
        <v>5</v>
      </c>
      <c r="F320">
        <v>1250000</v>
      </c>
      <c r="G320">
        <v>5000</v>
      </c>
      <c r="H320">
        <v>1245000</v>
      </c>
      <c r="I320" s="1">
        <v>46237</v>
      </c>
      <c r="J320" s="17" t="s">
        <v>20</v>
      </c>
      <c r="K320" t="s">
        <v>1057</v>
      </c>
    </row>
    <row r="321" spans="1:11" x14ac:dyDescent="0.25">
      <c r="A321" s="17" t="s">
        <v>439</v>
      </c>
      <c r="B321" s="17" t="s">
        <v>25</v>
      </c>
      <c r="C321" s="17" t="s">
        <v>29</v>
      </c>
      <c r="D321" s="17" t="s">
        <v>18</v>
      </c>
      <c r="E321">
        <v>3</v>
      </c>
      <c r="F321">
        <v>360000</v>
      </c>
      <c r="G321">
        <v>5000</v>
      </c>
      <c r="H321">
        <v>355000</v>
      </c>
      <c r="I321" s="1">
        <v>46244</v>
      </c>
      <c r="J321" s="17" t="s">
        <v>33</v>
      </c>
      <c r="K321" t="s">
        <v>1057</v>
      </c>
    </row>
    <row r="322" spans="1:11" x14ac:dyDescent="0.25">
      <c r="A322" s="17" t="s">
        <v>440</v>
      </c>
      <c r="B322" s="17" t="s">
        <v>12</v>
      </c>
      <c r="C322" s="17" t="s">
        <v>3</v>
      </c>
      <c r="D322" s="17" t="s">
        <v>18</v>
      </c>
      <c r="E322">
        <v>5</v>
      </c>
      <c r="F322">
        <v>1250000</v>
      </c>
      <c r="G322">
        <v>0</v>
      </c>
      <c r="H322">
        <v>1250000</v>
      </c>
      <c r="I322" s="1">
        <v>46192</v>
      </c>
      <c r="J322" s="17" t="s">
        <v>5</v>
      </c>
      <c r="K322" t="s">
        <v>1057</v>
      </c>
    </row>
    <row r="323" spans="1:11" x14ac:dyDescent="0.25">
      <c r="A323" s="17" t="s">
        <v>441</v>
      </c>
      <c r="B323" s="17" t="s">
        <v>7</v>
      </c>
      <c r="C323" s="17" t="s">
        <v>27</v>
      </c>
      <c r="D323" s="17" t="s">
        <v>18</v>
      </c>
      <c r="E323">
        <v>8</v>
      </c>
      <c r="F323">
        <v>360000</v>
      </c>
      <c r="G323">
        <v>5000</v>
      </c>
      <c r="H323">
        <v>355000</v>
      </c>
      <c r="I323" s="1">
        <v>46062</v>
      </c>
      <c r="J323" s="17" t="s">
        <v>20</v>
      </c>
      <c r="K323" t="s">
        <v>1057</v>
      </c>
    </row>
    <row r="324" spans="1:11" x14ac:dyDescent="0.25">
      <c r="A324" s="17" t="s">
        <v>442</v>
      </c>
      <c r="B324" s="17" t="s">
        <v>7</v>
      </c>
      <c r="C324" s="17" t="s">
        <v>8</v>
      </c>
      <c r="D324" s="17" t="s">
        <v>9</v>
      </c>
      <c r="E324">
        <v>10</v>
      </c>
      <c r="F324">
        <v>2500000</v>
      </c>
      <c r="G324">
        <v>0</v>
      </c>
      <c r="H324">
        <v>2500000</v>
      </c>
      <c r="I324" s="1">
        <v>46093</v>
      </c>
      <c r="J324" s="17" t="s">
        <v>10</v>
      </c>
      <c r="K324" t="s">
        <v>1057</v>
      </c>
    </row>
    <row r="325" spans="1:11" x14ac:dyDescent="0.25">
      <c r="A325" s="17" t="s">
        <v>443</v>
      </c>
      <c r="B325" s="17" t="s">
        <v>25</v>
      </c>
      <c r="C325" s="17" t="s">
        <v>8</v>
      </c>
      <c r="D325" s="17" t="s">
        <v>18</v>
      </c>
      <c r="E325">
        <v>7</v>
      </c>
      <c r="F325">
        <v>525000</v>
      </c>
      <c r="G325">
        <v>0</v>
      </c>
      <c r="H325">
        <v>525000</v>
      </c>
      <c r="I325" s="1">
        <v>46066</v>
      </c>
      <c r="J325" s="17" t="s">
        <v>20</v>
      </c>
      <c r="K325" t="s">
        <v>1057</v>
      </c>
    </row>
    <row r="326" spans="1:11" x14ac:dyDescent="0.25">
      <c r="A326" s="17" t="s">
        <v>444</v>
      </c>
      <c r="B326" s="17" t="s">
        <v>25</v>
      </c>
      <c r="C326" s="17" t="s">
        <v>3</v>
      </c>
      <c r="D326" s="17" t="s">
        <v>9</v>
      </c>
      <c r="E326">
        <v>7</v>
      </c>
      <c r="F326">
        <v>1750000</v>
      </c>
      <c r="G326">
        <v>0</v>
      </c>
      <c r="H326">
        <v>1750000</v>
      </c>
      <c r="I326" s="1">
        <v>46091</v>
      </c>
      <c r="J326" s="17" t="s">
        <v>20</v>
      </c>
      <c r="K326" t="s">
        <v>1057</v>
      </c>
    </row>
    <row r="327" spans="1:11" x14ac:dyDescent="0.25">
      <c r="A327" s="17" t="s">
        <v>445</v>
      </c>
      <c r="B327" s="17" t="s">
        <v>2</v>
      </c>
      <c r="C327" s="17" t="s">
        <v>8</v>
      </c>
      <c r="D327" s="17" t="s">
        <v>30</v>
      </c>
      <c r="E327">
        <v>7</v>
      </c>
      <c r="F327">
        <v>1295000</v>
      </c>
      <c r="G327">
        <v>0</v>
      </c>
      <c r="H327">
        <v>1295000</v>
      </c>
      <c r="I327" s="1">
        <v>46197</v>
      </c>
      <c r="J327" s="17" t="s">
        <v>33</v>
      </c>
      <c r="K327" t="s">
        <v>1057</v>
      </c>
    </row>
    <row r="328" spans="1:11" x14ac:dyDescent="0.25">
      <c r="A328" s="17" t="s">
        <v>446</v>
      </c>
      <c r="B328" s="17" t="s">
        <v>7</v>
      </c>
      <c r="C328" s="17" t="s">
        <v>13</v>
      </c>
      <c r="D328" s="17" t="s">
        <v>4</v>
      </c>
      <c r="E328">
        <v>4</v>
      </c>
      <c r="F328">
        <v>1000000</v>
      </c>
      <c r="G328">
        <v>0</v>
      </c>
      <c r="H328">
        <v>1000000</v>
      </c>
      <c r="I328" s="1">
        <v>46239</v>
      </c>
      <c r="J328" s="17" t="s">
        <v>10</v>
      </c>
      <c r="K328" t="s">
        <v>1057</v>
      </c>
    </row>
    <row r="329" spans="1:11" x14ac:dyDescent="0.25">
      <c r="A329" s="17" t="s">
        <v>447</v>
      </c>
      <c r="B329" s="17" t="s">
        <v>2</v>
      </c>
      <c r="C329" s="17" t="s">
        <v>27</v>
      </c>
      <c r="D329" s="17" t="s">
        <v>4</v>
      </c>
      <c r="E329">
        <v>10</v>
      </c>
      <c r="F329">
        <v>1850000</v>
      </c>
      <c r="G329">
        <v>0</v>
      </c>
      <c r="H329">
        <v>1850000</v>
      </c>
      <c r="I329" s="1">
        <v>46215</v>
      </c>
      <c r="J329" s="17" t="s">
        <v>5</v>
      </c>
      <c r="K329" t="s">
        <v>1057</v>
      </c>
    </row>
    <row r="330" spans="1:11" x14ac:dyDescent="0.25">
      <c r="A330" s="17" t="s">
        <v>448</v>
      </c>
      <c r="B330" s="17" t="s">
        <v>25</v>
      </c>
      <c r="C330" s="17" t="s">
        <v>13</v>
      </c>
      <c r="D330" s="17" t="s">
        <v>4</v>
      </c>
      <c r="E330">
        <v>9</v>
      </c>
      <c r="F330">
        <v>2250000</v>
      </c>
      <c r="G330">
        <v>0</v>
      </c>
      <c r="H330">
        <v>2250000</v>
      </c>
      <c r="I330" s="1">
        <v>46079</v>
      </c>
      <c r="J330" s="17" t="s">
        <v>20</v>
      </c>
      <c r="K330" t="s">
        <v>1057</v>
      </c>
    </row>
    <row r="331" spans="1:11" x14ac:dyDescent="0.25">
      <c r="A331" s="17" t="s">
        <v>449</v>
      </c>
      <c r="B331" s="17" t="s">
        <v>12</v>
      </c>
      <c r="C331" s="17" t="s">
        <v>27</v>
      </c>
      <c r="D331" s="17" t="s">
        <v>32</v>
      </c>
      <c r="E331">
        <v>3</v>
      </c>
      <c r="F331">
        <v>225000</v>
      </c>
      <c r="G331">
        <v>5000</v>
      </c>
      <c r="H331">
        <v>220000</v>
      </c>
      <c r="I331" s="1">
        <v>46224</v>
      </c>
      <c r="J331" s="17" t="s">
        <v>10</v>
      </c>
      <c r="K331" t="s">
        <v>1057</v>
      </c>
    </row>
    <row r="332" spans="1:11" x14ac:dyDescent="0.25">
      <c r="A332" s="17" t="s">
        <v>450</v>
      </c>
      <c r="B332" s="17" t="s">
        <v>12</v>
      </c>
      <c r="C332" s="17" t="s">
        <v>3</v>
      </c>
      <c r="D332" s="17" t="s">
        <v>9</v>
      </c>
      <c r="E332">
        <v>4</v>
      </c>
      <c r="F332">
        <v>300000</v>
      </c>
      <c r="G332">
        <v>10000</v>
      </c>
      <c r="H332">
        <v>290000</v>
      </c>
      <c r="I332" s="1">
        <v>46209</v>
      </c>
      <c r="J332" s="17" t="s">
        <v>20</v>
      </c>
      <c r="K332" t="s">
        <v>1057</v>
      </c>
    </row>
    <row r="333" spans="1:11" x14ac:dyDescent="0.25">
      <c r="A333" s="17" t="s">
        <v>451</v>
      </c>
      <c r="B333" s="17" t="s">
        <v>25</v>
      </c>
      <c r="C333" s="17" t="s">
        <v>8</v>
      </c>
      <c r="D333" s="17" t="s">
        <v>18</v>
      </c>
      <c r="E333">
        <v>8</v>
      </c>
      <c r="F333">
        <v>1480000</v>
      </c>
      <c r="G333">
        <v>5000</v>
      </c>
      <c r="H333">
        <v>1475000</v>
      </c>
      <c r="I333" s="1">
        <v>46064</v>
      </c>
      <c r="J333" s="17" t="s">
        <v>5</v>
      </c>
      <c r="K333" t="s">
        <v>1057</v>
      </c>
    </row>
    <row r="334" spans="1:11" x14ac:dyDescent="0.25">
      <c r="A334" s="17" t="s">
        <v>452</v>
      </c>
      <c r="B334" s="17" t="s">
        <v>12</v>
      </c>
      <c r="C334" s="17" t="s">
        <v>17</v>
      </c>
      <c r="D334" s="17" t="s">
        <v>30</v>
      </c>
      <c r="E334">
        <v>9</v>
      </c>
      <c r="F334">
        <v>405000</v>
      </c>
      <c r="G334">
        <v>0</v>
      </c>
      <c r="H334">
        <v>405000</v>
      </c>
      <c r="I334" s="1">
        <v>46137</v>
      </c>
      <c r="J334" s="17" t="s">
        <v>10</v>
      </c>
      <c r="K334" t="s">
        <v>1057</v>
      </c>
    </row>
    <row r="335" spans="1:11" x14ac:dyDescent="0.25">
      <c r="A335" s="17" t="s">
        <v>453</v>
      </c>
      <c r="B335" s="17" t="s">
        <v>7</v>
      </c>
      <c r="C335" s="17" t="s">
        <v>27</v>
      </c>
      <c r="D335" s="17" t="s">
        <v>30</v>
      </c>
      <c r="E335">
        <v>7</v>
      </c>
      <c r="F335">
        <v>1750000</v>
      </c>
      <c r="G335">
        <v>0</v>
      </c>
      <c r="H335">
        <v>1750000</v>
      </c>
      <c r="I335" s="1">
        <v>46179</v>
      </c>
      <c r="J335" s="17" t="s">
        <v>20</v>
      </c>
      <c r="K335" t="s">
        <v>1057</v>
      </c>
    </row>
    <row r="336" spans="1:11" x14ac:dyDescent="0.25">
      <c r="A336" s="17" t="s">
        <v>455</v>
      </c>
      <c r="B336" s="17" t="s">
        <v>12</v>
      </c>
      <c r="C336" s="17" t="s">
        <v>13</v>
      </c>
      <c r="D336" s="17" t="s">
        <v>4</v>
      </c>
      <c r="E336">
        <v>6</v>
      </c>
      <c r="F336">
        <v>720000</v>
      </c>
      <c r="G336">
        <v>0</v>
      </c>
      <c r="H336">
        <v>720000</v>
      </c>
      <c r="I336" s="1">
        <v>46118</v>
      </c>
      <c r="J336" s="17" t="s">
        <v>5</v>
      </c>
      <c r="K336" t="s">
        <v>1057</v>
      </c>
    </row>
    <row r="337" spans="1:11" x14ac:dyDescent="0.25">
      <c r="A337" s="17" t="s">
        <v>456</v>
      </c>
      <c r="B337" s="17" t="s">
        <v>12</v>
      </c>
      <c r="C337" s="17" t="s">
        <v>13</v>
      </c>
      <c r="D337" s="17" t="s">
        <v>18</v>
      </c>
      <c r="E337">
        <v>3</v>
      </c>
      <c r="F337">
        <v>750000</v>
      </c>
      <c r="G337">
        <v>15000</v>
      </c>
      <c r="H337">
        <v>735000</v>
      </c>
      <c r="I337" s="1">
        <v>46262</v>
      </c>
      <c r="J337" s="17" t="s">
        <v>10</v>
      </c>
      <c r="K337" t="s">
        <v>1057</v>
      </c>
    </row>
    <row r="338" spans="1:11" x14ac:dyDescent="0.25">
      <c r="A338" s="17" t="s">
        <v>457</v>
      </c>
      <c r="B338" s="17" t="s">
        <v>25</v>
      </c>
      <c r="C338" s="17" t="s">
        <v>8</v>
      </c>
      <c r="D338" s="17" t="s">
        <v>4</v>
      </c>
      <c r="E338">
        <v>4</v>
      </c>
      <c r="F338">
        <v>480000</v>
      </c>
      <c r="G338">
        <v>0</v>
      </c>
      <c r="H338">
        <v>480000</v>
      </c>
      <c r="I338" s="1">
        <v>46119</v>
      </c>
      <c r="J338" s="17" t="s">
        <v>10</v>
      </c>
      <c r="K338" t="s">
        <v>1057</v>
      </c>
    </row>
    <row r="339" spans="1:11" x14ac:dyDescent="0.25">
      <c r="A339" s="17" t="s">
        <v>458</v>
      </c>
      <c r="B339" s="17" t="s">
        <v>25</v>
      </c>
      <c r="C339" s="17" t="s">
        <v>13</v>
      </c>
      <c r="D339" s="17" t="s">
        <v>9</v>
      </c>
      <c r="E339">
        <v>10</v>
      </c>
      <c r="F339">
        <v>1850000</v>
      </c>
      <c r="G339">
        <v>0</v>
      </c>
      <c r="H339">
        <v>1850000</v>
      </c>
      <c r="I339" s="1">
        <v>46055</v>
      </c>
      <c r="J339" s="17" t="s">
        <v>20</v>
      </c>
      <c r="K339" t="s">
        <v>1057</v>
      </c>
    </row>
    <row r="340" spans="1:11" x14ac:dyDescent="0.25">
      <c r="A340" s="17" t="s">
        <v>459</v>
      </c>
      <c r="B340" s="17" t="s">
        <v>12</v>
      </c>
      <c r="C340" s="17" t="s">
        <v>13</v>
      </c>
      <c r="D340" s="17" t="s">
        <v>18</v>
      </c>
      <c r="E340">
        <v>1</v>
      </c>
      <c r="F340">
        <v>250000</v>
      </c>
      <c r="G340">
        <v>0</v>
      </c>
      <c r="H340">
        <v>250000</v>
      </c>
      <c r="I340" s="1">
        <v>46239</v>
      </c>
      <c r="J340" s="17" t="s">
        <v>5</v>
      </c>
      <c r="K340" t="s">
        <v>1057</v>
      </c>
    </row>
    <row r="341" spans="1:11" x14ac:dyDescent="0.25">
      <c r="A341" s="17" t="s">
        <v>460</v>
      </c>
      <c r="B341" s="17" t="s">
        <v>12</v>
      </c>
      <c r="C341" s="17" t="s">
        <v>3</v>
      </c>
      <c r="D341" s="17" t="s">
        <v>4</v>
      </c>
      <c r="E341">
        <v>4</v>
      </c>
      <c r="F341">
        <v>480000</v>
      </c>
      <c r="G341">
        <v>0</v>
      </c>
      <c r="H341">
        <v>480000</v>
      </c>
      <c r="I341" s="1">
        <v>46125</v>
      </c>
      <c r="J341" s="17" t="s">
        <v>10</v>
      </c>
      <c r="K341" t="s">
        <v>1057</v>
      </c>
    </row>
    <row r="342" spans="1:11" x14ac:dyDescent="0.25">
      <c r="A342" s="17" t="s">
        <v>461</v>
      </c>
      <c r="B342" s="17" t="s">
        <v>7</v>
      </c>
      <c r="C342" s="17" t="s">
        <v>13</v>
      </c>
      <c r="D342" s="17" t="s">
        <v>32</v>
      </c>
      <c r="E342">
        <v>3</v>
      </c>
      <c r="F342">
        <v>750000</v>
      </c>
      <c r="G342">
        <v>0</v>
      </c>
      <c r="H342">
        <v>750000</v>
      </c>
      <c r="I342" s="1">
        <v>46117</v>
      </c>
      <c r="J342" s="17" t="s">
        <v>10</v>
      </c>
      <c r="K342" t="s">
        <v>1057</v>
      </c>
    </row>
    <row r="343" spans="1:11" x14ac:dyDescent="0.25">
      <c r="A343" s="17" t="s">
        <v>462</v>
      </c>
      <c r="B343" s="17" t="s">
        <v>2</v>
      </c>
      <c r="C343" s="17" t="s">
        <v>27</v>
      </c>
      <c r="D343" s="17" t="s">
        <v>9</v>
      </c>
      <c r="E343">
        <v>10</v>
      </c>
      <c r="F343">
        <v>1850000</v>
      </c>
      <c r="G343">
        <v>15000</v>
      </c>
      <c r="H343">
        <v>1835000</v>
      </c>
      <c r="I343" s="1">
        <v>46109</v>
      </c>
      <c r="J343" s="17" t="s">
        <v>20</v>
      </c>
      <c r="K343" t="s">
        <v>1057</v>
      </c>
    </row>
    <row r="344" spans="1:11" x14ac:dyDescent="0.25">
      <c r="A344" s="17" t="s">
        <v>463</v>
      </c>
      <c r="B344" s="17" t="s">
        <v>7</v>
      </c>
      <c r="C344" s="17" t="s">
        <v>29</v>
      </c>
      <c r="D344" s="17" t="s">
        <v>32</v>
      </c>
      <c r="E344">
        <v>9</v>
      </c>
      <c r="F344">
        <v>675000</v>
      </c>
      <c r="G344">
        <v>0</v>
      </c>
      <c r="H344">
        <v>675000</v>
      </c>
      <c r="I344" s="1">
        <v>46157</v>
      </c>
      <c r="J344" s="17" t="s">
        <v>20</v>
      </c>
      <c r="K344" t="s">
        <v>1057</v>
      </c>
    </row>
    <row r="345" spans="1:11" x14ac:dyDescent="0.25">
      <c r="A345" s="17" t="s">
        <v>466</v>
      </c>
      <c r="B345" s="17" t="s">
        <v>25</v>
      </c>
      <c r="C345" s="17" t="s">
        <v>8</v>
      </c>
      <c r="D345" s="17" t="s">
        <v>32</v>
      </c>
      <c r="E345">
        <v>3</v>
      </c>
      <c r="F345">
        <v>750000</v>
      </c>
      <c r="G345">
        <v>0</v>
      </c>
      <c r="H345">
        <v>750000</v>
      </c>
      <c r="I345" s="1">
        <v>46107</v>
      </c>
      <c r="J345" s="17" t="s">
        <v>5</v>
      </c>
      <c r="K345" t="s">
        <v>1057</v>
      </c>
    </row>
    <row r="346" spans="1:11" x14ac:dyDescent="0.25">
      <c r="A346" s="17" t="s">
        <v>467</v>
      </c>
      <c r="B346" s="17" t="s">
        <v>25</v>
      </c>
      <c r="C346" s="17" t="s">
        <v>29</v>
      </c>
      <c r="D346" s="17" t="s">
        <v>4</v>
      </c>
      <c r="E346">
        <v>4</v>
      </c>
      <c r="F346">
        <v>480000</v>
      </c>
      <c r="G346">
        <v>10000</v>
      </c>
      <c r="H346">
        <v>470000</v>
      </c>
      <c r="I346" s="1">
        <v>46097</v>
      </c>
      <c r="J346" s="17" t="s">
        <v>5</v>
      </c>
      <c r="K346" t="s">
        <v>1057</v>
      </c>
    </row>
    <row r="347" spans="1:11" x14ac:dyDescent="0.25">
      <c r="A347" s="17" t="s">
        <v>468</v>
      </c>
      <c r="B347" s="17" t="s">
        <v>25</v>
      </c>
      <c r="C347" s="17" t="s">
        <v>13</v>
      </c>
      <c r="D347" s="17" t="s">
        <v>9</v>
      </c>
      <c r="E347">
        <v>8</v>
      </c>
      <c r="F347">
        <v>360000</v>
      </c>
      <c r="G347">
        <v>0</v>
      </c>
      <c r="H347">
        <v>360000</v>
      </c>
      <c r="I347" s="1">
        <v>46140</v>
      </c>
      <c r="J347" s="17" t="s">
        <v>10</v>
      </c>
      <c r="K347" t="s">
        <v>1057</v>
      </c>
    </row>
    <row r="348" spans="1:11" x14ac:dyDescent="0.25">
      <c r="A348" s="17" t="s">
        <v>469</v>
      </c>
      <c r="B348" s="17" t="s">
        <v>25</v>
      </c>
      <c r="C348" s="17" t="s">
        <v>13</v>
      </c>
      <c r="D348" s="17" t="s">
        <v>32</v>
      </c>
      <c r="E348">
        <v>4</v>
      </c>
      <c r="F348">
        <v>300000</v>
      </c>
      <c r="G348">
        <v>5000</v>
      </c>
      <c r="H348">
        <v>295000</v>
      </c>
      <c r="I348" s="1">
        <v>46081</v>
      </c>
      <c r="J348" s="17" t="s">
        <v>10</v>
      </c>
      <c r="K348" t="s">
        <v>1057</v>
      </c>
    </row>
    <row r="349" spans="1:11" x14ac:dyDescent="0.25">
      <c r="A349" s="17" t="s">
        <v>470</v>
      </c>
      <c r="B349" s="17" t="s">
        <v>7</v>
      </c>
      <c r="C349" s="17" t="s">
        <v>13</v>
      </c>
      <c r="D349" s="17" t="s">
        <v>30</v>
      </c>
      <c r="E349">
        <v>5</v>
      </c>
      <c r="F349">
        <v>375000</v>
      </c>
      <c r="G349">
        <v>15000</v>
      </c>
      <c r="H349">
        <v>360000</v>
      </c>
      <c r="I349" s="1">
        <v>46186</v>
      </c>
      <c r="J349" s="17" t="s">
        <v>20</v>
      </c>
      <c r="K349" t="s">
        <v>1057</v>
      </c>
    </row>
    <row r="350" spans="1:11" x14ac:dyDescent="0.25">
      <c r="A350" s="17" t="s">
        <v>471</v>
      </c>
      <c r="B350" s="17" t="s">
        <v>2</v>
      </c>
      <c r="C350" s="17" t="s">
        <v>8</v>
      </c>
      <c r="D350" s="17" t="s">
        <v>9</v>
      </c>
      <c r="E350">
        <v>2</v>
      </c>
      <c r="F350">
        <v>150000</v>
      </c>
      <c r="G350">
        <v>0</v>
      </c>
      <c r="H350">
        <v>150000</v>
      </c>
      <c r="I350" s="1">
        <v>46207</v>
      </c>
      <c r="J350" s="17" t="s">
        <v>10</v>
      </c>
      <c r="K350" t="s">
        <v>1057</v>
      </c>
    </row>
    <row r="351" spans="1:11" x14ac:dyDescent="0.25">
      <c r="A351" s="17" t="s">
        <v>473</v>
      </c>
      <c r="B351" s="17" t="s">
        <v>7</v>
      </c>
      <c r="C351" s="17" t="s">
        <v>3</v>
      </c>
      <c r="D351" s="17" t="s">
        <v>32</v>
      </c>
      <c r="E351">
        <v>8</v>
      </c>
      <c r="F351">
        <v>960000</v>
      </c>
      <c r="G351">
        <v>0</v>
      </c>
      <c r="H351">
        <v>960000</v>
      </c>
      <c r="I351" s="1">
        <v>46235</v>
      </c>
      <c r="J351" s="17" t="s">
        <v>10</v>
      </c>
      <c r="K351" t="s">
        <v>1057</v>
      </c>
    </row>
    <row r="352" spans="1:11" x14ac:dyDescent="0.25">
      <c r="A352" s="17" t="s">
        <v>474</v>
      </c>
      <c r="B352" s="17" t="s">
        <v>2</v>
      </c>
      <c r="C352" s="17" t="s">
        <v>8</v>
      </c>
      <c r="D352" s="17" t="s">
        <v>30</v>
      </c>
      <c r="E352">
        <v>3</v>
      </c>
      <c r="F352">
        <v>750000</v>
      </c>
      <c r="G352">
        <v>0</v>
      </c>
      <c r="H352">
        <v>750000</v>
      </c>
      <c r="I352" s="1">
        <v>46045</v>
      </c>
      <c r="J352" s="17" t="s">
        <v>5</v>
      </c>
      <c r="K352" t="s">
        <v>1057</v>
      </c>
    </row>
    <row r="353" spans="1:11" x14ac:dyDescent="0.25">
      <c r="A353" s="17" t="s">
        <v>475</v>
      </c>
      <c r="B353" s="17" t="s">
        <v>25</v>
      </c>
      <c r="C353" s="17" t="s">
        <v>29</v>
      </c>
      <c r="D353" s="17" t="s">
        <v>32</v>
      </c>
      <c r="E353">
        <v>8</v>
      </c>
      <c r="F353">
        <v>2000000</v>
      </c>
      <c r="G353">
        <v>0</v>
      </c>
      <c r="H353">
        <v>2000000</v>
      </c>
      <c r="I353" s="1">
        <v>46138</v>
      </c>
      <c r="J353" s="17" t="s">
        <v>20</v>
      </c>
      <c r="K353" t="s">
        <v>1057</v>
      </c>
    </row>
    <row r="354" spans="1:11" x14ac:dyDescent="0.25">
      <c r="A354" s="17" t="s">
        <v>476</v>
      </c>
      <c r="B354" s="17" t="s">
        <v>2</v>
      </c>
      <c r="C354" s="17" t="s">
        <v>3</v>
      </c>
      <c r="D354" s="17" t="s">
        <v>9</v>
      </c>
      <c r="E354">
        <v>6</v>
      </c>
      <c r="F354">
        <v>270000</v>
      </c>
      <c r="G354">
        <v>0</v>
      </c>
      <c r="H354">
        <v>270000</v>
      </c>
      <c r="I354" s="1">
        <v>46095</v>
      </c>
      <c r="J354" s="17" t="s">
        <v>33</v>
      </c>
      <c r="K354" t="s">
        <v>1057</v>
      </c>
    </row>
    <row r="355" spans="1:11" x14ac:dyDescent="0.25">
      <c r="A355" s="17" t="s">
        <v>478</v>
      </c>
      <c r="B355" s="17" t="s">
        <v>7</v>
      </c>
      <c r="C355" s="17" t="s">
        <v>27</v>
      </c>
      <c r="D355" s="17" t="s">
        <v>30</v>
      </c>
      <c r="E355">
        <v>8</v>
      </c>
      <c r="F355">
        <v>2000000</v>
      </c>
      <c r="G355">
        <v>0</v>
      </c>
      <c r="H355">
        <v>2000000</v>
      </c>
      <c r="I355" s="1">
        <v>46186</v>
      </c>
      <c r="J355" s="17" t="s">
        <v>5</v>
      </c>
      <c r="K355" t="s">
        <v>1057</v>
      </c>
    </row>
    <row r="356" spans="1:11" x14ac:dyDescent="0.25">
      <c r="A356" s="17" t="s">
        <v>479</v>
      </c>
      <c r="B356" s="17" t="s">
        <v>7</v>
      </c>
      <c r="C356" s="17" t="s">
        <v>29</v>
      </c>
      <c r="D356" s="17" t="s">
        <v>30</v>
      </c>
      <c r="E356">
        <v>4</v>
      </c>
      <c r="F356">
        <v>480000</v>
      </c>
      <c r="G356">
        <v>10000</v>
      </c>
      <c r="H356">
        <v>470000</v>
      </c>
      <c r="I356" s="1">
        <v>46130</v>
      </c>
      <c r="J356" s="17" t="s">
        <v>10</v>
      </c>
      <c r="K356" t="s">
        <v>1057</v>
      </c>
    </row>
    <row r="357" spans="1:11" x14ac:dyDescent="0.25">
      <c r="A357" s="17" t="s">
        <v>480</v>
      </c>
      <c r="B357" s="17" t="s">
        <v>12</v>
      </c>
      <c r="C357" s="17" t="s">
        <v>13</v>
      </c>
      <c r="D357" s="17" t="s">
        <v>9</v>
      </c>
      <c r="E357">
        <v>3</v>
      </c>
      <c r="F357">
        <v>555000</v>
      </c>
      <c r="G357">
        <v>10000</v>
      </c>
      <c r="H357">
        <v>545000</v>
      </c>
      <c r="I357" s="1">
        <v>46210</v>
      </c>
      <c r="J357" s="17" t="s">
        <v>10</v>
      </c>
      <c r="K357" t="s">
        <v>1057</v>
      </c>
    </row>
    <row r="358" spans="1:11" x14ac:dyDescent="0.25">
      <c r="A358" s="17" t="s">
        <v>481</v>
      </c>
      <c r="B358" s="17" t="s">
        <v>25</v>
      </c>
      <c r="C358" s="17" t="s">
        <v>17</v>
      </c>
      <c r="D358" s="17" t="s">
        <v>32</v>
      </c>
      <c r="E358">
        <v>5</v>
      </c>
      <c r="F358">
        <v>600000</v>
      </c>
      <c r="G358">
        <v>0</v>
      </c>
      <c r="H358">
        <v>600000</v>
      </c>
      <c r="I358" s="1">
        <v>46215</v>
      </c>
      <c r="J358" s="17" t="s">
        <v>20</v>
      </c>
      <c r="K358" t="s">
        <v>1057</v>
      </c>
    </row>
    <row r="359" spans="1:11" x14ac:dyDescent="0.25">
      <c r="A359" s="17" t="s">
        <v>482</v>
      </c>
      <c r="B359" s="17" t="s">
        <v>7</v>
      </c>
      <c r="C359" s="17" t="s">
        <v>8</v>
      </c>
      <c r="D359" s="17" t="s">
        <v>32</v>
      </c>
      <c r="E359">
        <v>6</v>
      </c>
      <c r="F359">
        <v>270000</v>
      </c>
      <c r="G359">
        <v>0</v>
      </c>
      <c r="H359">
        <v>270000</v>
      </c>
      <c r="I359" s="1">
        <v>46146</v>
      </c>
      <c r="J359" s="17" t="s">
        <v>20</v>
      </c>
      <c r="K359" t="s">
        <v>1057</v>
      </c>
    </row>
    <row r="360" spans="1:11" x14ac:dyDescent="0.25">
      <c r="A360" s="17" t="s">
        <v>483</v>
      </c>
      <c r="B360" s="17" t="s">
        <v>12</v>
      </c>
      <c r="C360" s="17" t="s">
        <v>29</v>
      </c>
      <c r="D360" s="17" t="s">
        <v>4</v>
      </c>
      <c r="E360">
        <v>6</v>
      </c>
      <c r="F360">
        <v>1500000</v>
      </c>
      <c r="G360">
        <v>0</v>
      </c>
      <c r="H360">
        <v>1500000</v>
      </c>
      <c r="I360" s="1">
        <v>46063</v>
      </c>
      <c r="J360" s="17" t="s">
        <v>10</v>
      </c>
      <c r="K360" t="s">
        <v>1057</v>
      </c>
    </row>
    <row r="361" spans="1:11" x14ac:dyDescent="0.25">
      <c r="A361" s="17" t="s">
        <v>484</v>
      </c>
      <c r="B361" s="17" t="s">
        <v>12</v>
      </c>
      <c r="C361" s="17" t="s">
        <v>29</v>
      </c>
      <c r="D361" s="17" t="s">
        <v>18</v>
      </c>
      <c r="E361">
        <v>10</v>
      </c>
      <c r="F361">
        <v>2500000</v>
      </c>
      <c r="G361">
        <v>0</v>
      </c>
      <c r="H361">
        <v>2500000</v>
      </c>
      <c r="I361" s="1">
        <v>46250</v>
      </c>
      <c r="J361" s="17" t="s">
        <v>10</v>
      </c>
      <c r="K361" t="s">
        <v>1057</v>
      </c>
    </row>
    <row r="362" spans="1:11" x14ac:dyDescent="0.25">
      <c r="A362" s="17" t="s">
        <v>485</v>
      </c>
      <c r="B362" s="17" t="s">
        <v>25</v>
      </c>
      <c r="C362" s="17" t="s">
        <v>29</v>
      </c>
      <c r="D362" s="17" t="s">
        <v>18</v>
      </c>
      <c r="E362">
        <v>4</v>
      </c>
      <c r="F362">
        <v>740000</v>
      </c>
      <c r="G362">
        <v>5000</v>
      </c>
      <c r="H362">
        <v>735000</v>
      </c>
      <c r="I362" s="1">
        <v>46209</v>
      </c>
      <c r="J362" s="17" t="s">
        <v>5</v>
      </c>
      <c r="K362" t="s">
        <v>1057</v>
      </c>
    </row>
    <row r="363" spans="1:11" x14ac:dyDescent="0.25">
      <c r="A363" s="17" t="s">
        <v>486</v>
      </c>
      <c r="B363" s="17" t="s">
        <v>7</v>
      </c>
      <c r="C363" s="17" t="s">
        <v>27</v>
      </c>
      <c r="D363" s="17" t="s">
        <v>32</v>
      </c>
      <c r="E363">
        <v>3</v>
      </c>
      <c r="F363">
        <v>360000</v>
      </c>
      <c r="G363">
        <v>0</v>
      </c>
      <c r="H363">
        <v>360000</v>
      </c>
      <c r="I363" s="1">
        <v>46204</v>
      </c>
      <c r="J363" s="17" t="s">
        <v>20</v>
      </c>
      <c r="K363" t="s">
        <v>1057</v>
      </c>
    </row>
    <row r="364" spans="1:11" x14ac:dyDescent="0.25">
      <c r="A364" s="17" t="s">
        <v>487</v>
      </c>
      <c r="B364" s="17" t="s">
        <v>7</v>
      </c>
      <c r="C364" s="17" t="s">
        <v>27</v>
      </c>
      <c r="D364" s="17" t="s">
        <v>30</v>
      </c>
      <c r="E364">
        <v>6</v>
      </c>
      <c r="F364">
        <v>1500000</v>
      </c>
      <c r="G364">
        <v>15000</v>
      </c>
      <c r="H364">
        <v>1485000</v>
      </c>
      <c r="I364" s="1">
        <v>46029</v>
      </c>
      <c r="J364" s="17" t="s">
        <v>20</v>
      </c>
      <c r="K364" t="s">
        <v>1057</v>
      </c>
    </row>
    <row r="365" spans="1:11" x14ac:dyDescent="0.25">
      <c r="A365" s="17" t="s">
        <v>488</v>
      </c>
      <c r="B365" s="17" t="s">
        <v>7</v>
      </c>
      <c r="C365" s="17" t="s">
        <v>3</v>
      </c>
      <c r="D365" s="17" t="s">
        <v>9</v>
      </c>
      <c r="E365">
        <v>7</v>
      </c>
      <c r="F365">
        <v>840000</v>
      </c>
      <c r="G365">
        <v>0</v>
      </c>
      <c r="H365">
        <v>840000</v>
      </c>
      <c r="I365" s="1">
        <v>46260</v>
      </c>
      <c r="J365" s="17" t="s">
        <v>33</v>
      </c>
      <c r="K365" t="s">
        <v>1057</v>
      </c>
    </row>
    <row r="366" spans="1:11" x14ac:dyDescent="0.25">
      <c r="A366" s="17" t="s">
        <v>489</v>
      </c>
      <c r="B366" s="17" t="s">
        <v>25</v>
      </c>
      <c r="C366" s="17" t="s">
        <v>17</v>
      </c>
      <c r="D366" s="17" t="s">
        <v>32</v>
      </c>
      <c r="E366">
        <v>4</v>
      </c>
      <c r="F366">
        <v>300000</v>
      </c>
      <c r="G366">
        <v>0</v>
      </c>
      <c r="H366">
        <v>300000</v>
      </c>
      <c r="I366" s="1">
        <v>46106</v>
      </c>
      <c r="J366" s="17" t="s">
        <v>33</v>
      </c>
      <c r="K366" t="s">
        <v>1057</v>
      </c>
    </row>
    <row r="367" spans="1:11" x14ac:dyDescent="0.25">
      <c r="A367" s="17" t="s">
        <v>492</v>
      </c>
      <c r="B367" s="17" t="s">
        <v>7</v>
      </c>
      <c r="C367" s="17" t="s">
        <v>13</v>
      </c>
      <c r="D367" s="17" t="s">
        <v>30</v>
      </c>
      <c r="E367">
        <v>9</v>
      </c>
      <c r="F367">
        <v>1665000</v>
      </c>
      <c r="G367">
        <v>0</v>
      </c>
      <c r="H367">
        <v>1665000</v>
      </c>
      <c r="I367" s="1">
        <v>46027</v>
      </c>
      <c r="J367" s="17" t="s">
        <v>20</v>
      </c>
      <c r="K367" t="s">
        <v>1057</v>
      </c>
    </row>
    <row r="368" spans="1:11" x14ac:dyDescent="0.25">
      <c r="A368" s="17" t="s">
        <v>493</v>
      </c>
      <c r="B368" s="17" t="s">
        <v>12</v>
      </c>
      <c r="C368" s="17" t="s">
        <v>27</v>
      </c>
      <c r="D368" s="17" t="s">
        <v>4</v>
      </c>
      <c r="E368">
        <v>6</v>
      </c>
      <c r="F368">
        <v>450000</v>
      </c>
      <c r="G368">
        <v>0</v>
      </c>
      <c r="H368">
        <v>450000</v>
      </c>
      <c r="I368" s="1">
        <v>46130</v>
      </c>
      <c r="J368" s="17" t="s">
        <v>10</v>
      </c>
      <c r="K368" t="s">
        <v>1057</v>
      </c>
    </row>
    <row r="369" spans="1:11" x14ac:dyDescent="0.25">
      <c r="A369" s="17" t="s">
        <v>494</v>
      </c>
      <c r="B369" s="17" t="s">
        <v>7</v>
      </c>
      <c r="C369" s="17" t="s">
        <v>17</v>
      </c>
      <c r="D369" s="17" t="s">
        <v>4</v>
      </c>
      <c r="E369">
        <v>4</v>
      </c>
      <c r="F369">
        <v>1000000</v>
      </c>
      <c r="G369">
        <v>5000</v>
      </c>
      <c r="H369">
        <v>995000</v>
      </c>
      <c r="I369" s="1">
        <v>46031</v>
      </c>
      <c r="J369" s="17" t="s">
        <v>5</v>
      </c>
      <c r="K369" t="s">
        <v>1057</v>
      </c>
    </row>
    <row r="370" spans="1:11" x14ac:dyDescent="0.25">
      <c r="A370" s="17" t="s">
        <v>495</v>
      </c>
      <c r="B370" s="17" t="s">
        <v>25</v>
      </c>
      <c r="C370" s="17" t="s">
        <v>13</v>
      </c>
      <c r="D370" s="17" t="s">
        <v>18</v>
      </c>
      <c r="E370">
        <v>3</v>
      </c>
      <c r="F370">
        <v>360000</v>
      </c>
      <c r="G370">
        <v>0</v>
      </c>
      <c r="H370">
        <v>360000</v>
      </c>
      <c r="I370" s="1">
        <v>46040</v>
      </c>
      <c r="J370" s="17" t="s">
        <v>33</v>
      </c>
      <c r="K370" t="s">
        <v>1057</v>
      </c>
    </row>
    <row r="371" spans="1:11" x14ac:dyDescent="0.25">
      <c r="A371" s="17" t="s">
        <v>496</v>
      </c>
      <c r="B371" s="17" t="s">
        <v>12</v>
      </c>
      <c r="C371" s="17" t="s">
        <v>29</v>
      </c>
      <c r="D371" s="17" t="s">
        <v>32</v>
      </c>
      <c r="E371">
        <v>5</v>
      </c>
      <c r="F371">
        <v>925000</v>
      </c>
      <c r="G371">
        <v>0</v>
      </c>
      <c r="H371">
        <v>925000</v>
      </c>
      <c r="I371" s="1">
        <v>46071</v>
      </c>
      <c r="J371" s="17" t="s">
        <v>33</v>
      </c>
      <c r="K371" t="s">
        <v>1057</v>
      </c>
    </row>
    <row r="372" spans="1:11" x14ac:dyDescent="0.25">
      <c r="A372" s="17" t="s">
        <v>497</v>
      </c>
      <c r="B372" s="17" t="s">
        <v>2</v>
      </c>
      <c r="C372" s="17" t="s">
        <v>17</v>
      </c>
      <c r="D372" s="17" t="s">
        <v>4</v>
      </c>
      <c r="E372">
        <v>4</v>
      </c>
      <c r="F372">
        <v>1000000</v>
      </c>
      <c r="G372">
        <v>0</v>
      </c>
      <c r="H372">
        <v>1000000</v>
      </c>
      <c r="I372" s="1">
        <v>46188</v>
      </c>
      <c r="J372" s="17" t="s">
        <v>33</v>
      </c>
      <c r="K372" t="s">
        <v>1057</v>
      </c>
    </row>
    <row r="373" spans="1:11" x14ac:dyDescent="0.25">
      <c r="A373" s="17" t="s">
        <v>498</v>
      </c>
      <c r="B373" s="17" t="s">
        <v>12</v>
      </c>
      <c r="C373" s="17" t="s">
        <v>8</v>
      </c>
      <c r="D373" s="17" t="s">
        <v>9</v>
      </c>
      <c r="E373">
        <v>9</v>
      </c>
      <c r="F373">
        <v>1665000</v>
      </c>
      <c r="G373">
        <v>5000</v>
      </c>
      <c r="H373">
        <v>1660000</v>
      </c>
      <c r="I373" s="1">
        <v>46096</v>
      </c>
      <c r="J373" s="17" t="s">
        <v>33</v>
      </c>
      <c r="K373" t="s">
        <v>1057</v>
      </c>
    </row>
    <row r="374" spans="1:11" x14ac:dyDescent="0.25">
      <c r="A374" s="17" t="s">
        <v>499</v>
      </c>
      <c r="B374" s="17" t="s">
        <v>25</v>
      </c>
      <c r="C374" s="17" t="s">
        <v>8</v>
      </c>
      <c r="D374" s="17" t="s">
        <v>30</v>
      </c>
      <c r="E374">
        <v>3</v>
      </c>
      <c r="F374">
        <v>555000</v>
      </c>
      <c r="G374">
        <v>5000</v>
      </c>
      <c r="H374">
        <v>550000</v>
      </c>
      <c r="I374" s="1">
        <v>46262</v>
      </c>
      <c r="J374" s="17" t="s">
        <v>10</v>
      </c>
      <c r="K374" t="s">
        <v>1057</v>
      </c>
    </row>
    <row r="375" spans="1:11" x14ac:dyDescent="0.25">
      <c r="A375" s="17" t="s">
        <v>500</v>
      </c>
      <c r="B375" s="17" t="s">
        <v>7</v>
      </c>
      <c r="C375" s="17" t="s">
        <v>3</v>
      </c>
      <c r="D375" s="17" t="s">
        <v>30</v>
      </c>
      <c r="E375">
        <v>7</v>
      </c>
      <c r="F375">
        <v>1750000</v>
      </c>
      <c r="G375">
        <v>0</v>
      </c>
      <c r="H375">
        <v>1750000</v>
      </c>
      <c r="I375" s="1">
        <v>46189</v>
      </c>
      <c r="J375" s="17" t="s">
        <v>20</v>
      </c>
      <c r="K375" t="s">
        <v>1057</v>
      </c>
    </row>
    <row r="376" spans="1:11" x14ac:dyDescent="0.25">
      <c r="A376" s="17" t="s">
        <v>501</v>
      </c>
      <c r="B376" s="17" t="s">
        <v>12</v>
      </c>
      <c r="C376" s="17" t="s">
        <v>17</v>
      </c>
      <c r="D376" s="17" t="s">
        <v>18</v>
      </c>
      <c r="E376">
        <v>1</v>
      </c>
      <c r="F376">
        <v>250000</v>
      </c>
      <c r="G376">
        <v>0</v>
      </c>
      <c r="H376">
        <v>250000</v>
      </c>
      <c r="I376" s="1">
        <v>46034</v>
      </c>
      <c r="J376" s="17" t="s">
        <v>5</v>
      </c>
      <c r="K376" t="s">
        <v>1057</v>
      </c>
    </row>
    <row r="377" spans="1:11" x14ac:dyDescent="0.25">
      <c r="A377" s="17" t="s">
        <v>502</v>
      </c>
      <c r="B377" s="17" t="s">
        <v>25</v>
      </c>
      <c r="C377" s="17" t="s">
        <v>3</v>
      </c>
      <c r="D377" s="17" t="s">
        <v>18</v>
      </c>
      <c r="E377">
        <v>8</v>
      </c>
      <c r="F377">
        <v>1480000</v>
      </c>
      <c r="G377">
        <v>0</v>
      </c>
      <c r="H377">
        <v>1480000</v>
      </c>
      <c r="I377" s="1">
        <v>46259</v>
      </c>
      <c r="J377" s="17" t="s">
        <v>33</v>
      </c>
      <c r="K377" t="s">
        <v>1057</v>
      </c>
    </row>
    <row r="378" spans="1:11" x14ac:dyDescent="0.25">
      <c r="A378" s="17" t="s">
        <v>503</v>
      </c>
      <c r="B378" s="17" t="s">
        <v>25</v>
      </c>
      <c r="C378" s="17" t="s">
        <v>27</v>
      </c>
      <c r="D378" s="17" t="s">
        <v>4</v>
      </c>
      <c r="E378">
        <v>8</v>
      </c>
      <c r="F378">
        <v>2000000</v>
      </c>
      <c r="G378">
        <v>0</v>
      </c>
      <c r="H378">
        <v>2000000</v>
      </c>
      <c r="I378" s="1">
        <v>46065</v>
      </c>
      <c r="J378" s="17" t="s">
        <v>33</v>
      </c>
      <c r="K378" t="s">
        <v>1057</v>
      </c>
    </row>
    <row r="379" spans="1:11" x14ac:dyDescent="0.25">
      <c r="A379" s="17" t="s">
        <v>504</v>
      </c>
      <c r="B379" s="17" t="s">
        <v>7</v>
      </c>
      <c r="C379" s="17" t="s">
        <v>13</v>
      </c>
      <c r="D379" s="17" t="s">
        <v>4</v>
      </c>
      <c r="E379">
        <v>10</v>
      </c>
      <c r="F379">
        <v>1200000</v>
      </c>
      <c r="G379">
        <v>0</v>
      </c>
      <c r="H379">
        <v>1200000</v>
      </c>
      <c r="I379" s="1">
        <v>46159</v>
      </c>
      <c r="J379" s="17" t="s">
        <v>33</v>
      </c>
      <c r="K379" t="s">
        <v>1057</v>
      </c>
    </row>
    <row r="380" spans="1:11" x14ac:dyDescent="0.25">
      <c r="A380" s="17" t="s">
        <v>505</v>
      </c>
      <c r="B380" s="17" t="s">
        <v>2</v>
      </c>
      <c r="C380" s="17" t="s">
        <v>3</v>
      </c>
      <c r="D380" s="17" t="s">
        <v>30</v>
      </c>
      <c r="E380">
        <v>6</v>
      </c>
      <c r="F380">
        <v>1110000</v>
      </c>
      <c r="G380">
        <v>10000</v>
      </c>
      <c r="H380">
        <v>1100000</v>
      </c>
      <c r="I380" s="1">
        <v>46163</v>
      </c>
      <c r="J380" s="17" t="s">
        <v>20</v>
      </c>
      <c r="K380" t="s">
        <v>1057</v>
      </c>
    </row>
    <row r="381" spans="1:11" x14ac:dyDescent="0.25">
      <c r="A381" s="17" t="s">
        <v>506</v>
      </c>
      <c r="B381" s="17" t="s">
        <v>7</v>
      </c>
      <c r="C381" s="17" t="s">
        <v>29</v>
      </c>
      <c r="D381" s="17" t="s">
        <v>30</v>
      </c>
      <c r="E381">
        <v>8</v>
      </c>
      <c r="F381">
        <v>1480000</v>
      </c>
      <c r="G381">
        <v>0</v>
      </c>
      <c r="H381">
        <v>1480000</v>
      </c>
      <c r="I381" s="1">
        <v>46034</v>
      </c>
      <c r="J381" s="17" t="s">
        <v>33</v>
      </c>
      <c r="K381" t="s">
        <v>1057</v>
      </c>
    </row>
    <row r="382" spans="1:11" x14ac:dyDescent="0.25">
      <c r="A382" s="17" t="s">
        <v>507</v>
      </c>
      <c r="B382" s="17" t="s">
        <v>25</v>
      </c>
      <c r="C382" s="17" t="s">
        <v>29</v>
      </c>
      <c r="D382" s="17" t="s">
        <v>9</v>
      </c>
      <c r="E382">
        <v>3</v>
      </c>
      <c r="F382">
        <v>360000</v>
      </c>
      <c r="G382">
        <v>0</v>
      </c>
      <c r="H382">
        <v>360000</v>
      </c>
      <c r="I382" s="1">
        <v>46216</v>
      </c>
      <c r="J382" s="17" t="s">
        <v>20</v>
      </c>
      <c r="K382" t="s">
        <v>1057</v>
      </c>
    </row>
    <row r="383" spans="1:11" x14ac:dyDescent="0.25">
      <c r="A383" s="17" t="s">
        <v>508</v>
      </c>
      <c r="B383" s="17" t="s">
        <v>25</v>
      </c>
      <c r="C383" s="17" t="s">
        <v>17</v>
      </c>
      <c r="D383" s="17" t="s">
        <v>9</v>
      </c>
      <c r="E383">
        <v>9</v>
      </c>
      <c r="F383">
        <v>675000</v>
      </c>
      <c r="G383">
        <v>0</v>
      </c>
      <c r="H383">
        <v>675000</v>
      </c>
      <c r="I383" s="1">
        <v>46104</v>
      </c>
      <c r="J383" s="17" t="s">
        <v>10</v>
      </c>
      <c r="K383" t="s">
        <v>1057</v>
      </c>
    </row>
    <row r="384" spans="1:11" x14ac:dyDescent="0.25">
      <c r="A384" s="17" t="s">
        <v>509</v>
      </c>
      <c r="B384" s="17" t="s">
        <v>25</v>
      </c>
      <c r="C384" s="17" t="s">
        <v>13</v>
      </c>
      <c r="D384" s="17" t="s">
        <v>18</v>
      </c>
      <c r="E384">
        <v>3</v>
      </c>
      <c r="F384">
        <v>225000</v>
      </c>
      <c r="G384">
        <v>0</v>
      </c>
      <c r="H384">
        <v>225000</v>
      </c>
      <c r="I384" s="1">
        <v>46067</v>
      </c>
      <c r="J384" s="17" t="s">
        <v>10</v>
      </c>
      <c r="K384" t="s">
        <v>1057</v>
      </c>
    </row>
    <row r="385" spans="1:11" x14ac:dyDescent="0.25">
      <c r="A385" s="17" t="s">
        <v>511</v>
      </c>
      <c r="B385" s="17" t="s">
        <v>7</v>
      </c>
      <c r="C385" s="17" t="s">
        <v>13</v>
      </c>
      <c r="D385" s="17" t="s">
        <v>9</v>
      </c>
      <c r="E385">
        <v>7</v>
      </c>
      <c r="F385">
        <v>840000</v>
      </c>
      <c r="G385">
        <v>0</v>
      </c>
      <c r="H385">
        <v>840000</v>
      </c>
      <c r="I385" s="1">
        <v>46032</v>
      </c>
      <c r="J385" s="17" t="s">
        <v>5</v>
      </c>
      <c r="K385" t="s">
        <v>1057</v>
      </c>
    </row>
    <row r="386" spans="1:11" x14ac:dyDescent="0.25">
      <c r="A386" s="17" t="s">
        <v>512</v>
      </c>
      <c r="B386" s="17" t="s">
        <v>2</v>
      </c>
      <c r="C386" s="17" t="s">
        <v>3</v>
      </c>
      <c r="D386" s="17" t="s">
        <v>18</v>
      </c>
      <c r="E386">
        <v>3</v>
      </c>
      <c r="F386">
        <v>750000</v>
      </c>
      <c r="G386">
        <v>5000</v>
      </c>
      <c r="H386">
        <v>745000</v>
      </c>
      <c r="I386" s="1">
        <v>46179</v>
      </c>
      <c r="J386" s="17" t="s">
        <v>10</v>
      </c>
      <c r="K386" t="s">
        <v>1057</v>
      </c>
    </row>
    <row r="387" spans="1:11" x14ac:dyDescent="0.25">
      <c r="A387" s="17" t="s">
        <v>513</v>
      </c>
      <c r="B387" s="17" t="s">
        <v>2</v>
      </c>
      <c r="C387" s="17" t="s">
        <v>17</v>
      </c>
      <c r="D387" s="17" t="s">
        <v>9</v>
      </c>
      <c r="E387">
        <v>4</v>
      </c>
      <c r="F387">
        <v>740000</v>
      </c>
      <c r="G387">
        <v>0</v>
      </c>
      <c r="H387">
        <v>740000</v>
      </c>
      <c r="I387" s="1">
        <v>46047</v>
      </c>
      <c r="J387" s="17" t="s">
        <v>20</v>
      </c>
      <c r="K387" t="s">
        <v>1057</v>
      </c>
    </row>
    <row r="388" spans="1:11" x14ac:dyDescent="0.25">
      <c r="A388" s="17" t="s">
        <v>515</v>
      </c>
      <c r="B388" s="17" t="s">
        <v>12</v>
      </c>
      <c r="C388" s="17" t="s">
        <v>27</v>
      </c>
      <c r="D388" s="17" t="s">
        <v>32</v>
      </c>
      <c r="E388">
        <v>7</v>
      </c>
      <c r="F388">
        <v>840000</v>
      </c>
      <c r="G388">
        <v>0</v>
      </c>
      <c r="H388">
        <v>840000</v>
      </c>
      <c r="I388" s="1">
        <v>46215</v>
      </c>
      <c r="J388" s="17" t="s">
        <v>20</v>
      </c>
      <c r="K388" t="s">
        <v>1057</v>
      </c>
    </row>
    <row r="389" spans="1:11" x14ac:dyDescent="0.25">
      <c r="A389" s="17" t="s">
        <v>516</v>
      </c>
      <c r="B389" s="17" t="s">
        <v>12</v>
      </c>
      <c r="C389" s="17" t="s">
        <v>29</v>
      </c>
      <c r="D389" s="17" t="s">
        <v>32</v>
      </c>
      <c r="E389">
        <v>1</v>
      </c>
      <c r="F389">
        <v>250000</v>
      </c>
      <c r="G389">
        <v>0</v>
      </c>
      <c r="H389">
        <v>250000</v>
      </c>
      <c r="I389" s="1">
        <v>46220</v>
      </c>
      <c r="J389" s="17" t="s">
        <v>5</v>
      </c>
      <c r="K389" t="s">
        <v>1057</v>
      </c>
    </row>
    <row r="390" spans="1:11" x14ac:dyDescent="0.25">
      <c r="A390" s="17" t="s">
        <v>517</v>
      </c>
      <c r="B390" s="17" t="s">
        <v>7</v>
      </c>
      <c r="C390" s="17" t="s">
        <v>29</v>
      </c>
      <c r="D390" s="17" t="s">
        <v>9</v>
      </c>
      <c r="E390">
        <v>7</v>
      </c>
      <c r="F390">
        <v>840000</v>
      </c>
      <c r="G390">
        <v>0</v>
      </c>
      <c r="H390">
        <v>840000</v>
      </c>
      <c r="I390" s="1">
        <v>46027</v>
      </c>
      <c r="J390" s="17" t="s">
        <v>20</v>
      </c>
      <c r="K390" t="s">
        <v>1057</v>
      </c>
    </row>
    <row r="391" spans="1:11" x14ac:dyDescent="0.25">
      <c r="A391" s="17" t="s">
        <v>519</v>
      </c>
      <c r="B391" s="17" t="s">
        <v>25</v>
      </c>
      <c r="C391" s="17" t="s">
        <v>29</v>
      </c>
      <c r="D391" s="17" t="s">
        <v>30</v>
      </c>
      <c r="E391">
        <v>3</v>
      </c>
      <c r="F391">
        <v>225000</v>
      </c>
      <c r="G391">
        <v>0</v>
      </c>
      <c r="H391">
        <v>225000</v>
      </c>
      <c r="I391" s="1">
        <v>46177</v>
      </c>
      <c r="J391" s="17" t="s">
        <v>5</v>
      </c>
      <c r="K391" t="s">
        <v>1057</v>
      </c>
    </row>
    <row r="392" spans="1:11" x14ac:dyDescent="0.25">
      <c r="A392" s="17" t="s">
        <v>520</v>
      </c>
      <c r="B392" s="17" t="s">
        <v>7</v>
      </c>
      <c r="C392" s="17" t="s">
        <v>8</v>
      </c>
      <c r="D392" s="17" t="s">
        <v>30</v>
      </c>
      <c r="E392">
        <v>1</v>
      </c>
      <c r="F392">
        <v>185000</v>
      </c>
      <c r="G392">
        <v>5000</v>
      </c>
      <c r="H392">
        <v>180000</v>
      </c>
      <c r="I392" s="1">
        <v>46113</v>
      </c>
      <c r="J392" s="17" t="s">
        <v>5</v>
      </c>
      <c r="K392" t="s">
        <v>1057</v>
      </c>
    </row>
    <row r="393" spans="1:11" x14ac:dyDescent="0.25">
      <c r="A393" s="17" t="s">
        <v>521</v>
      </c>
      <c r="B393" s="17" t="s">
        <v>25</v>
      </c>
      <c r="C393" s="17" t="s">
        <v>17</v>
      </c>
      <c r="D393" s="17" t="s">
        <v>4</v>
      </c>
      <c r="E393">
        <v>6</v>
      </c>
      <c r="F393">
        <v>450000</v>
      </c>
      <c r="G393">
        <v>0</v>
      </c>
      <c r="H393">
        <v>450000</v>
      </c>
      <c r="I393" s="1">
        <v>46212</v>
      </c>
      <c r="J393" s="17" t="s">
        <v>5</v>
      </c>
      <c r="K393" t="s">
        <v>1057</v>
      </c>
    </row>
    <row r="394" spans="1:11" x14ac:dyDescent="0.25">
      <c r="A394" s="17" t="s">
        <v>522</v>
      </c>
      <c r="B394" s="17" t="s">
        <v>25</v>
      </c>
      <c r="C394" s="17" t="s">
        <v>17</v>
      </c>
      <c r="D394" s="17" t="s">
        <v>9</v>
      </c>
      <c r="E394">
        <v>5</v>
      </c>
      <c r="F394">
        <v>600000</v>
      </c>
      <c r="G394">
        <v>0</v>
      </c>
      <c r="H394">
        <v>600000</v>
      </c>
      <c r="I394" s="1">
        <v>46146</v>
      </c>
      <c r="J394" s="17" t="s">
        <v>33</v>
      </c>
      <c r="K394" t="s">
        <v>1057</v>
      </c>
    </row>
    <row r="395" spans="1:11" x14ac:dyDescent="0.25">
      <c r="A395" s="17" t="s">
        <v>523</v>
      </c>
      <c r="B395" s="17" t="s">
        <v>2</v>
      </c>
      <c r="C395" s="17" t="s">
        <v>17</v>
      </c>
      <c r="D395" s="17" t="s">
        <v>32</v>
      </c>
      <c r="E395">
        <v>4</v>
      </c>
      <c r="F395">
        <v>740000</v>
      </c>
      <c r="G395">
        <v>0</v>
      </c>
      <c r="H395">
        <v>740000</v>
      </c>
      <c r="I395" s="1">
        <v>46220</v>
      </c>
      <c r="J395" s="17" t="s">
        <v>33</v>
      </c>
      <c r="K395" t="s">
        <v>1057</v>
      </c>
    </row>
    <row r="396" spans="1:11" x14ac:dyDescent="0.25">
      <c r="A396" s="17" t="s">
        <v>524</v>
      </c>
      <c r="B396" s="17" t="s">
        <v>12</v>
      </c>
      <c r="C396" s="17" t="s">
        <v>29</v>
      </c>
      <c r="D396" s="17" t="s">
        <v>18</v>
      </c>
      <c r="E396">
        <v>10</v>
      </c>
      <c r="F396">
        <v>2500000</v>
      </c>
      <c r="G396">
        <v>0</v>
      </c>
      <c r="H396">
        <v>2500000</v>
      </c>
      <c r="I396" s="1">
        <v>46055</v>
      </c>
      <c r="J396" s="17" t="s">
        <v>20</v>
      </c>
      <c r="K396" t="s">
        <v>1057</v>
      </c>
    </row>
    <row r="397" spans="1:11" x14ac:dyDescent="0.25">
      <c r="A397" s="17" t="s">
        <v>525</v>
      </c>
      <c r="B397" s="17" t="s">
        <v>25</v>
      </c>
      <c r="C397" s="17" t="s">
        <v>29</v>
      </c>
      <c r="D397" s="17" t="s">
        <v>4</v>
      </c>
      <c r="E397">
        <v>6</v>
      </c>
      <c r="F397">
        <v>720000</v>
      </c>
      <c r="G397">
        <v>0</v>
      </c>
      <c r="H397">
        <v>720000</v>
      </c>
      <c r="I397" s="1">
        <v>46099</v>
      </c>
      <c r="J397" s="17" t="s">
        <v>5</v>
      </c>
      <c r="K397" t="s">
        <v>1057</v>
      </c>
    </row>
    <row r="398" spans="1:11" x14ac:dyDescent="0.25">
      <c r="A398" s="17" t="s">
        <v>526</v>
      </c>
      <c r="B398" s="17" t="s">
        <v>7</v>
      </c>
      <c r="C398" s="17" t="s">
        <v>13</v>
      </c>
      <c r="D398" s="17" t="s">
        <v>18</v>
      </c>
      <c r="E398">
        <v>9</v>
      </c>
      <c r="F398">
        <v>675000</v>
      </c>
      <c r="G398">
        <v>15000</v>
      </c>
      <c r="H398">
        <v>660000</v>
      </c>
      <c r="I398" s="1">
        <v>46039</v>
      </c>
      <c r="J398" s="17" t="s">
        <v>10</v>
      </c>
      <c r="K398" t="s">
        <v>1057</v>
      </c>
    </row>
    <row r="399" spans="1:11" x14ac:dyDescent="0.25">
      <c r="A399" s="17" t="s">
        <v>527</v>
      </c>
      <c r="B399" s="17" t="s">
        <v>12</v>
      </c>
      <c r="C399" s="17" t="s">
        <v>3</v>
      </c>
      <c r="D399" s="17" t="s">
        <v>32</v>
      </c>
      <c r="E399">
        <v>8</v>
      </c>
      <c r="F399">
        <v>960000</v>
      </c>
      <c r="G399">
        <v>5000</v>
      </c>
      <c r="H399">
        <v>955000</v>
      </c>
      <c r="I399" s="1">
        <v>46138</v>
      </c>
      <c r="J399" s="17" t="s">
        <v>10</v>
      </c>
      <c r="K399" t="s">
        <v>1057</v>
      </c>
    </row>
    <row r="400" spans="1:11" x14ac:dyDescent="0.25">
      <c r="A400" s="17" t="s">
        <v>528</v>
      </c>
      <c r="B400" s="17" t="s">
        <v>12</v>
      </c>
      <c r="C400" s="17" t="s">
        <v>8</v>
      </c>
      <c r="D400" s="17" t="s">
        <v>30</v>
      </c>
      <c r="E400">
        <v>6</v>
      </c>
      <c r="F400">
        <v>450000</v>
      </c>
      <c r="G400">
        <v>0</v>
      </c>
      <c r="H400">
        <v>450000</v>
      </c>
      <c r="I400" s="1">
        <v>46086</v>
      </c>
      <c r="J400" s="17" t="s">
        <v>20</v>
      </c>
      <c r="K400" t="s">
        <v>1057</v>
      </c>
    </row>
    <row r="401" spans="1:11" x14ac:dyDescent="0.25">
      <c r="A401" s="17" t="s">
        <v>529</v>
      </c>
      <c r="B401" s="17" t="s">
        <v>12</v>
      </c>
      <c r="C401" s="17" t="s">
        <v>13</v>
      </c>
      <c r="D401" s="17" t="s">
        <v>30</v>
      </c>
      <c r="E401">
        <v>7</v>
      </c>
      <c r="F401">
        <v>525000</v>
      </c>
      <c r="G401">
        <v>0</v>
      </c>
      <c r="H401">
        <v>525000</v>
      </c>
      <c r="I401" s="1">
        <v>46027</v>
      </c>
      <c r="J401" s="17" t="s">
        <v>10</v>
      </c>
      <c r="K401" t="s">
        <v>1057</v>
      </c>
    </row>
    <row r="402" spans="1:11" x14ac:dyDescent="0.25">
      <c r="A402" s="17" t="s">
        <v>530</v>
      </c>
      <c r="B402" s="17" t="s">
        <v>7</v>
      </c>
      <c r="C402" s="17" t="s">
        <v>13</v>
      </c>
      <c r="D402" s="17" t="s">
        <v>30</v>
      </c>
      <c r="E402">
        <v>2</v>
      </c>
      <c r="F402">
        <v>370000</v>
      </c>
      <c r="G402">
        <v>0</v>
      </c>
      <c r="H402">
        <v>370000</v>
      </c>
      <c r="I402" s="1">
        <v>46036</v>
      </c>
      <c r="J402" s="17" t="s">
        <v>33</v>
      </c>
      <c r="K402" t="s">
        <v>1057</v>
      </c>
    </row>
    <row r="403" spans="1:11" x14ac:dyDescent="0.25">
      <c r="A403" s="17" t="s">
        <v>531</v>
      </c>
      <c r="B403" s="17" t="s">
        <v>25</v>
      </c>
      <c r="C403" s="17" t="s">
        <v>13</v>
      </c>
      <c r="D403" s="17" t="s">
        <v>30</v>
      </c>
      <c r="E403">
        <v>6</v>
      </c>
      <c r="F403">
        <v>1500000</v>
      </c>
      <c r="G403">
        <v>0</v>
      </c>
      <c r="H403">
        <v>1500000</v>
      </c>
      <c r="I403" s="1">
        <v>46246</v>
      </c>
      <c r="J403" s="17" t="s">
        <v>20</v>
      </c>
      <c r="K403" t="s">
        <v>1057</v>
      </c>
    </row>
    <row r="404" spans="1:11" x14ac:dyDescent="0.25">
      <c r="A404" s="17" t="s">
        <v>533</v>
      </c>
      <c r="B404" s="17" t="s">
        <v>12</v>
      </c>
      <c r="C404" s="17" t="s">
        <v>29</v>
      </c>
      <c r="D404" s="17" t="s">
        <v>32</v>
      </c>
      <c r="E404">
        <v>3</v>
      </c>
      <c r="F404">
        <v>750000</v>
      </c>
      <c r="G404">
        <v>0</v>
      </c>
      <c r="H404">
        <v>750000</v>
      </c>
      <c r="I404" s="1">
        <v>46199</v>
      </c>
      <c r="J404" s="17" t="s">
        <v>10</v>
      </c>
      <c r="K404" t="s">
        <v>1057</v>
      </c>
    </row>
    <row r="405" spans="1:11" x14ac:dyDescent="0.25">
      <c r="A405" s="17" t="s">
        <v>536</v>
      </c>
      <c r="B405" s="17" t="s">
        <v>2</v>
      </c>
      <c r="C405" s="17" t="s">
        <v>27</v>
      </c>
      <c r="D405" s="17" t="s">
        <v>18</v>
      </c>
      <c r="E405">
        <v>6</v>
      </c>
      <c r="F405">
        <v>720000</v>
      </c>
      <c r="G405">
        <v>5000</v>
      </c>
      <c r="H405">
        <v>715000</v>
      </c>
      <c r="I405" s="1">
        <v>46104</v>
      </c>
      <c r="J405" s="17" t="s">
        <v>33</v>
      </c>
      <c r="K405" t="s">
        <v>1057</v>
      </c>
    </row>
    <row r="406" spans="1:11" x14ac:dyDescent="0.25">
      <c r="A406" s="17" t="s">
        <v>537</v>
      </c>
      <c r="B406" s="17" t="s">
        <v>7</v>
      </c>
      <c r="C406" s="17" t="s">
        <v>17</v>
      </c>
      <c r="D406" s="17" t="s">
        <v>9</v>
      </c>
      <c r="E406">
        <v>7</v>
      </c>
      <c r="F406">
        <v>315000</v>
      </c>
      <c r="G406">
        <v>0</v>
      </c>
      <c r="H406">
        <v>315000</v>
      </c>
      <c r="I406" s="1">
        <v>46218</v>
      </c>
      <c r="J406" s="17" t="s">
        <v>20</v>
      </c>
      <c r="K406" t="s">
        <v>1057</v>
      </c>
    </row>
    <row r="407" spans="1:11" x14ac:dyDescent="0.25">
      <c r="A407" s="17" t="s">
        <v>538</v>
      </c>
      <c r="B407" s="17" t="s">
        <v>7</v>
      </c>
      <c r="C407" s="17" t="s">
        <v>3</v>
      </c>
      <c r="D407" s="17" t="s">
        <v>4</v>
      </c>
      <c r="E407">
        <v>4</v>
      </c>
      <c r="F407">
        <v>740000</v>
      </c>
      <c r="G407">
        <v>0</v>
      </c>
      <c r="H407">
        <v>740000</v>
      </c>
      <c r="I407" s="1">
        <v>46240</v>
      </c>
      <c r="J407" s="17" t="s">
        <v>20</v>
      </c>
      <c r="K407" t="s">
        <v>1057</v>
      </c>
    </row>
    <row r="408" spans="1:11" x14ac:dyDescent="0.25">
      <c r="A408" s="17" t="s">
        <v>539</v>
      </c>
      <c r="B408" s="17" t="s">
        <v>12</v>
      </c>
      <c r="C408" s="17" t="s">
        <v>13</v>
      </c>
      <c r="D408" s="17" t="s">
        <v>18</v>
      </c>
      <c r="E408">
        <v>9</v>
      </c>
      <c r="F408">
        <v>405000</v>
      </c>
      <c r="G408">
        <v>0</v>
      </c>
      <c r="H408">
        <v>405000</v>
      </c>
      <c r="I408" s="1">
        <v>46143</v>
      </c>
      <c r="J408" s="17" t="s">
        <v>33</v>
      </c>
      <c r="K408" t="s">
        <v>1057</v>
      </c>
    </row>
    <row r="409" spans="1:11" x14ac:dyDescent="0.25">
      <c r="A409" s="17" t="s">
        <v>541</v>
      </c>
      <c r="B409" s="17" t="s">
        <v>2</v>
      </c>
      <c r="C409" s="17" t="s">
        <v>27</v>
      </c>
      <c r="D409" s="17" t="s">
        <v>9</v>
      </c>
      <c r="E409">
        <v>5</v>
      </c>
      <c r="F409">
        <v>1250000</v>
      </c>
      <c r="G409">
        <v>0</v>
      </c>
      <c r="H409">
        <v>1250000</v>
      </c>
      <c r="I409" s="1">
        <v>46150</v>
      </c>
      <c r="J409" s="17" t="s">
        <v>5</v>
      </c>
      <c r="K409" t="s">
        <v>1057</v>
      </c>
    </row>
    <row r="410" spans="1:11" x14ac:dyDescent="0.25">
      <c r="A410" s="17" t="s">
        <v>542</v>
      </c>
      <c r="B410" s="17" t="s">
        <v>12</v>
      </c>
      <c r="C410" s="17" t="s">
        <v>13</v>
      </c>
      <c r="D410" s="17" t="s">
        <v>18</v>
      </c>
      <c r="E410">
        <v>8</v>
      </c>
      <c r="F410">
        <v>1480000</v>
      </c>
      <c r="G410">
        <v>10000</v>
      </c>
      <c r="H410">
        <v>1470000</v>
      </c>
      <c r="I410" s="1">
        <v>46080</v>
      </c>
      <c r="J410" s="17" t="s">
        <v>5</v>
      </c>
      <c r="K410" t="s">
        <v>1057</v>
      </c>
    </row>
    <row r="411" spans="1:11" x14ac:dyDescent="0.25">
      <c r="A411" s="17" t="s">
        <v>543</v>
      </c>
      <c r="B411" s="17" t="s">
        <v>7</v>
      </c>
      <c r="C411" s="17" t="s">
        <v>17</v>
      </c>
      <c r="D411" s="17" t="s">
        <v>9</v>
      </c>
      <c r="E411">
        <v>2</v>
      </c>
      <c r="F411">
        <v>90000</v>
      </c>
      <c r="G411">
        <v>0</v>
      </c>
      <c r="H411">
        <v>90000</v>
      </c>
      <c r="I411" s="1">
        <v>46124</v>
      </c>
      <c r="J411" s="17" t="s">
        <v>5</v>
      </c>
      <c r="K411" t="s">
        <v>1057</v>
      </c>
    </row>
    <row r="412" spans="1:11" x14ac:dyDescent="0.25">
      <c r="A412" s="17" t="s">
        <v>544</v>
      </c>
      <c r="B412" s="17" t="s">
        <v>25</v>
      </c>
      <c r="C412" s="17" t="s">
        <v>3</v>
      </c>
      <c r="D412" s="17" t="s">
        <v>18</v>
      </c>
      <c r="E412">
        <v>2</v>
      </c>
      <c r="F412">
        <v>240000</v>
      </c>
      <c r="G412">
        <v>0</v>
      </c>
      <c r="H412">
        <v>240000</v>
      </c>
      <c r="I412" s="1">
        <v>46092</v>
      </c>
      <c r="J412" s="17" t="s">
        <v>33</v>
      </c>
      <c r="K412" t="s">
        <v>1057</v>
      </c>
    </row>
    <row r="413" spans="1:11" x14ac:dyDescent="0.25">
      <c r="A413" s="17" t="s">
        <v>546</v>
      </c>
      <c r="B413" s="17" t="s">
        <v>25</v>
      </c>
      <c r="C413" s="17" t="s">
        <v>17</v>
      </c>
      <c r="D413" s="17" t="s">
        <v>9</v>
      </c>
      <c r="E413">
        <v>6</v>
      </c>
      <c r="F413">
        <v>450000</v>
      </c>
      <c r="G413">
        <v>0</v>
      </c>
      <c r="H413">
        <v>450000</v>
      </c>
      <c r="I413" s="1">
        <v>46197</v>
      </c>
      <c r="J413" s="17" t="s">
        <v>33</v>
      </c>
      <c r="K413" t="s">
        <v>1057</v>
      </c>
    </row>
    <row r="414" spans="1:11" x14ac:dyDescent="0.25">
      <c r="A414" s="17" t="s">
        <v>547</v>
      </c>
      <c r="B414" s="17" t="s">
        <v>25</v>
      </c>
      <c r="C414" s="17" t="s">
        <v>29</v>
      </c>
      <c r="D414" s="17" t="s">
        <v>18</v>
      </c>
      <c r="E414">
        <v>5</v>
      </c>
      <c r="F414">
        <v>375000</v>
      </c>
      <c r="G414">
        <v>0</v>
      </c>
      <c r="H414">
        <v>375000</v>
      </c>
      <c r="I414" s="1">
        <v>46224</v>
      </c>
      <c r="J414" s="17" t="s">
        <v>10</v>
      </c>
      <c r="K414" t="s">
        <v>1057</v>
      </c>
    </row>
    <row r="415" spans="1:11" x14ac:dyDescent="0.25">
      <c r="A415" s="17" t="s">
        <v>548</v>
      </c>
      <c r="B415" s="17" t="s">
        <v>25</v>
      </c>
      <c r="C415" s="17" t="s">
        <v>13</v>
      </c>
      <c r="D415" s="17" t="s">
        <v>30</v>
      </c>
      <c r="E415">
        <v>5</v>
      </c>
      <c r="F415">
        <v>375000</v>
      </c>
      <c r="G415">
        <v>0</v>
      </c>
      <c r="H415">
        <v>375000</v>
      </c>
      <c r="I415" s="1">
        <v>46043</v>
      </c>
      <c r="J415" s="17" t="s">
        <v>20</v>
      </c>
      <c r="K415" t="s">
        <v>1057</v>
      </c>
    </row>
    <row r="416" spans="1:11" x14ac:dyDescent="0.25">
      <c r="A416" s="17" t="s">
        <v>549</v>
      </c>
      <c r="B416" s="17" t="s">
        <v>12</v>
      </c>
      <c r="C416" s="17" t="s">
        <v>3</v>
      </c>
      <c r="D416" s="17" t="s">
        <v>4</v>
      </c>
      <c r="E416">
        <v>10</v>
      </c>
      <c r="F416">
        <v>450000</v>
      </c>
      <c r="G416">
        <v>0</v>
      </c>
      <c r="H416">
        <v>450000</v>
      </c>
      <c r="I416" s="1">
        <v>46240</v>
      </c>
      <c r="J416" s="17" t="s">
        <v>10</v>
      </c>
      <c r="K416" t="s">
        <v>1057</v>
      </c>
    </row>
    <row r="417" spans="1:11" x14ac:dyDescent="0.25">
      <c r="A417" s="17" t="s">
        <v>550</v>
      </c>
      <c r="B417" s="17" t="s">
        <v>7</v>
      </c>
      <c r="C417" s="17" t="s">
        <v>29</v>
      </c>
      <c r="D417" s="17" t="s">
        <v>18</v>
      </c>
      <c r="E417">
        <v>10</v>
      </c>
      <c r="F417">
        <v>450000</v>
      </c>
      <c r="G417">
        <v>10000</v>
      </c>
      <c r="H417">
        <v>440000</v>
      </c>
      <c r="I417" s="1">
        <v>46078</v>
      </c>
      <c r="J417" s="17" t="s">
        <v>20</v>
      </c>
      <c r="K417" t="s">
        <v>1057</v>
      </c>
    </row>
    <row r="418" spans="1:11" x14ac:dyDescent="0.25">
      <c r="A418" s="17" t="s">
        <v>551</v>
      </c>
      <c r="B418" s="17" t="s">
        <v>2</v>
      </c>
      <c r="C418" s="17" t="s">
        <v>17</v>
      </c>
      <c r="D418" s="17" t="s">
        <v>32</v>
      </c>
      <c r="E418">
        <v>1</v>
      </c>
      <c r="F418">
        <v>185000</v>
      </c>
      <c r="G418">
        <v>0</v>
      </c>
      <c r="H418">
        <v>185000</v>
      </c>
      <c r="I418" s="1">
        <v>46143</v>
      </c>
      <c r="J418" s="17" t="s">
        <v>33</v>
      </c>
      <c r="K418" t="s">
        <v>1057</v>
      </c>
    </row>
    <row r="419" spans="1:11" x14ac:dyDescent="0.25">
      <c r="A419" s="17" t="s">
        <v>552</v>
      </c>
      <c r="B419" s="17" t="s">
        <v>2</v>
      </c>
      <c r="C419" s="17" t="s">
        <v>3</v>
      </c>
      <c r="D419" s="17" t="s">
        <v>30</v>
      </c>
      <c r="E419">
        <v>6</v>
      </c>
      <c r="F419">
        <v>720000</v>
      </c>
      <c r="G419">
        <v>0</v>
      </c>
      <c r="H419">
        <v>720000</v>
      </c>
      <c r="I419" s="1">
        <v>46083</v>
      </c>
      <c r="J419" s="17" t="s">
        <v>20</v>
      </c>
      <c r="K419" t="s">
        <v>1057</v>
      </c>
    </row>
    <row r="420" spans="1:11" x14ac:dyDescent="0.25">
      <c r="A420" s="17" t="s">
        <v>553</v>
      </c>
      <c r="B420" s="17" t="s">
        <v>2</v>
      </c>
      <c r="C420" s="17" t="s">
        <v>29</v>
      </c>
      <c r="D420" s="17" t="s">
        <v>18</v>
      </c>
      <c r="E420">
        <v>6</v>
      </c>
      <c r="F420">
        <v>270000</v>
      </c>
      <c r="G420">
        <v>0</v>
      </c>
      <c r="H420">
        <v>270000</v>
      </c>
      <c r="I420" s="1">
        <v>46246</v>
      </c>
      <c r="J420" s="17" t="s">
        <v>5</v>
      </c>
      <c r="K420" t="s">
        <v>1057</v>
      </c>
    </row>
    <row r="421" spans="1:11" x14ac:dyDescent="0.25">
      <c r="A421" s="17" t="s">
        <v>554</v>
      </c>
      <c r="B421" s="17" t="s">
        <v>2</v>
      </c>
      <c r="C421" s="17" t="s">
        <v>13</v>
      </c>
      <c r="D421" s="17" t="s">
        <v>30</v>
      </c>
      <c r="E421">
        <v>5</v>
      </c>
      <c r="F421">
        <v>225000</v>
      </c>
      <c r="G421">
        <v>10000</v>
      </c>
      <c r="H421">
        <v>215000</v>
      </c>
      <c r="I421" s="1">
        <v>46071</v>
      </c>
      <c r="J421" s="17" t="s">
        <v>10</v>
      </c>
      <c r="K421" t="s">
        <v>1057</v>
      </c>
    </row>
    <row r="422" spans="1:11" x14ac:dyDescent="0.25">
      <c r="A422" s="17" t="s">
        <v>555</v>
      </c>
      <c r="B422" s="17" t="s">
        <v>12</v>
      </c>
      <c r="C422" s="17" t="s">
        <v>8</v>
      </c>
      <c r="D422" s="17" t="s">
        <v>30</v>
      </c>
      <c r="E422">
        <v>9</v>
      </c>
      <c r="F422">
        <v>2250000</v>
      </c>
      <c r="G422">
        <v>0</v>
      </c>
      <c r="H422">
        <v>2250000</v>
      </c>
      <c r="I422" s="1">
        <v>46041</v>
      </c>
      <c r="J422" s="17" t="s">
        <v>20</v>
      </c>
      <c r="K422" t="s">
        <v>1057</v>
      </c>
    </row>
    <row r="423" spans="1:11" x14ac:dyDescent="0.25">
      <c r="A423" s="17" t="s">
        <v>556</v>
      </c>
      <c r="B423" s="17" t="s">
        <v>12</v>
      </c>
      <c r="C423" s="17" t="s">
        <v>29</v>
      </c>
      <c r="D423" s="17" t="s">
        <v>18</v>
      </c>
      <c r="E423">
        <v>4</v>
      </c>
      <c r="F423">
        <v>300000</v>
      </c>
      <c r="G423">
        <v>10000</v>
      </c>
      <c r="H423">
        <v>290000</v>
      </c>
      <c r="I423" s="1">
        <v>46040</v>
      </c>
      <c r="J423" s="17" t="s">
        <v>5</v>
      </c>
      <c r="K423" t="s">
        <v>1057</v>
      </c>
    </row>
    <row r="424" spans="1:11" x14ac:dyDescent="0.25">
      <c r="A424" s="17" t="s">
        <v>558</v>
      </c>
      <c r="B424" s="17" t="s">
        <v>2</v>
      </c>
      <c r="C424" s="17" t="s">
        <v>3</v>
      </c>
      <c r="D424" s="17" t="s">
        <v>9</v>
      </c>
      <c r="E424">
        <v>5</v>
      </c>
      <c r="F424">
        <v>925000</v>
      </c>
      <c r="G424">
        <v>0</v>
      </c>
      <c r="H424">
        <v>925000</v>
      </c>
      <c r="I424" s="1">
        <v>46103</v>
      </c>
      <c r="J424" s="17" t="s">
        <v>5</v>
      </c>
      <c r="K424" t="s">
        <v>1057</v>
      </c>
    </row>
    <row r="425" spans="1:11" x14ac:dyDescent="0.25">
      <c r="A425" s="17" t="s">
        <v>559</v>
      </c>
      <c r="B425" s="17" t="s">
        <v>7</v>
      </c>
      <c r="C425" s="17" t="s">
        <v>17</v>
      </c>
      <c r="D425" s="17" t="s">
        <v>18</v>
      </c>
      <c r="E425">
        <v>9</v>
      </c>
      <c r="F425">
        <v>675000</v>
      </c>
      <c r="G425">
        <v>0</v>
      </c>
      <c r="H425">
        <v>675000</v>
      </c>
      <c r="I425" s="1">
        <v>46236</v>
      </c>
      <c r="J425" s="17" t="s">
        <v>5</v>
      </c>
      <c r="K425" t="s">
        <v>1057</v>
      </c>
    </row>
    <row r="426" spans="1:11" x14ac:dyDescent="0.25">
      <c r="A426" s="17" t="s">
        <v>560</v>
      </c>
      <c r="B426" s="17" t="s">
        <v>25</v>
      </c>
      <c r="C426" s="17" t="s">
        <v>27</v>
      </c>
      <c r="D426" s="17" t="s">
        <v>18</v>
      </c>
      <c r="E426">
        <v>10</v>
      </c>
      <c r="F426">
        <v>450000</v>
      </c>
      <c r="G426">
        <v>0</v>
      </c>
      <c r="H426">
        <v>450000</v>
      </c>
      <c r="I426" s="1">
        <v>46198</v>
      </c>
      <c r="J426" s="17" t="s">
        <v>5</v>
      </c>
      <c r="K426" t="s">
        <v>1057</v>
      </c>
    </row>
    <row r="427" spans="1:11" x14ac:dyDescent="0.25">
      <c r="A427" s="17" t="s">
        <v>561</v>
      </c>
      <c r="B427" s="17" t="s">
        <v>12</v>
      </c>
      <c r="C427" s="17" t="s">
        <v>13</v>
      </c>
      <c r="D427" s="17" t="s">
        <v>18</v>
      </c>
      <c r="E427">
        <v>1</v>
      </c>
      <c r="F427">
        <v>185000</v>
      </c>
      <c r="G427">
        <v>0</v>
      </c>
      <c r="H427">
        <v>185000</v>
      </c>
      <c r="I427" s="1">
        <v>46182</v>
      </c>
      <c r="J427" s="17" t="s">
        <v>33</v>
      </c>
      <c r="K427" t="s">
        <v>1057</v>
      </c>
    </row>
    <row r="428" spans="1:11" x14ac:dyDescent="0.25">
      <c r="A428" s="17" t="s">
        <v>563</v>
      </c>
      <c r="B428" s="17" t="s">
        <v>7</v>
      </c>
      <c r="C428" s="17" t="s">
        <v>13</v>
      </c>
      <c r="D428" s="17" t="s">
        <v>32</v>
      </c>
      <c r="E428">
        <v>4</v>
      </c>
      <c r="F428">
        <v>180000</v>
      </c>
      <c r="G428">
        <v>15000</v>
      </c>
      <c r="H428">
        <v>165000</v>
      </c>
      <c r="I428" s="1">
        <v>46098</v>
      </c>
      <c r="J428" s="17" t="s">
        <v>10</v>
      </c>
      <c r="K428" t="s">
        <v>1057</v>
      </c>
    </row>
    <row r="429" spans="1:11" x14ac:dyDescent="0.25">
      <c r="A429" s="17" t="s">
        <v>564</v>
      </c>
      <c r="B429" s="17" t="s">
        <v>2</v>
      </c>
      <c r="C429" s="17" t="s">
        <v>27</v>
      </c>
      <c r="D429" s="17" t="s">
        <v>18</v>
      </c>
      <c r="E429">
        <v>4</v>
      </c>
      <c r="F429">
        <v>1000000</v>
      </c>
      <c r="G429">
        <v>15000</v>
      </c>
      <c r="H429">
        <v>985000</v>
      </c>
      <c r="I429" s="1">
        <v>46102</v>
      </c>
      <c r="J429" s="17" t="s">
        <v>33</v>
      </c>
      <c r="K429" t="s">
        <v>1057</v>
      </c>
    </row>
    <row r="430" spans="1:11" x14ac:dyDescent="0.25">
      <c r="A430" s="17" t="s">
        <v>565</v>
      </c>
      <c r="B430" s="17" t="s">
        <v>7</v>
      </c>
      <c r="C430" s="17" t="s">
        <v>13</v>
      </c>
      <c r="D430" s="17" t="s">
        <v>4</v>
      </c>
      <c r="E430">
        <v>9</v>
      </c>
      <c r="F430">
        <v>405000</v>
      </c>
      <c r="G430">
        <v>0</v>
      </c>
      <c r="H430">
        <v>405000</v>
      </c>
      <c r="I430" s="1">
        <v>46030</v>
      </c>
      <c r="J430" s="17" t="s">
        <v>5</v>
      </c>
      <c r="K430" t="s">
        <v>1057</v>
      </c>
    </row>
    <row r="431" spans="1:11" x14ac:dyDescent="0.25">
      <c r="A431" s="17" t="s">
        <v>567</v>
      </c>
      <c r="B431" s="17" t="s">
        <v>12</v>
      </c>
      <c r="C431" s="17" t="s">
        <v>8</v>
      </c>
      <c r="D431" s="17" t="s">
        <v>30</v>
      </c>
      <c r="E431">
        <v>10</v>
      </c>
      <c r="F431">
        <v>1850000</v>
      </c>
      <c r="G431">
        <v>0</v>
      </c>
      <c r="H431">
        <v>1850000</v>
      </c>
      <c r="I431" s="1">
        <v>46206</v>
      </c>
      <c r="J431" s="17" t="s">
        <v>33</v>
      </c>
      <c r="K431" t="s">
        <v>1057</v>
      </c>
    </row>
    <row r="432" spans="1:11" x14ac:dyDescent="0.25">
      <c r="A432" s="17" t="s">
        <v>568</v>
      </c>
      <c r="B432" s="17" t="s">
        <v>12</v>
      </c>
      <c r="C432" s="17" t="s">
        <v>3</v>
      </c>
      <c r="D432" s="17" t="s">
        <v>4</v>
      </c>
      <c r="E432">
        <v>10</v>
      </c>
      <c r="F432">
        <v>2500000</v>
      </c>
      <c r="G432">
        <v>0</v>
      </c>
      <c r="H432">
        <v>2500000</v>
      </c>
      <c r="I432" s="1">
        <v>46193</v>
      </c>
      <c r="J432" s="17" t="s">
        <v>33</v>
      </c>
      <c r="K432" t="s">
        <v>1057</v>
      </c>
    </row>
    <row r="433" spans="1:11" x14ac:dyDescent="0.25">
      <c r="A433" s="17" t="s">
        <v>569</v>
      </c>
      <c r="B433" s="17" t="s">
        <v>12</v>
      </c>
      <c r="C433" s="17" t="s">
        <v>8</v>
      </c>
      <c r="D433" s="17" t="s">
        <v>30</v>
      </c>
      <c r="E433">
        <v>5</v>
      </c>
      <c r="F433">
        <v>225000</v>
      </c>
      <c r="G433">
        <v>0</v>
      </c>
      <c r="H433">
        <v>225000</v>
      </c>
      <c r="I433" s="1">
        <v>46108</v>
      </c>
      <c r="J433" s="17" t="s">
        <v>20</v>
      </c>
      <c r="K433" t="s">
        <v>1057</v>
      </c>
    </row>
    <row r="434" spans="1:11" x14ac:dyDescent="0.25">
      <c r="A434" s="17" t="s">
        <v>570</v>
      </c>
      <c r="B434" s="17" t="s">
        <v>2</v>
      </c>
      <c r="C434" s="17" t="s">
        <v>29</v>
      </c>
      <c r="D434" s="17" t="s">
        <v>18</v>
      </c>
      <c r="E434">
        <v>8</v>
      </c>
      <c r="F434">
        <v>2000000</v>
      </c>
      <c r="G434">
        <v>0</v>
      </c>
      <c r="H434">
        <v>2000000</v>
      </c>
      <c r="I434" s="1">
        <v>46069</v>
      </c>
      <c r="J434" s="17" t="s">
        <v>10</v>
      </c>
      <c r="K434" t="s">
        <v>1057</v>
      </c>
    </row>
    <row r="435" spans="1:11" x14ac:dyDescent="0.25">
      <c r="A435" s="17" t="s">
        <v>571</v>
      </c>
      <c r="B435" s="17" t="s">
        <v>2</v>
      </c>
      <c r="C435" s="17" t="s">
        <v>8</v>
      </c>
      <c r="D435" s="17" t="s">
        <v>30</v>
      </c>
      <c r="E435">
        <v>5</v>
      </c>
      <c r="F435">
        <v>600000</v>
      </c>
      <c r="G435">
        <v>15000</v>
      </c>
      <c r="H435">
        <v>585000</v>
      </c>
      <c r="I435" s="1">
        <v>46045</v>
      </c>
      <c r="J435" s="17" t="s">
        <v>10</v>
      </c>
      <c r="K435" t="s">
        <v>1057</v>
      </c>
    </row>
    <row r="436" spans="1:11" x14ac:dyDescent="0.25">
      <c r="A436" s="17" t="s">
        <v>572</v>
      </c>
      <c r="B436" s="17" t="s">
        <v>12</v>
      </c>
      <c r="C436" s="17" t="s">
        <v>27</v>
      </c>
      <c r="D436" s="17" t="s">
        <v>30</v>
      </c>
      <c r="E436">
        <v>7</v>
      </c>
      <c r="F436">
        <v>840000</v>
      </c>
      <c r="G436">
        <v>15000</v>
      </c>
      <c r="H436">
        <v>825000</v>
      </c>
      <c r="I436" s="1">
        <v>46061</v>
      </c>
      <c r="J436" s="17" t="s">
        <v>10</v>
      </c>
      <c r="K436" t="s">
        <v>1057</v>
      </c>
    </row>
    <row r="437" spans="1:11" x14ac:dyDescent="0.25">
      <c r="A437" s="17" t="s">
        <v>573</v>
      </c>
      <c r="B437" s="17" t="s">
        <v>25</v>
      </c>
      <c r="C437" s="17" t="s">
        <v>27</v>
      </c>
      <c r="D437" s="17" t="s">
        <v>30</v>
      </c>
      <c r="E437">
        <v>1</v>
      </c>
      <c r="F437">
        <v>45000</v>
      </c>
      <c r="G437">
        <v>0</v>
      </c>
      <c r="H437">
        <v>45000</v>
      </c>
      <c r="I437" s="1">
        <v>46159</v>
      </c>
      <c r="J437" s="17" t="s">
        <v>33</v>
      </c>
      <c r="K437" t="s">
        <v>1057</v>
      </c>
    </row>
    <row r="438" spans="1:11" x14ac:dyDescent="0.25">
      <c r="A438" s="17" t="s">
        <v>574</v>
      </c>
      <c r="B438" s="17" t="s">
        <v>7</v>
      </c>
      <c r="C438" s="17" t="s">
        <v>13</v>
      </c>
      <c r="D438" s="17" t="s">
        <v>4</v>
      </c>
      <c r="E438">
        <v>10</v>
      </c>
      <c r="F438">
        <v>750000</v>
      </c>
      <c r="G438">
        <v>0</v>
      </c>
      <c r="H438">
        <v>750000</v>
      </c>
      <c r="I438" s="1">
        <v>46227</v>
      </c>
      <c r="J438" s="17" t="s">
        <v>10</v>
      </c>
      <c r="K438" t="s">
        <v>1057</v>
      </c>
    </row>
    <row r="439" spans="1:11" x14ac:dyDescent="0.25">
      <c r="A439" s="17" t="s">
        <v>575</v>
      </c>
      <c r="B439" s="17" t="s">
        <v>7</v>
      </c>
      <c r="C439" s="17" t="s">
        <v>3</v>
      </c>
      <c r="D439" s="17" t="s">
        <v>18</v>
      </c>
      <c r="E439">
        <v>4</v>
      </c>
      <c r="F439">
        <v>180000</v>
      </c>
      <c r="G439">
        <v>0</v>
      </c>
      <c r="H439">
        <v>180000</v>
      </c>
      <c r="I439" s="1">
        <v>46034</v>
      </c>
      <c r="J439" s="17" t="s">
        <v>5</v>
      </c>
      <c r="K439" t="s">
        <v>1057</v>
      </c>
    </row>
    <row r="440" spans="1:11" x14ac:dyDescent="0.25">
      <c r="A440" s="17" t="s">
        <v>576</v>
      </c>
      <c r="B440" s="17" t="s">
        <v>25</v>
      </c>
      <c r="C440" s="17" t="s">
        <v>27</v>
      </c>
      <c r="D440" s="17" t="s">
        <v>9</v>
      </c>
      <c r="E440">
        <v>6</v>
      </c>
      <c r="F440">
        <v>450000</v>
      </c>
      <c r="G440">
        <v>0</v>
      </c>
      <c r="H440">
        <v>450000</v>
      </c>
      <c r="I440" s="1">
        <v>46029</v>
      </c>
      <c r="J440" s="17" t="s">
        <v>5</v>
      </c>
      <c r="K440" t="s">
        <v>1057</v>
      </c>
    </row>
    <row r="441" spans="1:11" x14ac:dyDescent="0.25">
      <c r="A441" s="17" t="s">
        <v>577</v>
      </c>
      <c r="B441" s="17" t="s">
        <v>25</v>
      </c>
      <c r="C441" s="17" t="s">
        <v>29</v>
      </c>
      <c r="D441" s="17" t="s">
        <v>30</v>
      </c>
      <c r="E441">
        <v>9</v>
      </c>
      <c r="F441">
        <v>1080000</v>
      </c>
      <c r="G441">
        <v>0</v>
      </c>
      <c r="H441">
        <v>1080000</v>
      </c>
      <c r="I441" s="1">
        <v>46182</v>
      </c>
      <c r="J441" s="17" t="s">
        <v>33</v>
      </c>
      <c r="K441" t="s">
        <v>1057</v>
      </c>
    </row>
    <row r="442" spans="1:11" x14ac:dyDescent="0.25">
      <c r="A442" s="17" t="s">
        <v>578</v>
      </c>
      <c r="B442" s="17" t="s">
        <v>25</v>
      </c>
      <c r="C442" s="17" t="s">
        <v>8</v>
      </c>
      <c r="D442" s="17" t="s">
        <v>4</v>
      </c>
      <c r="E442">
        <v>9</v>
      </c>
      <c r="F442">
        <v>1080000</v>
      </c>
      <c r="G442">
        <v>5000</v>
      </c>
      <c r="H442">
        <v>1075000</v>
      </c>
      <c r="I442" s="1">
        <v>46071</v>
      </c>
      <c r="J442" s="17" t="s">
        <v>5</v>
      </c>
      <c r="K442" t="s">
        <v>1057</v>
      </c>
    </row>
    <row r="443" spans="1:11" x14ac:dyDescent="0.25">
      <c r="A443" s="17" t="s">
        <v>579</v>
      </c>
      <c r="B443" s="17" t="s">
        <v>7</v>
      </c>
      <c r="C443" s="17" t="s">
        <v>17</v>
      </c>
      <c r="D443" s="17" t="s">
        <v>18</v>
      </c>
      <c r="E443">
        <v>9</v>
      </c>
      <c r="F443">
        <v>2250000</v>
      </c>
      <c r="G443">
        <v>10000</v>
      </c>
      <c r="H443">
        <v>2240000</v>
      </c>
      <c r="I443" s="1">
        <v>46230</v>
      </c>
      <c r="J443" s="17" t="s">
        <v>33</v>
      </c>
      <c r="K443" t="s">
        <v>1057</v>
      </c>
    </row>
    <row r="444" spans="1:11" x14ac:dyDescent="0.25">
      <c r="A444" s="17" t="s">
        <v>580</v>
      </c>
      <c r="B444" s="17" t="s">
        <v>12</v>
      </c>
      <c r="C444" s="17" t="s">
        <v>13</v>
      </c>
      <c r="D444" s="17" t="s">
        <v>32</v>
      </c>
      <c r="E444">
        <v>5</v>
      </c>
      <c r="F444">
        <v>1250000</v>
      </c>
      <c r="G444">
        <v>0</v>
      </c>
      <c r="H444">
        <v>1250000</v>
      </c>
      <c r="I444" s="1">
        <v>46131</v>
      </c>
      <c r="J444" s="17" t="s">
        <v>33</v>
      </c>
      <c r="K444" t="s">
        <v>1057</v>
      </c>
    </row>
    <row r="445" spans="1:11" x14ac:dyDescent="0.25">
      <c r="A445" s="17" t="s">
        <v>581</v>
      </c>
      <c r="B445" s="17" t="s">
        <v>12</v>
      </c>
      <c r="C445" s="17" t="s">
        <v>8</v>
      </c>
      <c r="D445" s="17" t="s">
        <v>30</v>
      </c>
      <c r="E445">
        <v>8</v>
      </c>
      <c r="F445">
        <v>1480000</v>
      </c>
      <c r="G445">
        <v>0</v>
      </c>
      <c r="H445">
        <v>1480000</v>
      </c>
      <c r="I445" s="1">
        <v>46131</v>
      </c>
      <c r="J445" s="17" t="s">
        <v>33</v>
      </c>
      <c r="K445" t="s">
        <v>1057</v>
      </c>
    </row>
    <row r="446" spans="1:11" x14ac:dyDescent="0.25">
      <c r="A446" s="17" t="s">
        <v>582</v>
      </c>
      <c r="B446" s="17" t="s">
        <v>2</v>
      </c>
      <c r="C446" s="17" t="s">
        <v>29</v>
      </c>
      <c r="D446" s="17" t="s">
        <v>30</v>
      </c>
      <c r="E446">
        <v>4</v>
      </c>
      <c r="F446">
        <v>1000000</v>
      </c>
      <c r="G446">
        <v>0</v>
      </c>
      <c r="H446">
        <v>1000000</v>
      </c>
      <c r="I446" s="1">
        <v>46095</v>
      </c>
      <c r="J446" s="17" t="s">
        <v>10</v>
      </c>
      <c r="K446" t="s">
        <v>1057</v>
      </c>
    </row>
    <row r="447" spans="1:11" x14ac:dyDescent="0.25">
      <c r="A447" s="17" t="s">
        <v>583</v>
      </c>
      <c r="B447" s="17" t="s">
        <v>2</v>
      </c>
      <c r="C447" s="17" t="s">
        <v>3</v>
      </c>
      <c r="D447" s="17" t="s">
        <v>9</v>
      </c>
      <c r="E447">
        <v>6</v>
      </c>
      <c r="F447">
        <v>270000</v>
      </c>
      <c r="G447">
        <v>0</v>
      </c>
      <c r="H447">
        <v>270000</v>
      </c>
      <c r="I447" s="1">
        <v>46197</v>
      </c>
      <c r="J447" s="17" t="s">
        <v>20</v>
      </c>
      <c r="K447" t="s">
        <v>1057</v>
      </c>
    </row>
    <row r="448" spans="1:11" x14ac:dyDescent="0.25">
      <c r="A448" s="17" t="s">
        <v>584</v>
      </c>
      <c r="B448" s="17" t="s">
        <v>7</v>
      </c>
      <c r="C448" s="17" t="s">
        <v>13</v>
      </c>
      <c r="D448" s="17" t="s">
        <v>18</v>
      </c>
      <c r="E448">
        <v>7</v>
      </c>
      <c r="F448">
        <v>525000</v>
      </c>
      <c r="G448">
        <v>0</v>
      </c>
      <c r="H448">
        <v>525000</v>
      </c>
      <c r="I448" s="1">
        <v>46036</v>
      </c>
      <c r="J448" s="17" t="s">
        <v>20</v>
      </c>
      <c r="K448" t="s">
        <v>1057</v>
      </c>
    </row>
    <row r="449" spans="1:11" x14ac:dyDescent="0.25">
      <c r="A449" s="17" t="s">
        <v>585</v>
      </c>
      <c r="B449" s="17" t="s">
        <v>12</v>
      </c>
      <c r="C449" s="17" t="s">
        <v>27</v>
      </c>
      <c r="D449" s="17" t="s">
        <v>18</v>
      </c>
      <c r="E449">
        <v>3</v>
      </c>
      <c r="F449">
        <v>135000</v>
      </c>
      <c r="G449">
        <v>0</v>
      </c>
      <c r="H449">
        <v>135000</v>
      </c>
      <c r="I449" s="1">
        <v>46081</v>
      </c>
      <c r="J449" s="17" t="s">
        <v>10</v>
      </c>
      <c r="K449" t="s">
        <v>1057</v>
      </c>
    </row>
    <row r="450" spans="1:11" x14ac:dyDescent="0.25">
      <c r="A450" s="17" t="s">
        <v>586</v>
      </c>
      <c r="B450" s="17" t="s">
        <v>25</v>
      </c>
      <c r="C450" s="17" t="s">
        <v>8</v>
      </c>
      <c r="D450" s="17" t="s">
        <v>18</v>
      </c>
      <c r="E450">
        <v>8</v>
      </c>
      <c r="F450">
        <v>1480000</v>
      </c>
      <c r="G450">
        <v>5000</v>
      </c>
      <c r="H450">
        <v>1475000</v>
      </c>
      <c r="I450" s="1">
        <v>46086</v>
      </c>
      <c r="J450" s="17" t="s">
        <v>33</v>
      </c>
      <c r="K450" t="s">
        <v>1057</v>
      </c>
    </row>
    <row r="451" spans="1:11" x14ac:dyDescent="0.25">
      <c r="A451" s="17" t="s">
        <v>587</v>
      </c>
      <c r="B451" s="17" t="s">
        <v>7</v>
      </c>
      <c r="C451" s="17" t="s">
        <v>27</v>
      </c>
      <c r="D451" s="17" t="s">
        <v>4</v>
      </c>
      <c r="E451">
        <v>6</v>
      </c>
      <c r="F451">
        <v>720000</v>
      </c>
      <c r="G451">
        <v>0</v>
      </c>
      <c r="H451">
        <v>720000</v>
      </c>
      <c r="I451" s="1">
        <v>46039</v>
      </c>
      <c r="J451" s="17" t="s">
        <v>5</v>
      </c>
      <c r="K451" t="s">
        <v>1057</v>
      </c>
    </row>
    <row r="452" spans="1:11" x14ac:dyDescent="0.25">
      <c r="A452" s="17" t="s">
        <v>589</v>
      </c>
      <c r="B452" s="17" t="s">
        <v>2</v>
      </c>
      <c r="C452" s="17" t="s">
        <v>8</v>
      </c>
      <c r="D452" s="17" t="s">
        <v>9</v>
      </c>
      <c r="E452">
        <v>8</v>
      </c>
      <c r="F452">
        <v>960000</v>
      </c>
      <c r="G452">
        <v>10000</v>
      </c>
      <c r="H452">
        <v>950000</v>
      </c>
      <c r="I452" s="1">
        <v>46128</v>
      </c>
      <c r="J452" s="17" t="s">
        <v>33</v>
      </c>
      <c r="K452" t="s">
        <v>1057</v>
      </c>
    </row>
    <row r="453" spans="1:11" x14ac:dyDescent="0.25">
      <c r="A453" s="17" t="s">
        <v>590</v>
      </c>
      <c r="B453" s="17" t="s">
        <v>2</v>
      </c>
      <c r="C453" s="17" t="s">
        <v>13</v>
      </c>
      <c r="D453" s="17" t="s">
        <v>32</v>
      </c>
      <c r="E453">
        <v>7</v>
      </c>
      <c r="F453">
        <v>315000</v>
      </c>
      <c r="G453">
        <v>0</v>
      </c>
      <c r="H453">
        <v>315000</v>
      </c>
      <c r="I453" s="1">
        <v>46103</v>
      </c>
      <c r="J453" s="17" t="s">
        <v>33</v>
      </c>
      <c r="K453" t="s">
        <v>1057</v>
      </c>
    </row>
    <row r="454" spans="1:11" x14ac:dyDescent="0.25">
      <c r="A454" s="17" t="s">
        <v>591</v>
      </c>
      <c r="B454" s="17" t="s">
        <v>25</v>
      </c>
      <c r="C454" s="17" t="s">
        <v>3</v>
      </c>
      <c r="D454" s="17" t="s">
        <v>18</v>
      </c>
      <c r="E454">
        <v>4</v>
      </c>
      <c r="F454">
        <v>300000</v>
      </c>
      <c r="G454">
        <v>0</v>
      </c>
      <c r="H454">
        <v>300000</v>
      </c>
      <c r="I454" s="1">
        <v>46027</v>
      </c>
      <c r="J454" s="17" t="s">
        <v>10</v>
      </c>
      <c r="K454" t="s">
        <v>1057</v>
      </c>
    </row>
    <row r="455" spans="1:11" x14ac:dyDescent="0.25">
      <c r="A455" s="17" t="s">
        <v>592</v>
      </c>
      <c r="B455" s="17" t="s">
        <v>2</v>
      </c>
      <c r="C455" s="17" t="s">
        <v>13</v>
      </c>
      <c r="D455" s="17" t="s">
        <v>32</v>
      </c>
      <c r="E455">
        <v>8</v>
      </c>
      <c r="F455">
        <v>1480000</v>
      </c>
      <c r="G455">
        <v>0</v>
      </c>
      <c r="H455">
        <v>1480000</v>
      </c>
      <c r="I455" s="1">
        <v>46257</v>
      </c>
      <c r="J455" s="17" t="s">
        <v>20</v>
      </c>
      <c r="K455" t="s">
        <v>1057</v>
      </c>
    </row>
    <row r="456" spans="1:11" x14ac:dyDescent="0.25">
      <c r="A456" s="17" t="s">
        <v>593</v>
      </c>
      <c r="B456" s="17" t="s">
        <v>12</v>
      </c>
      <c r="C456" s="17" t="s">
        <v>8</v>
      </c>
      <c r="D456" s="17" t="s">
        <v>18</v>
      </c>
      <c r="E456">
        <v>5</v>
      </c>
      <c r="F456">
        <v>375000</v>
      </c>
      <c r="G456">
        <v>0</v>
      </c>
      <c r="H456">
        <v>375000</v>
      </c>
      <c r="I456" s="1">
        <v>46165</v>
      </c>
      <c r="J456" s="17" t="s">
        <v>5</v>
      </c>
      <c r="K456" t="s">
        <v>1057</v>
      </c>
    </row>
    <row r="457" spans="1:11" x14ac:dyDescent="0.25">
      <c r="A457" s="17" t="s">
        <v>596</v>
      </c>
      <c r="B457" s="17" t="s">
        <v>7</v>
      </c>
      <c r="C457" s="17" t="s">
        <v>3</v>
      </c>
      <c r="D457" s="17" t="s">
        <v>30</v>
      </c>
      <c r="E457">
        <v>4</v>
      </c>
      <c r="F457">
        <v>1000000</v>
      </c>
      <c r="G457">
        <v>10000</v>
      </c>
      <c r="H457">
        <v>990000</v>
      </c>
      <c r="I457" s="1">
        <v>46062</v>
      </c>
      <c r="J457" s="17" t="s">
        <v>5</v>
      </c>
      <c r="K457" t="s">
        <v>1057</v>
      </c>
    </row>
    <row r="458" spans="1:11" x14ac:dyDescent="0.25">
      <c r="A458" s="17" t="s">
        <v>597</v>
      </c>
      <c r="B458" s="17" t="s">
        <v>2</v>
      </c>
      <c r="C458" s="17" t="s">
        <v>3</v>
      </c>
      <c r="D458" s="17" t="s">
        <v>32</v>
      </c>
      <c r="E458">
        <v>6</v>
      </c>
      <c r="F458">
        <v>720000</v>
      </c>
      <c r="G458">
        <v>0</v>
      </c>
      <c r="H458">
        <v>720000</v>
      </c>
      <c r="I458" s="1">
        <v>46196</v>
      </c>
      <c r="J458" s="17" t="s">
        <v>20</v>
      </c>
      <c r="K458" t="s">
        <v>1057</v>
      </c>
    </row>
    <row r="459" spans="1:11" x14ac:dyDescent="0.25">
      <c r="A459" s="17" t="s">
        <v>598</v>
      </c>
      <c r="B459" s="17" t="s">
        <v>2</v>
      </c>
      <c r="C459" s="17" t="s">
        <v>29</v>
      </c>
      <c r="D459" s="17" t="s">
        <v>30</v>
      </c>
      <c r="E459">
        <v>8</v>
      </c>
      <c r="F459">
        <v>360000</v>
      </c>
      <c r="G459">
        <v>0</v>
      </c>
      <c r="H459">
        <v>360000</v>
      </c>
      <c r="I459" s="1">
        <v>46211</v>
      </c>
      <c r="J459" s="17" t="s">
        <v>5</v>
      </c>
      <c r="K459" t="s">
        <v>1057</v>
      </c>
    </row>
    <row r="460" spans="1:11" x14ac:dyDescent="0.25">
      <c r="A460" s="17" t="s">
        <v>599</v>
      </c>
      <c r="B460" s="17" t="s">
        <v>2</v>
      </c>
      <c r="C460" s="17" t="s">
        <v>13</v>
      </c>
      <c r="D460" s="17" t="s">
        <v>9</v>
      </c>
      <c r="E460">
        <v>5</v>
      </c>
      <c r="F460">
        <v>600000</v>
      </c>
      <c r="G460">
        <v>0</v>
      </c>
      <c r="H460">
        <v>600000</v>
      </c>
      <c r="I460" s="1">
        <v>46145</v>
      </c>
      <c r="J460" s="17" t="s">
        <v>20</v>
      </c>
      <c r="K460" t="s">
        <v>1057</v>
      </c>
    </row>
    <row r="461" spans="1:11" x14ac:dyDescent="0.25">
      <c r="A461" s="17" t="s">
        <v>600</v>
      </c>
      <c r="B461" s="17" t="s">
        <v>7</v>
      </c>
      <c r="C461" s="17" t="s">
        <v>27</v>
      </c>
      <c r="D461" s="17" t="s">
        <v>18</v>
      </c>
      <c r="E461">
        <v>2</v>
      </c>
      <c r="F461">
        <v>90000</v>
      </c>
      <c r="G461">
        <v>0</v>
      </c>
      <c r="H461">
        <v>90000</v>
      </c>
      <c r="I461" s="1">
        <v>46123</v>
      </c>
      <c r="J461" s="17" t="s">
        <v>5</v>
      </c>
      <c r="K461" t="s">
        <v>1057</v>
      </c>
    </row>
    <row r="462" spans="1:11" x14ac:dyDescent="0.25">
      <c r="A462" s="17" t="s">
        <v>601</v>
      </c>
      <c r="B462" s="17" t="s">
        <v>12</v>
      </c>
      <c r="C462" s="17" t="s">
        <v>29</v>
      </c>
      <c r="D462" s="17" t="s">
        <v>30</v>
      </c>
      <c r="E462">
        <v>5</v>
      </c>
      <c r="F462">
        <v>375000</v>
      </c>
      <c r="G462">
        <v>0</v>
      </c>
      <c r="H462">
        <v>375000</v>
      </c>
      <c r="I462" s="1">
        <v>46144</v>
      </c>
      <c r="J462" s="17" t="s">
        <v>10</v>
      </c>
      <c r="K462" t="s">
        <v>1057</v>
      </c>
    </row>
    <row r="463" spans="1:11" x14ac:dyDescent="0.25">
      <c r="A463" s="17" t="s">
        <v>602</v>
      </c>
      <c r="B463" s="17" t="s">
        <v>2</v>
      </c>
      <c r="C463" s="17" t="s">
        <v>8</v>
      </c>
      <c r="D463" s="17" t="s">
        <v>18</v>
      </c>
      <c r="E463">
        <v>7</v>
      </c>
      <c r="F463">
        <v>1295000</v>
      </c>
      <c r="G463">
        <v>15000</v>
      </c>
      <c r="H463">
        <v>1280000</v>
      </c>
      <c r="I463" s="1">
        <v>46205</v>
      </c>
      <c r="J463" s="17" t="s">
        <v>5</v>
      </c>
      <c r="K463" t="s">
        <v>1057</v>
      </c>
    </row>
    <row r="464" spans="1:11" x14ac:dyDescent="0.25">
      <c r="A464" s="17" t="s">
        <v>603</v>
      </c>
      <c r="B464" s="17" t="s">
        <v>25</v>
      </c>
      <c r="C464" s="17" t="s">
        <v>27</v>
      </c>
      <c r="D464" s="17" t="s">
        <v>30</v>
      </c>
      <c r="E464">
        <v>4</v>
      </c>
      <c r="F464">
        <v>300000</v>
      </c>
      <c r="G464">
        <v>0</v>
      </c>
      <c r="H464">
        <v>300000</v>
      </c>
      <c r="I464" s="1">
        <v>46192</v>
      </c>
      <c r="J464" s="17" t="s">
        <v>5</v>
      </c>
      <c r="K464" t="s">
        <v>1057</v>
      </c>
    </row>
    <row r="465" spans="1:11" x14ac:dyDescent="0.25">
      <c r="A465" s="17" t="s">
        <v>604</v>
      </c>
      <c r="B465" s="17" t="s">
        <v>12</v>
      </c>
      <c r="C465" s="17" t="s">
        <v>13</v>
      </c>
      <c r="D465" s="17" t="s">
        <v>30</v>
      </c>
      <c r="E465">
        <v>4</v>
      </c>
      <c r="F465">
        <v>480000</v>
      </c>
      <c r="G465">
        <v>0</v>
      </c>
      <c r="H465">
        <v>480000</v>
      </c>
      <c r="I465" s="1">
        <v>46026</v>
      </c>
      <c r="J465" s="17" t="s">
        <v>33</v>
      </c>
      <c r="K465" t="s">
        <v>1057</v>
      </c>
    </row>
    <row r="466" spans="1:11" x14ac:dyDescent="0.25">
      <c r="A466" s="17" t="s">
        <v>605</v>
      </c>
      <c r="B466" s="17" t="s">
        <v>2</v>
      </c>
      <c r="C466" s="17" t="s">
        <v>29</v>
      </c>
      <c r="D466" s="17" t="s">
        <v>30</v>
      </c>
      <c r="E466">
        <v>8</v>
      </c>
      <c r="F466">
        <v>1480000</v>
      </c>
      <c r="G466">
        <v>0</v>
      </c>
      <c r="H466">
        <v>1480000</v>
      </c>
      <c r="I466" s="1">
        <v>46126</v>
      </c>
      <c r="J466" s="17" t="s">
        <v>5</v>
      </c>
      <c r="K466" t="s">
        <v>1057</v>
      </c>
    </row>
    <row r="467" spans="1:11" x14ac:dyDescent="0.25">
      <c r="A467" s="17" t="s">
        <v>606</v>
      </c>
      <c r="B467" s="17" t="s">
        <v>7</v>
      </c>
      <c r="C467" s="17" t="s">
        <v>17</v>
      </c>
      <c r="D467" s="17" t="s">
        <v>4</v>
      </c>
      <c r="E467">
        <v>6</v>
      </c>
      <c r="F467">
        <v>1500000</v>
      </c>
      <c r="G467">
        <v>0</v>
      </c>
      <c r="H467">
        <v>1500000</v>
      </c>
      <c r="I467" s="1">
        <v>46194</v>
      </c>
      <c r="J467" s="17" t="s">
        <v>5</v>
      </c>
      <c r="K467" t="s">
        <v>1057</v>
      </c>
    </row>
    <row r="468" spans="1:11" x14ac:dyDescent="0.25">
      <c r="A468" s="17" t="s">
        <v>607</v>
      </c>
      <c r="B468" s="17" t="s">
        <v>2</v>
      </c>
      <c r="C468" s="17" t="s">
        <v>8</v>
      </c>
      <c r="D468" s="17" t="s">
        <v>32</v>
      </c>
      <c r="E468">
        <v>5</v>
      </c>
      <c r="F468">
        <v>1250000</v>
      </c>
      <c r="G468">
        <v>0</v>
      </c>
      <c r="H468">
        <v>1250000</v>
      </c>
      <c r="I468" s="1">
        <v>46246</v>
      </c>
      <c r="J468" s="17" t="s">
        <v>20</v>
      </c>
      <c r="K468" t="s">
        <v>1057</v>
      </c>
    </row>
    <row r="469" spans="1:11" x14ac:dyDescent="0.25">
      <c r="A469" s="17" t="s">
        <v>608</v>
      </c>
      <c r="B469" s="17" t="s">
        <v>25</v>
      </c>
      <c r="C469" s="17" t="s">
        <v>13</v>
      </c>
      <c r="D469" s="17" t="s">
        <v>32</v>
      </c>
      <c r="E469">
        <v>9</v>
      </c>
      <c r="F469">
        <v>675000</v>
      </c>
      <c r="G469">
        <v>0</v>
      </c>
      <c r="H469">
        <v>675000</v>
      </c>
      <c r="I469" s="1">
        <v>46164</v>
      </c>
      <c r="J469" s="17" t="s">
        <v>33</v>
      </c>
      <c r="K469" t="s">
        <v>1057</v>
      </c>
    </row>
    <row r="470" spans="1:11" x14ac:dyDescent="0.25">
      <c r="A470" s="17" t="s">
        <v>609</v>
      </c>
      <c r="B470" s="17" t="s">
        <v>7</v>
      </c>
      <c r="C470" s="17" t="s">
        <v>8</v>
      </c>
      <c r="D470" s="17" t="s">
        <v>4</v>
      </c>
      <c r="E470">
        <v>7</v>
      </c>
      <c r="F470">
        <v>525000</v>
      </c>
      <c r="G470">
        <v>10000</v>
      </c>
      <c r="H470">
        <v>515000</v>
      </c>
      <c r="I470" s="1">
        <v>46069</v>
      </c>
      <c r="J470" s="17" t="s">
        <v>20</v>
      </c>
      <c r="K470" t="s">
        <v>1057</v>
      </c>
    </row>
    <row r="471" spans="1:11" x14ac:dyDescent="0.25">
      <c r="A471" s="17" t="s">
        <v>610</v>
      </c>
      <c r="B471" s="17" t="s">
        <v>2</v>
      </c>
      <c r="C471" s="17" t="s">
        <v>17</v>
      </c>
      <c r="D471" s="17" t="s">
        <v>18</v>
      </c>
      <c r="E471">
        <v>10</v>
      </c>
      <c r="F471">
        <v>1200000</v>
      </c>
      <c r="G471">
        <v>0</v>
      </c>
      <c r="H471">
        <v>1200000</v>
      </c>
      <c r="I471" s="1">
        <v>46025</v>
      </c>
      <c r="J471" s="17" t="s">
        <v>20</v>
      </c>
      <c r="K471" t="s">
        <v>1057</v>
      </c>
    </row>
    <row r="472" spans="1:11" x14ac:dyDescent="0.25">
      <c r="A472" s="17" t="s">
        <v>611</v>
      </c>
      <c r="B472" s="17" t="s">
        <v>7</v>
      </c>
      <c r="C472" s="17" t="s">
        <v>27</v>
      </c>
      <c r="D472" s="17" t="s">
        <v>32</v>
      </c>
      <c r="E472">
        <v>8</v>
      </c>
      <c r="F472">
        <v>1480000</v>
      </c>
      <c r="G472">
        <v>0</v>
      </c>
      <c r="H472">
        <v>1480000</v>
      </c>
      <c r="I472" s="1">
        <v>46074</v>
      </c>
      <c r="J472" s="17" t="s">
        <v>33</v>
      </c>
      <c r="K472" t="s">
        <v>1057</v>
      </c>
    </row>
    <row r="473" spans="1:11" x14ac:dyDescent="0.25">
      <c r="A473" s="17" t="s">
        <v>612</v>
      </c>
      <c r="B473" s="17" t="s">
        <v>2</v>
      </c>
      <c r="C473" s="17" t="s">
        <v>29</v>
      </c>
      <c r="D473" s="17" t="s">
        <v>30</v>
      </c>
      <c r="E473">
        <v>8</v>
      </c>
      <c r="F473">
        <v>960000</v>
      </c>
      <c r="G473">
        <v>10000</v>
      </c>
      <c r="H473">
        <v>950000</v>
      </c>
      <c r="I473" s="1">
        <v>46038</v>
      </c>
      <c r="J473" s="17" t="s">
        <v>20</v>
      </c>
      <c r="K473" t="s">
        <v>1057</v>
      </c>
    </row>
    <row r="474" spans="1:11" x14ac:dyDescent="0.25">
      <c r="A474" s="17" t="s">
        <v>613</v>
      </c>
      <c r="B474" s="17" t="s">
        <v>7</v>
      </c>
      <c r="C474" s="17" t="s">
        <v>13</v>
      </c>
      <c r="D474" s="17" t="s">
        <v>9</v>
      </c>
      <c r="E474">
        <v>2</v>
      </c>
      <c r="F474">
        <v>370000</v>
      </c>
      <c r="G474">
        <v>5000</v>
      </c>
      <c r="H474">
        <v>365000</v>
      </c>
      <c r="I474" s="1">
        <v>46178</v>
      </c>
      <c r="J474" s="17" t="s">
        <v>33</v>
      </c>
      <c r="K474" t="s">
        <v>1057</v>
      </c>
    </row>
    <row r="475" spans="1:11" x14ac:dyDescent="0.25">
      <c r="A475" s="17" t="s">
        <v>614</v>
      </c>
      <c r="B475" s="17" t="s">
        <v>2</v>
      </c>
      <c r="C475" s="17" t="s">
        <v>29</v>
      </c>
      <c r="D475" s="17" t="s">
        <v>32</v>
      </c>
      <c r="E475">
        <v>6</v>
      </c>
      <c r="F475">
        <v>1110000</v>
      </c>
      <c r="G475">
        <v>10000</v>
      </c>
      <c r="H475">
        <v>1100000</v>
      </c>
      <c r="I475" s="1">
        <v>46182</v>
      </c>
      <c r="J475" s="17" t="s">
        <v>20</v>
      </c>
      <c r="K475" t="s">
        <v>1057</v>
      </c>
    </row>
    <row r="476" spans="1:11" x14ac:dyDescent="0.25">
      <c r="A476" s="17" t="s">
        <v>615</v>
      </c>
      <c r="B476" s="17" t="s">
        <v>12</v>
      </c>
      <c r="C476" s="17" t="s">
        <v>3</v>
      </c>
      <c r="D476" s="17" t="s">
        <v>18</v>
      </c>
      <c r="E476">
        <v>5</v>
      </c>
      <c r="F476">
        <v>375000</v>
      </c>
      <c r="G476">
        <v>0</v>
      </c>
      <c r="H476">
        <v>375000</v>
      </c>
      <c r="I476" s="1">
        <v>46247</v>
      </c>
      <c r="J476" s="17" t="s">
        <v>5</v>
      </c>
      <c r="K476" t="s">
        <v>1057</v>
      </c>
    </row>
    <row r="477" spans="1:11" x14ac:dyDescent="0.25">
      <c r="A477" s="17" t="s">
        <v>616</v>
      </c>
      <c r="B477" s="17" t="s">
        <v>25</v>
      </c>
      <c r="C477" s="17" t="s">
        <v>3</v>
      </c>
      <c r="D477" s="17" t="s">
        <v>18</v>
      </c>
      <c r="E477">
        <v>6</v>
      </c>
      <c r="F477">
        <v>450000</v>
      </c>
      <c r="G477">
        <v>0</v>
      </c>
      <c r="H477">
        <v>450000</v>
      </c>
      <c r="I477" s="1">
        <v>46109</v>
      </c>
      <c r="J477" s="17" t="s">
        <v>20</v>
      </c>
      <c r="K477" t="s">
        <v>1057</v>
      </c>
    </row>
    <row r="478" spans="1:11" x14ac:dyDescent="0.25">
      <c r="A478" s="17" t="s">
        <v>617</v>
      </c>
      <c r="B478" s="17" t="s">
        <v>2</v>
      </c>
      <c r="C478" s="17" t="s">
        <v>8</v>
      </c>
      <c r="D478" s="17" t="s">
        <v>4</v>
      </c>
      <c r="E478">
        <v>8</v>
      </c>
      <c r="F478">
        <v>360000</v>
      </c>
      <c r="G478">
        <v>5000</v>
      </c>
      <c r="H478">
        <v>355000</v>
      </c>
      <c r="I478" s="1">
        <v>46170</v>
      </c>
      <c r="J478" s="17" t="s">
        <v>5</v>
      </c>
      <c r="K478" t="s">
        <v>1057</v>
      </c>
    </row>
    <row r="479" spans="1:11" x14ac:dyDescent="0.25">
      <c r="A479" s="17" t="s">
        <v>619</v>
      </c>
      <c r="B479" s="17" t="s">
        <v>25</v>
      </c>
      <c r="C479" s="17" t="s">
        <v>13</v>
      </c>
      <c r="D479" s="17" t="s">
        <v>32</v>
      </c>
      <c r="E479">
        <v>1</v>
      </c>
      <c r="F479">
        <v>75000</v>
      </c>
      <c r="G479">
        <v>0</v>
      </c>
      <c r="H479">
        <v>75000</v>
      </c>
      <c r="I479" s="1">
        <v>46255</v>
      </c>
      <c r="J479" s="17" t="s">
        <v>5</v>
      </c>
      <c r="K479" t="s">
        <v>1057</v>
      </c>
    </row>
    <row r="480" spans="1:11" x14ac:dyDescent="0.25">
      <c r="A480" s="17" t="s">
        <v>620</v>
      </c>
      <c r="B480" s="17" t="s">
        <v>12</v>
      </c>
      <c r="C480" s="17" t="s">
        <v>13</v>
      </c>
      <c r="D480" s="17" t="s">
        <v>9</v>
      </c>
      <c r="E480">
        <v>9</v>
      </c>
      <c r="F480">
        <v>2250000</v>
      </c>
      <c r="G480">
        <v>0</v>
      </c>
      <c r="H480">
        <v>2250000</v>
      </c>
      <c r="I480" s="1">
        <v>46143</v>
      </c>
      <c r="J480" s="17" t="s">
        <v>20</v>
      </c>
      <c r="K480" t="s">
        <v>1057</v>
      </c>
    </row>
    <row r="481" spans="1:11" x14ac:dyDescent="0.25">
      <c r="A481" s="17" t="s">
        <v>621</v>
      </c>
      <c r="B481" s="17" t="s">
        <v>2</v>
      </c>
      <c r="C481" s="17" t="s">
        <v>8</v>
      </c>
      <c r="D481" s="17" t="s">
        <v>30</v>
      </c>
      <c r="E481">
        <v>1</v>
      </c>
      <c r="F481">
        <v>45000</v>
      </c>
      <c r="G481">
        <v>0</v>
      </c>
      <c r="H481">
        <v>45000</v>
      </c>
      <c r="I481" s="1">
        <v>46185</v>
      </c>
      <c r="J481" s="17" t="s">
        <v>33</v>
      </c>
      <c r="K481" t="s">
        <v>1057</v>
      </c>
    </row>
    <row r="482" spans="1:11" x14ac:dyDescent="0.25">
      <c r="A482" s="17" t="s">
        <v>622</v>
      </c>
      <c r="B482" s="17" t="s">
        <v>12</v>
      </c>
      <c r="C482" s="17" t="s">
        <v>3</v>
      </c>
      <c r="D482" s="17" t="s">
        <v>18</v>
      </c>
      <c r="E482">
        <v>10</v>
      </c>
      <c r="F482">
        <v>2500000</v>
      </c>
      <c r="G482">
        <v>0</v>
      </c>
      <c r="H482">
        <v>2500000</v>
      </c>
      <c r="I482" s="1">
        <v>46164</v>
      </c>
      <c r="J482" s="17" t="s">
        <v>5</v>
      </c>
      <c r="K482" t="s">
        <v>1057</v>
      </c>
    </row>
    <row r="483" spans="1:11" x14ac:dyDescent="0.25">
      <c r="A483" s="17" t="s">
        <v>624</v>
      </c>
      <c r="B483" s="17" t="s">
        <v>2</v>
      </c>
      <c r="C483" s="17" t="s">
        <v>29</v>
      </c>
      <c r="D483" s="17" t="s">
        <v>4</v>
      </c>
      <c r="E483">
        <v>9</v>
      </c>
      <c r="F483">
        <v>1080000</v>
      </c>
      <c r="G483">
        <v>0</v>
      </c>
      <c r="H483">
        <v>1080000</v>
      </c>
      <c r="I483" s="1">
        <v>46227</v>
      </c>
      <c r="J483" s="17" t="s">
        <v>33</v>
      </c>
      <c r="K483" t="s">
        <v>1057</v>
      </c>
    </row>
    <row r="484" spans="1:11" x14ac:dyDescent="0.25">
      <c r="A484" s="17" t="s">
        <v>625</v>
      </c>
      <c r="B484" s="17" t="s">
        <v>2</v>
      </c>
      <c r="C484" s="17" t="s">
        <v>17</v>
      </c>
      <c r="D484" s="17" t="s">
        <v>18</v>
      </c>
      <c r="E484">
        <v>6</v>
      </c>
      <c r="F484">
        <v>720000</v>
      </c>
      <c r="G484">
        <v>10000</v>
      </c>
      <c r="H484">
        <v>710000</v>
      </c>
      <c r="I484" s="1">
        <v>46084</v>
      </c>
      <c r="J484" s="17" t="s">
        <v>10</v>
      </c>
      <c r="K484" t="s">
        <v>1057</v>
      </c>
    </row>
    <row r="485" spans="1:11" x14ac:dyDescent="0.25">
      <c r="A485" s="17" t="s">
        <v>627</v>
      </c>
      <c r="B485" s="17" t="s">
        <v>2</v>
      </c>
      <c r="C485" s="17" t="s">
        <v>27</v>
      </c>
      <c r="D485" s="17" t="s">
        <v>32</v>
      </c>
      <c r="E485">
        <v>4</v>
      </c>
      <c r="F485">
        <v>1000000</v>
      </c>
      <c r="G485">
        <v>10000</v>
      </c>
      <c r="H485">
        <v>990000</v>
      </c>
      <c r="I485" s="1">
        <v>46185</v>
      </c>
      <c r="J485" s="17" t="s">
        <v>10</v>
      </c>
      <c r="K485" t="s">
        <v>1057</v>
      </c>
    </row>
    <row r="486" spans="1:11" x14ac:dyDescent="0.25">
      <c r="A486" s="17" t="s">
        <v>628</v>
      </c>
      <c r="B486" s="17" t="s">
        <v>7</v>
      </c>
      <c r="C486" s="17" t="s">
        <v>8</v>
      </c>
      <c r="D486" s="17" t="s">
        <v>30</v>
      </c>
      <c r="E486">
        <v>2</v>
      </c>
      <c r="F486">
        <v>240000</v>
      </c>
      <c r="G486">
        <v>10000</v>
      </c>
      <c r="H486">
        <v>230000</v>
      </c>
      <c r="I486" s="1">
        <v>46209</v>
      </c>
      <c r="J486" s="17" t="s">
        <v>10</v>
      </c>
      <c r="K486" t="s">
        <v>1057</v>
      </c>
    </row>
    <row r="487" spans="1:11" x14ac:dyDescent="0.25">
      <c r="A487" s="17" t="s">
        <v>629</v>
      </c>
      <c r="B487" s="17" t="s">
        <v>7</v>
      </c>
      <c r="C487" s="17" t="s">
        <v>17</v>
      </c>
      <c r="D487" s="17" t="s">
        <v>9</v>
      </c>
      <c r="E487">
        <v>8</v>
      </c>
      <c r="F487">
        <v>2000000</v>
      </c>
      <c r="G487">
        <v>0</v>
      </c>
      <c r="H487">
        <v>2000000</v>
      </c>
      <c r="I487" s="1">
        <v>46107</v>
      </c>
      <c r="J487" s="17" t="s">
        <v>33</v>
      </c>
      <c r="K487" t="s">
        <v>1057</v>
      </c>
    </row>
    <row r="488" spans="1:11" x14ac:dyDescent="0.25">
      <c r="A488" s="17" t="s">
        <v>630</v>
      </c>
      <c r="B488" s="17" t="s">
        <v>2</v>
      </c>
      <c r="C488" s="17" t="s">
        <v>29</v>
      </c>
      <c r="D488" s="17" t="s">
        <v>9</v>
      </c>
      <c r="E488">
        <v>9</v>
      </c>
      <c r="F488">
        <v>1080000</v>
      </c>
      <c r="G488">
        <v>0</v>
      </c>
      <c r="H488">
        <v>1080000</v>
      </c>
      <c r="I488" s="1">
        <v>46235</v>
      </c>
      <c r="J488" s="17" t="s">
        <v>10</v>
      </c>
      <c r="K488" t="s">
        <v>1057</v>
      </c>
    </row>
    <row r="489" spans="1:11" x14ac:dyDescent="0.25">
      <c r="A489" s="17" t="s">
        <v>631</v>
      </c>
      <c r="B489" s="17" t="s">
        <v>2</v>
      </c>
      <c r="C489" s="17" t="s">
        <v>29</v>
      </c>
      <c r="D489" s="17" t="s">
        <v>30</v>
      </c>
      <c r="E489">
        <v>8</v>
      </c>
      <c r="F489">
        <v>360000</v>
      </c>
      <c r="G489">
        <v>5000</v>
      </c>
      <c r="H489">
        <v>355000</v>
      </c>
      <c r="I489" s="1">
        <v>46058</v>
      </c>
      <c r="J489" s="17" t="s">
        <v>20</v>
      </c>
      <c r="K489" t="s">
        <v>1057</v>
      </c>
    </row>
    <row r="490" spans="1:11" x14ac:dyDescent="0.25">
      <c r="A490" s="17" t="s">
        <v>632</v>
      </c>
      <c r="B490" s="17" t="s">
        <v>25</v>
      </c>
      <c r="C490" s="17" t="s">
        <v>29</v>
      </c>
      <c r="D490" s="17" t="s">
        <v>30</v>
      </c>
      <c r="E490">
        <v>6</v>
      </c>
      <c r="F490">
        <v>720000</v>
      </c>
      <c r="G490">
        <v>0</v>
      </c>
      <c r="H490">
        <v>720000</v>
      </c>
      <c r="I490" s="1">
        <v>46061</v>
      </c>
      <c r="J490" s="17" t="s">
        <v>5</v>
      </c>
      <c r="K490" t="s">
        <v>1057</v>
      </c>
    </row>
    <row r="491" spans="1:11" x14ac:dyDescent="0.25">
      <c r="A491" s="17" t="s">
        <v>633</v>
      </c>
      <c r="B491" s="17" t="s">
        <v>12</v>
      </c>
      <c r="C491" s="17" t="s">
        <v>13</v>
      </c>
      <c r="D491" s="17" t="s">
        <v>4</v>
      </c>
      <c r="E491">
        <v>1</v>
      </c>
      <c r="F491">
        <v>120000</v>
      </c>
      <c r="G491">
        <v>10000</v>
      </c>
      <c r="H491">
        <v>110000</v>
      </c>
      <c r="I491" s="1">
        <v>46177</v>
      </c>
      <c r="J491" s="17" t="s">
        <v>20</v>
      </c>
      <c r="K491" t="s">
        <v>1057</v>
      </c>
    </row>
    <row r="492" spans="1:11" x14ac:dyDescent="0.25">
      <c r="A492" s="17" t="s">
        <v>634</v>
      </c>
      <c r="B492" s="17" t="s">
        <v>25</v>
      </c>
      <c r="C492" s="17" t="s">
        <v>29</v>
      </c>
      <c r="D492" s="17" t="s">
        <v>30</v>
      </c>
      <c r="E492">
        <v>2</v>
      </c>
      <c r="F492">
        <v>500000</v>
      </c>
      <c r="G492">
        <v>5000</v>
      </c>
      <c r="H492">
        <v>495000</v>
      </c>
      <c r="I492" s="1">
        <v>46137</v>
      </c>
      <c r="J492" s="17" t="s">
        <v>10</v>
      </c>
      <c r="K492" t="s">
        <v>1057</v>
      </c>
    </row>
    <row r="493" spans="1:11" x14ac:dyDescent="0.25">
      <c r="A493" s="17" t="s">
        <v>635</v>
      </c>
      <c r="B493" s="17" t="s">
        <v>2</v>
      </c>
      <c r="C493" s="17" t="s">
        <v>29</v>
      </c>
      <c r="D493" s="17" t="s">
        <v>9</v>
      </c>
      <c r="E493">
        <v>6</v>
      </c>
      <c r="F493">
        <v>1110000</v>
      </c>
      <c r="G493">
        <v>10000</v>
      </c>
      <c r="H493">
        <v>1100000</v>
      </c>
      <c r="I493" s="1">
        <v>46024</v>
      </c>
      <c r="J493" s="17" t="s">
        <v>33</v>
      </c>
      <c r="K493" t="s">
        <v>1057</v>
      </c>
    </row>
    <row r="494" spans="1:11" x14ac:dyDescent="0.25">
      <c r="A494" s="17" t="s">
        <v>636</v>
      </c>
      <c r="B494" s="17" t="s">
        <v>2</v>
      </c>
      <c r="C494" s="17" t="s">
        <v>13</v>
      </c>
      <c r="D494" s="17" t="s">
        <v>30</v>
      </c>
      <c r="E494">
        <v>8</v>
      </c>
      <c r="F494">
        <v>600000</v>
      </c>
      <c r="G494">
        <v>15000</v>
      </c>
      <c r="H494">
        <v>585000</v>
      </c>
      <c r="I494" s="1">
        <v>46261</v>
      </c>
      <c r="J494" s="17" t="s">
        <v>5</v>
      </c>
      <c r="K494" t="s">
        <v>1057</v>
      </c>
    </row>
    <row r="495" spans="1:11" x14ac:dyDescent="0.25">
      <c r="A495" s="17" t="s">
        <v>637</v>
      </c>
      <c r="B495" s="17" t="s">
        <v>7</v>
      </c>
      <c r="C495" s="17" t="s">
        <v>8</v>
      </c>
      <c r="D495" s="17" t="s">
        <v>32</v>
      </c>
      <c r="E495">
        <v>6</v>
      </c>
      <c r="F495">
        <v>450000</v>
      </c>
      <c r="G495">
        <v>0</v>
      </c>
      <c r="H495">
        <v>450000</v>
      </c>
      <c r="I495" s="1">
        <v>46114</v>
      </c>
      <c r="J495" s="17" t="s">
        <v>33</v>
      </c>
      <c r="K495" t="s">
        <v>1057</v>
      </c>
    </row>
    <row r="496" spans="1:11" x14ac:dyDescent="0.25">
      <c r="A496" s="17" t="s">
        <v>638</v>
      </c>
      <c r="B496" s="17" t="s">
        <v>7</v>
      </c>
      <c r="C496" s="17" t="s">
        <v>3</v>
      </c>
      <c r="D496" s="17" t="s">
        <v>4</v>
      </c>
      <c r="E496">
        <v>10</v>
      </c>
      <c r="F496">
        <v>1200000</v>
      </c>
      <c r="G496">
        <v>0</v>
      </c>
      <c r="H496">
        <v>1200000</v>
      </c>
      <c r="I496" s="1">
        <v>46132</v>
      </c>
      <c r="J496" s="17" t="s">
        <v>5</v>
      </c>
      <c r="K496" t="s">
        <v>1057</v>
      </c>
    </row>
    <row r="497" spans="1:11" x14ac:dyDescent="0.25">
      <c r="A497" s="17" t="s">
        <v>639</v>
      </c>
      <c r="B497" s="17" t="s">
        <v>12</v>
      </c>
      <c r="C497" s="17" t="s">
        <v>13</v>
      </c>
      <c r="D497" s="17" t="s">
        <v>30</v>
      </c>
      <c r="E497">
        <v>7</v>
      </c>
      <c r="F497">
        <v>1750000</v>
      </c>
      <c r="G497">
        <v>0</v>
      </c>
      <c r="H497">
        <v>1750000</v>
      </c>
      <c r="I497" s="1">
        <v>46037</v>
      </c>
      <c r="J497" s="17" t="s">
        <v>33</v>
      </c>
      <c r="K497" t="s">
        <v>1057</v>
      </c>
    </row>
    <row r="498" spans="1:11" x14ac:dyDescent="0.25">
      <c r="A498" s="17" t="s">
        <v>640</v>
      </c>
      <c r="B498" s="17" t="s">
        <v>25</v>
      </c>
      <c r="C498" s="17" t="s">
        <v>17</v>
      </c>
      <c r="D498" s="17" t="s">
        <v>18</v>
      </c>
      <c r="E498">
        <v>9</v>
      </c>
      <c r="F498">
        <v>1665000</v>
      </c>
      <c r="G498">
        <v>0</v>
      </c>
      <c r="H498">
        <v>1665000</v>
      </c>
      <c r="I498" s="1">
        <v>46084</v>
      </c>
      <c r="J498" s="17" t="s">
        <v>10</v>
      </c>
      <c r="K498" t="s">
        <v>1057</v>
      </c>
    </row>
    <row r="499" spans="1:11" x14ac:dyDescent="0.25">
      <c r="A499" s="17" t="s">
        <v>641</v>
      </c>
      <c r="B499" s="17" t="s">
        <v>12</v>
      </c>
      <c r="C499" s="17" t="s">
        <v>8</v>
      </c>
      <c r="D499" s="17" t="s">
        <v>32</v>
      </c>
      <c r="E499">
        <v>10</v>
      </c>
      <c r="F499">
        <v>450000</v>
      </c>
      <c r="G499">
        <v>0</v>
      </c>
      <c r="H499">
        <v>450000</v>
      </c>
      <c r="I499" s="1">
        <v>46159</v>
      </c>
      <c r="J499" s="17" t="s">
        <v>10</v>
      </c>
      <c r="K499" t="s">
        <v>1057</v>
      </c>
    </row>
    <row r="500" spans="1:11" x14ac:dyDescent="0.25">
      <c r="A500" s="17" t="s">
        <v>643</v>
      </c>
      <c r="B500" s="17" t="s">
        <v>2</v>
      </c>
      <c r="C500" s="17" t="s">
        <v>3</v>
      </c>
      <c r="D500" s="17" t="s">
        <v>32</v>
      </c>
      <c r="E500">
        <v>4</v>
      </c>
      <c r="F500">
        <v>180000</v>
      </c>
      <c r="G500">
        <v>15000</v>
      </c>
      <c r="H500">
        <v>165000</v>
      </c>
      <c r="I500" s="1">
        <v>46068</v>
      </c>
      <c r="J500" s="17" t="s">
        <v>33</v>
      </c>
      <c r="K500" t="s">
        <v>1057</v>
      </c>
    </row>
    <row r="501" spans="1:11" x14ac:dyDescent="0.25">
      <c r="A501" s="17" t="s">
        <v>644</v>
      </c>
      <c r="B501" s="17" t="s">
        <v>7</v>
      </c>
      <c r="C501" s="17" t="s">
        <v>27</v>
      </c>
      <c r="D501" s="17" t="s">
        <v>18</v>
      </c>
      <c r="E501">
        <v>1</v>
      </c>
      <c r="F501">
        <v>250000</v>
      </c>
      <c r="G501">
        <v>0</v>
      </c>
      <c r="H501">
        <v>250000</v>
      </c>
      <c r="I501" s="1">
        <v>46109</v>
      </c>
      <c r="J501" s="17" t="s">
        <v>20</v>
      </c>
      <c r="K501" t="s">
        <v>1057</v>
      </c>
    </row>
    <row r="502" spans="1:11" x14ac:dyDescent="0.25">
      <c r="A502" s="17" t="s">
        <v>646</v>
      </c>
      <c r="B502" s="17" t="s">
        <v>25</v>
      </c>
      <c r="C502" s="17" t="s">
        <v>29</v>
      </c>
      <c r="D502" s="17" t="s">
        <v>30</v>
      </c>
      <c r="E502">
        <v>6</v>
      </c>
      <c r="F502">
        <v>450000</v>
      </c>
      <c r="G502">
        <v>10000</v>
      </c>
      <c r="H502">
        <v>440000</v>
      </c>
      <c r="I502" s="1">
        <v>46258</v>
      </c>
      <c r="J502" s="17" t="s">
        <v>10</v>
      </c>
      <c r="K502" t="s">
        <v>1057</v>
      </c>
    </row>
    <row r="503" spans="1:11" x14ac:dyDescent="0.25">
      <c r="A503" s="17" t="s">
        <v>647</v>
      </c>
      <c r="B503" s="17" t="s">
        <v>2</v>
      </c>
      <c r="C503" s="17" t="s">
        <v>8</v>
      </c>
      <c r="D503" s="17" t="s">
        <v>4</v>
      </c>
      <c r="E503">
        <v>4</v>
      </c>
      <c r="F503">
        <v>180000</v>
      </c>
      <c r="G503">
        <v>0</v>
      </c>
      <c r="H503">
        <v>180000</v>
      </c>
      <c r="I503" s="1">
        <v>46181</v>
      </c>
      <c r="J503" s="17" t="s">
        <v>33</v>
      </c>
      <c r="K503" t="s">
        <v>1057</v>
      </c>
    </row>
    <row r="504" spans="1:11" x14ac:dyDescent="0.25">
      <c r="A504" s="17" t="s">
        <v>648</v>
      </c>
      <c r="B504" s="17" t="s">
        <v>7</v>
      </c>
      <c r="C504" s="17" t="s">
        <v>8</v>
      </c>
      <c r="D504" s="17" t="s">
        <v>18</v>
      </c>
      <c r="E504">
        <v>7</v>
      </c>
      <c r="F504">
        <v>840000</v>
      </c>
      <c r="G504">
        <v>0</v>
      </c>
      <c r="H504">
        <v>840000</v>
      </c>
      <c r="I504" s="1">
        <v>46086</v>
      </c>
      <c r="J504" s="17" t="s">
        <v>33</v>
      </c>
      <c r="K504" t="s">
        <v>1057</v>
      </c>
    </row>
    <row r="505" spans="1:11" x14ac:dyDescent="0.25">
      <c r="A505" s="17" t="s">
        <v>649</v>
      </c>
      <c r="B505" s="17" t="s">
        <v>25</v>
      </c>
      <c r="C505" s="17" t="s">
        <v>29</v>
      </c>
      <c r="D505" s="17" t="s">
        <v>9</v>
      </c>
      <c r="E505">
        <v>3</v>
      </c>
      <c r="F505">
        <v>750000</v>
      </c>
      <c r="G505">
        <v>5000</v>
      </c>
      <c r="H505">
        <v>745000</v>
      </c>
      <c r="I505" s="1">
        <v>46213</v>
      </c>
      <c r="J505" s="17" t="s">
        <v>5</v>
      </c>
      <c r="K505" t="s">
        <v>1057</v>
      </c>
    </row>
    <row r="506" spans="1:11" x14ac:dyDescent="0.25">
      <c r="A506" s="17" t="s">
        <v>650</v>
      </c>
      <c r="B506" s="17" t="s">
        <v>12</v>
      </c>
      <c r="C506" s="17" t="s">
        <v>29</v>
      </c>
      <c r="D506" s="17" t="s">
        <v>9</v>
      </c>
      <c r="E506">
        <v>5</v>
      </c>
      <c r="F506">
        <v>375000</v>
      </c>
      <c r="G506">
        <v>0</v>
      </c>
      <c r="H506">
        <v>375000</v>
      </c>
      <c r="I506" s="1">
        <v>46155</v>
      </c>
      <c r="J506" s="17" t="s">
        <v>10</v>
      </c>
      <c r="K506" t="s">
        <v>1057</v>
      </c>
    </row>
    <row r="507" spans="1:11" x14ac:dyDescent="0.25">
      <c r="A507" s="17" t="s">
        <v>651</v>
      </c>
      <c r="B507" s="17" t="s">
        <v>25</v>
      </c>
      <c r="C507" s="17" t="s">
        <v>13</v>
      </c>
      <c r="D507" s="17" t="s">
        <v>30</v>
      </c>
      <c r="E507">
        <v>3</v>
      </c>
      <c r="F507">
        <v>360000</v>
      </c>
      <c r="G507">
        <v>5000</v>
      </c>
      <c r="H507">
        <v>355000</v>
      </c>
      <c r="I507" s="1">
        <v>46119</v>
      </c>
      <c r="J507" s="17" t="s">
        <v>5</v>
      </c>
      <c r="K507" t="s">
        <v>1057</v>
      </c>
    </row>
    <row r="508" spans="1:11" x14ac:dyDescent="0.25">
      <c r="A508" s="17" t="s">
        <v>652</v>
      </c>
      <c r="B508" s="17" t="s">
        <v>12</v>
      </c>
      <c r="C508" s="17" t="s">
        <v>3</v>
      </c>
      <c r="D508" s="17" t="s">
        <v>18</v>
      </c>
      <c r="E508">
        <v>1</v>
      </c>
      <c r="F508">
        <v>75000</v>
      </c>
      <c r="G508">
        <v>0</v>
      </c>
      <c r="H508">
        <v>75000</v>
      </c>
      <c r="I508" s="1">
        <v>46157</v>
      </c>
      <c r="J508" s="17" t="s">
        <v>20</v>
      </c>
      <c r="K508" t="s">
        <v>1057</v>
      </c>
    </row>
    <row r="509" spans="1:11" x14ac:dyDescent="0.25">
      <c r="A509" s="17" t="s">
        <v>653</v>
      </c>
      <c r="B509" s="17" t="s">
        <v>7</v>
      </c>
      <c r="C509" s="17" t="s">
        <v>8</v>
      </c>
      <c r="D509" s="17" t="s">
        <v>32</v>
      </c>
      <c r="E509">
        <v>8</v>
      </c>
      <c r="F509">
        <v>1480000</v>
      </c>
      <c r="G509">
        <v>10000</v>
      </c>
      <c r="H509">
        <v>1470000</v>
      </c>
      <c r="I509" s="1">
        <v>46206</v>
      </c>
      <c r="J509" s="17" t="s">
        <v>33</v>
      </c>
      <c r="K509" t="s">
        <v>1057</v>
      </c>
    </row>
    <row r="510" spans="1:11" x14ac:dyDescent="0.25">
      <c r="A510" s="17" t="s">
        <v>654</v>
      </c>
      <c r="B510" s="17" t="s">
        <v>2</v>
      </c>
      <c r="C510" s="17" t="s">
        <v>8</v>
      </c>
      <c r="D510" s="17" t="s">
        <v>32</v>
      </c>
      <c r="E510">
        <v>1</v>
      </c>
      <c r="F510">
        <v>185000</v>
      </c>
      <c r="G510">
        <v>0</v>
      </c>
      <c r="H510">
        <v>185000</v>
      </c>
      <c r="I510" s="1">
        <v>46139</v>
      </c>
      <c r="J510" s="17" t="s">
        <v>33</v>
      </c>
      <c r="K510" t="s">
        <v>1057</v>
      </c>
    </row>
    <row r="511" spans="1:11" x14ac:dyDescent="0.25">
      <c r="A511" s="17" t="s">
        <v>655</v>
      </c>
      <c r="B511" s="17" t="s">
        <v>12</v>
      </c>
      <c r="C511" s="17" t="s">
        <v>8</v>
      </c>
      <c r="D511" s="17" t="s">
        <v>30</v>
      </c>
      <c r="E511">
        <v>9</v>
      </c>
      <c r="F511">
        <v>405000</v>
      </c>
      <c r="G511">
        <v>0</v>
      </c>
      <c r="H511">
        <v>405000</v>
      </c>
      <c r="I511" s="1">
        <v>46075</v>
      </c>
      <c r="J511" s="17" t="s">
        <v>10</v>
      </c>
      <c r="K511" t="s">
        <v>1057</v>
      </c>
    </row>
    <row r="512" spans="1:11" x14ac:dyDescent="0.25">
      <c r="A512" s="17" t="s">
        <v>656</v>
      </c>
      <c r="B512" s="17" t="s">
        <v>25</v>
      </c>
      <c r="C512" s="17" t="s">
        <v>3</v>
      </c>
      <c r="D512" s="17" t="s">
        <v>30</v>
      </c>
      <c r="E512">
        <v>6</v>
      </c>
      <c r="F512">
        <v>1110000</v>
      </c>
      <c r="G512">
        <v>0</v>
      </c>
      <c r="H512">
        <v>1110000</v>
      </c>
      <c r="I512" s="1">
        <v>46137</v>
      </c>
      <c r="J512" s="17" t="s">
        <v>5</v>
      </c>
      <c r="K512" t="s">
        <v>1057</v>
      </c>
    </row>
    <row r="513" spans="1:11" x14ac:dyDescent="0.25">
      <c r="A513" s="17" t="s">
        <v>657</v>
      </c>
      <c r="B513" s="17" t="s">
        <v>12</v>
      </c>
      <c r="C513" s="17" t="s">
        <v>8</v>
      </c>
      <c r="D513" s="17" t="s">
        <v>32</v>
      </c>
      <c r="E513">
        <v>4</v>
      </c>
      <c r="F513">
        <v>740000</v>
      </c>
      <c r="G513">
        <v>0</v>
      </c>
      <c r="H513">
        <v>740000</v>
      </c>
      <c r="I513" s="1">
        <v>46139</v>
      </c>
      <c r="J513" s="17" t="s">
        <v>20</v>
      </c>
      <c r="K513" t="s">
        <v>1057</v>
      </c>
    </row>
    <row r="514" spans="1:11" x14ac:dyDescent="0.25">
      <c r="A514" s="17" t="s">
        <v>658</v>
      </c>
      <c r="B514" s="17" t="s">
        <v>25</v>
      </c>
      <c r="C514" s="17" t="s">
        <v>8</v>
      </c>
      <c r="D514" s="17" t="s">
        <v>18</v>
      </c>
      <c r="E514">
        <v>8</v>
      </c>
      <c r="F514">
        <v>2000000</v>
      </c>
      <c r="G514">
        <v>0</v>
      </c>
      <c r="H514">
        <v>2000000</v>
      </c>
      <c r="I514" s="1">
        <v>46029</v>
      </c>
      <c r="J514" s="17" t="s">
        <v>5</v>
      </c>
      <c r="K514" t="s">
        <v>1057</v>
      </c>
    </row>
    <row r="515" spans="1:11" x14ac:dyDescent="0.25">
      <c r="A515" s="17" t="s">
        <v>659</v>
      </c>
      <c r="B515" s="17" t="s">
        <v>12</v>
      </c>
      <c r="C515" s="17" t="s">
        <v>3</v>
      </c>
      <c r="D515" s="17" t="s">
        <v>4</v>
      </c>
      <c r="E515">
        <v>6</v>
      </c>
      <c r="F515">
        <v>1110000</v>
      </c>
      <c r="G515">
        <v>0</v>
      </c>
      <c r="H515">
        <v>1110000</v>
      </c>
      <c r="I515" s="1">
        <v>46041</v>
      </c>
      <c r="J515" s="17" t="s">
        <v>20</v>
      </c>
      <c r="K515" t="s">
        <v>1057</v>
      </c>
    </row>
    <row r="516" spans="1:11" x14ac:dyDescent="0.25">
      <c r="A516" s="17" t="s">
        <v>660</v>
      </c>
      <c r="B516" s="17" t="s">
        <v>25</v>
      </c>
      <c r="C516" s="17" t="s">
        <v>27</v>
      </c>
      <c r="D516" s="17" t="s">
        <v>32</v>
      </c>
      <c r="E516">
        <v>1</v>
      </c>
      <c r="F516">
        <v>250000</v>
      </c>
      <c r="G516">
        <v>0</v>
      </c>
      <c r="H516">
        <v>250000</v>
      </c>
      <c r="I516" s="1">
        <v>46115</v>
      </c>
      <c r="J516" s="17" t="s">
        <v>33</v>
      </c>
      <c r="K516" t="s">
        <v>1057</v>
      </c>
    </row>
    <row r="517" spans="1:11" x14ac:dyDescent="0.25">
      <c r="A517" s="17" t="s">
        <v>662</v>
      </c>
      <c r="B517" s="17" t="s">
        <v>2</v>
      </c>
      <c r="C517" s="17" t="s">
        <v>3</v>
      </c>
      <c r="D517" s="17" t="s">
        <v>9</v>
      </c>
      <c r="E517">
        <v>7</v>
      </c>
      <c r="F517">
        <v>1750000</v>
      </c>
      <c r="G517">
        <v>0</v>
      </c>
      <c r="H517">
        <v>1750000</v>
      </c>
      <c r="I517" s="1">
        <v>46040</v>
      </c>
      <c r="J517" s="17" t="s">
        <v>5</v>
      </c>
      <c r="K517" t="s">
        <v>1057</v>
      </c>
    </row>
    <row r="518" spans="1:11" x14ac:dyDescent="0.25">
      <c r="A518" s="17" t="s">
        <v>663</v>
      </c>
      <c r="B518" s="17" t="s">
        <v>2</v>
      </c>
      <c r="C518" s="17" t="s">
        <v>13</v>
      </c>
      <c r="D518" s="17" t="s">
        <v>32</v>
      </c>
      <c r="E518">
        <v>9</v>
      </c>
      <c r="F518">
        <v>405000</v>
      </c>
      <c r="G518">
        <v>0</v>
      </c>
      <c r="H518">
        <v>405000</v>
      </c>
      <c r="I518" s="1">
        <v>46181</v>
      </c>
      <c r="J518" s="17" t="s">
        <v>10</v>
      </c>
      <c r="K518" t="s">
        <v>1057</v>
      </c>
    </row>
    <row r="519" spans="1:11" x14ac:dyDescent="0.25">
      <c r="A519" s="17" t="s">
        <v>664</v>
      </c>
      <c r="B519" s="17" t="s">
        <v>7</v>
      </c>
      <c r="C519" s="17" t="s">
        <v>8</v>
      </c>
      <c r="D519" s="17" t="s">
        <v>32</v>
      </c>
      <c r="E519">
        <v>1</v>
      </c>
      <c r="F519">
        <v>185000</v>
      </c>
      <c r="G519">
        <v>0</v>
      </c>
      <c r="H519">
        <v>185000</v>
      </c>
      <c r="I519" s="1">
        <v>46184</v>
      </c>
      <c r="J519" s="17" t="s">
        <v>10</v>
      </c>
      <c r="K519" t="s">
        <v>1057</v>
      </c>
    </row>
    <row r="520" spans="1:11" x14ac:dyDescent="0.25">
      <c r="A520" s="17" t="s">
        <v>665</v>
      </c>
      <c r="B520" s="17" t="s">
        <v>7</v>
      </c>
      <c r="C520" s="17" t="s">
        <v>17</v>
      </c>
      <c r="D520" s="17" t="s">
        <v>4</v>
      </c>
      <c r="E520">
        <v>2</v>
      </c>
      <c r="F520">
        <v>90000</v>
      </c>
      <c r="G520">
        <v>0</v>
      </c>
      <c r="H520">
        <v>90000</v>
      </c>
      <c r="I520" s="1">
        <v>46174</v>
      </c>
      <c r="J520" s="17" t="s">
        <v>10</v>
      </c>
      <c r="K520" t="s">
        <v>1057</v>
      </c>
    </row>
    <row r="521" spans="1:11" x14ac:dyDescent="0.25">
      <c r="A521" s="17" t="s">
        <v>666</v>
      </c>
      <c r="B521" s="17" t="s">
        <v>25</v>
      </c>
      <c r="C521" s="17" t="s">
        <v>13</v>
      </c>
      <c r="D521" s="17" t="s">
        <v>30</v>
      </c>
      <c r="E521">
        <v>5</v>
      </c>
      <c r="F521">
        <v>925000</v>
      </c>
      <c r="G521">
        <v>0</v>
      </c>
      <c r="H521">
        <v>925000</v>
      </c>
      <c r="I521" s="1">
        <v>46133</v>
      </c>
      <c r="J521" s="17" t="s">
        <v>10</v>
      </c>
      <c r="K521" t="s">
        <v>1057</v>
      </c>
    </row>
    <row r="522" spans="1:11" x14ac:dyDescent="0.25">
      <c r="A522" s="17" t="s">
        <v>668</v>
      </c>
      <c r="B522" s="17" t="s">
        <v>25</v>
      </c>
      <c r="C522" s="17" t="s">
        <v>13</v>
      </c>
      <c r="D522" s="17" t="s">
        <v>32</v>
      </c>
      <c r="E522">
        <v>10</v>
      </c>
      <c r="F522">
        <v>750000</v>
      </c>
      <c r="G522">
        <v>0</v>
      </c>
      <c r="H522">
        <v>750000</v>
      </c>
      <c r="I522" s="1">
        <v>46145</v>
      </c>
      <c r="J522" s="17" t="s">
        <v>20</v>
      </c>
      <c r="K522" t="s">
        <v>1057</v>
      </c>
    </row>
    <row r="523" spans="1:11" x14ac:dyDescent="0.25">
      <c r="A523" s="17" t="s">
        <v>669</v>
      </c>
      <c r="B523" s="17" t="s">
        <v>7</v>
      </c>
      <c r="C523" s="17" t="s">
        <v>8</v>
      </c>
      <c r="D523" s="17" t="s">
        <v>9</v>
      </c>
      <c r="E523">
        <v>6</v>
      </c>
      <c r="F523">
        <v>1110000</v>
      </c>
      <c r="G523">
        <v>0</v>
      </c>
      <c r="H523">
        <v>1110000</v>
      </c>
      <c r="I523" s="1">
        <v>46120</v>
      </c>
      <c r="J523" s="17" t="s">
        <v>20</v>
      </c>
      <c r="K523" t="s">
        <v>1057</v>
      </c>
    </row>
    <row r="524" spans="1:11" x14ac:dyDescent="0.25">
      <c r="A524" s="17" t="s">
        <v>670</v>
      </c>
      <c r="B524" s="17" t="s">
        <v>12</v>
      </c>
      <c r="C524" s="17" t="s">
        <v>8</v>
      </c>
      <c r="D524" s="17" t="s">
        <v>9</v>
      </c>
      <c r="E524">
        <v>8</v>
      </c>
      <c r="F524">
        <v>1480000</v>
      </c>
      <c r="G524">
        <v>0</v>
      </c>
      <c r="H524">
        <v>1480000</v>
      </c>
      <c r="I524" s="1">
        <v>46034</v>
      </c>
      <c r="J524" s="17" t="s">
        <v>33</v>
      </c>
      <c r="K524" t="s">
        <v>1057</v>
      </c>
    </row>
    <row r="525" spans="1:11" x14ac:dyDescent="0.25">
      <c r="A525" s="17" t="s">
        <v>671</v>
      </c>
      <c r="B525" s="17" t="s">
        <v>12</v>
      </c>
      <c r="C525" s="17" t="s">
        <v>13</v>
      </c>
      <c r="D525" s="17" t="s">
        <v>30</v>
      </c>
      <c r="E525">
        <v>5</v>
      </c>
      <c r="F525">
        <v>375000</v>
      </c>
      <c r="G525">
        <v>5000</v>
      </c>
      <c r="H525">
        <v>370000</v>
      </c>
      <c r="I525" s="1">
        <v>46106</v>
      </c>
      <c r="J525" s="17" t="s">
        <v>10</v>
      </c>
      <c r="K525" t="s">
        <v>1057</v>
      </c>
    </row>
    <row r="526" spans="1:11" x14ac:dyDescent="0.25">
      <c r="A526" s="17" t="s">
        <v>672</v>
      </c>
      <c r="B526" s="17" t="s">
        <v>2</v>
      </c>
      <c r="C526" s="17" t="s">
        <v>13</v>
      </c>
      <c r="D526" s="17" t="s">
        <v>18</v>
      </c>
      <c r="E526">
        <v>5</v>
      </c>
      <c r="F526">
        <v>1250000</v>
      </c>
      <c r="G526">
        <v>0</v>
      </c>
      <c r="H526">
        <v>1250000</v>
      </c>
      <c r="I526" s="1">
        <v>46031</v>
      </c>
      <c r="J526" s="17" t="s">
        <v>20</v>
      </c>
      <c r="K526" t="s">
        <v>1057</v>
      </c>
    </row>
    <row r="527" spans="1:11" x14ac:dyDescent="0.25">
      <c r="A527" s="17" t="s">
        <v>673</v>
      </c>
      <c r="B527" s="17" t="s">
        <v>25</v>
      </c>
      <c r="C527" s="17" t="s">
        <v>27</v>
      </c>
      <c r="D527" s="17" t="s">
        <v>9</v>
      </c>
      <c r="E527">
        <v>9</v>
      </c>
      <c r="F527">
        <v>1665000</v>
      </c>
      <c r="G527">
        <v>0</v>
      </c>
      <c r="H527">
        <v>1665000</v>
      </c>
      <c r="I527" s="1">
        <v>46040</v>
      </c>
      <c r="J527" s="17" t="s">
        <v>5</v>
      </c>
      <c r="K527" t="s">
        <v>1057</v>
      </c>
    </row>
    <row r="528" spans="1:11" x14ac:dyDescent="0.25">
      <c r="A528" s="17" t="s">
        <v>674</v>
      </c>
      <c r="B528" s="17" t="s">
        <v>7</v>
      </c>
      <c r="C528" s="17" t="s">
        <v>27</v>
      </c>
      <c r="D528" s="17" t="s">
        <v>9</v>
      </c>
      <c r="E528">
        <v>2</v>
      </c>
      <c r="F528">
        <v>370000</v>
      </c>
      <c r="G528">
        <v>0</v>
      </c>
      <c r="H528">
        <v>370000</v>
      </c>
      <c r="I528" s="1">
        <v>46207</v>
      </c>
      <c r="J528" s="17" t="s">
        <v>20</v>
      </c>
      <c r="K528" t="s">
        <v>1057</v>
      </c>
    </row>
    <row r="529" spans="1:11" x14ac:dyDescent="0.25">
      <c r="A529" s="17" t="s">
        <v>675</v>
      </c>
      <c r="B529" s="17" t="s">
        <v>2</v>
      </c>
      <c r="C529" s="17" t="s">
        <v>8</v>
      </c>
      <c r="D529" s="17" t="s">
        <v>4</v>
      </c>
      <c r="E529">
        <v>4</v>
      </c>
      <c r="F529">
        <v>480000</v>
      </c>
      <c r="G529">
        <v>10000</v>
      </c>
      <c r="H529">
        <v>470000</v>
      </c>
      <c r="I529" s="1">
        <v>46030</v>
      </c>
      <c r="J529" s="17" t="s">
        <v>20</v>
      </c>
      <c r="K529" t="s">
        <v>1057</v>
      </c>
    </row>
    <row r="530" spans="1:11" x14ac:dyDescent="0.25">
      <c r="A530" s="17" t="s">
        <v>676</v>
      </c>
      <c r="B530" s="17" t="s">
        <v>2</v>
      </c>
      <c r="C530" s="17" t="s">
        <v>3</v>
      </c>
      <c r="D530" s="17" t="s">
        <v>4</v>
      </c>
      <c r="E530">
        <v>4</v>
      </c>
      <c r="F530">
        <v>1000000</v>
      </c>
      <c r="G530">
        <v>0</v>
      </c>
      <c r="H530">
        <v>1000000</v>
      </c>
      <c r="I530" s="1">
        <v>46038</v>
      </c>
      <c r="J530" s="17" t="s">
        <v>20</v>
      </c>
      <c r="K530" t="s">
        <v>1057</v>
      </c>
    </row>
    <row r="531" spans="1:11" x14ac:dyDescent="0.25">
      <c r="A531" s="17" t="s">
        <v>677</v>
      </c>
      <c r="B531" s="17" t="s">
        <v>7</v>
      </c>
      <c r="C531" s="17" t="s">
        <v>17</v>
      </c>
      <c r="D531" s="17" t="s">
        <v>9</v>
      </c>
      <c r="E531">
        <v>6</v>
      </c>
      <c r="F531">
        <v>450000</v>
      </c>
      <c r="G531">
        <v>0</v>
      </c>
      <c r="H531">
        <v>450000</v>
      </c>
      <c r="I531" s="1">
        <v>46148</v>
      </c>
      <c r="J531" s="17" t="s">
        <v>10</v>
      </c>
      <c r="K531" t="s">
        <v>1057</v>
      </c>
    </row>
    <row r="532" spans="1:11" x14ac:dyDescent="0.25">
      <c r="A532" s="17" t="s">
        <v>678</v>
      </c>
      <c r="B532" s="17" t="s">
        <v>25</v>
      </c>
      <c r="C532" s="17" t="s">
        <v>13</v>
      </c>
      <c r="D532" s="17" t="s">
        <v>32</v>
      </c>
      <c r="E532">
        <v>8</v>
      </c>
      <c r="F532">
        <v>1480000</v>
      </c>
      <c r="G532">
        <v>0</v>
      </c>
      <c r="H532">
        <v>1480000</v>
      </c>
      <c r="I532" s="1">
        <v>46224</v>
      </c>
      <c r="J532" s="17" t="s">
        <v>20</v>
      </c>
      <c r="K532" t="s">
        <v>1057</v>
      </c>
    </row>
    <row r="533" spans="1:11" x14ac:dyDescent="0.25">
      <c r="A533" s="17" t="s">
        <v>679</v>
      </c>
      <c r="B533" s="17" t="s">
        <v>12</v>
      </c>
      <c r="C533" s="17" t="s">
        <v>17</v>
      </c>
      <c r="D533" s="17" t="s">
        <v>18</v>
      </c>
      <c r="E533">
        <v>9</v>
      </c>
      <c r="F533">
        <v>405000</v>
      </c>
      <c r="G533">
        <v>15000</v>
      </c>
      <c r="H533">
        <v>390000</v>
      </c>
      <c r="I533" s="1">
        <v>46244</v>
      </c>
      <c r="J533" s="17" t="s">
        <v>10</v>
      </c>
      <c r="K533" t="s">
        <v>1057</v>
      </c>
    </row>
    <row r="534" spans="1:11" x14ac:dyDescent="0.25">
      <c r="A534" s="17" t="s">
        <v>680</v>
      </c>
      <c r="B534" s="17" t="s">
        <v>25</v>
      </c>
      <c r="C534" s="17" t="s">
        <v>3</v>
      </c>
      <c r="D534" s="17" t="s">
        <v>18</v>
      </c>
      <c r="E534">
        <v>9</v>
      </c>
      <c r="F534">
        <v>2250000</v>
      </c>
      <c r="G534">
        <v>0</v>
      </c>
      <c r="H534">
        <v>2250000</v>
      </c>
      <c r="I534" s="1">
        <v>46262</v>
      </c>
      <c r="J534" s="17" t="s">
        <v>10</v>
      </c>
      <c r="K534" t="s">
        <v>1057</v>
      </c>
    </row>
    <row r="535" spans="1:11" x14ac:dyDescent="0.25">
      <c r="A535" s="17" t="s">
        <v>681</v>
      </c>
      <c r="B535" s="17" t="s">
        <v>7</v>
      </c>
      <c r="C535" s="17" t="s">
        <v>3</v>
      </c>
      <c r="D535" s="17" t="s">
        <v>4</v>
      </c>
      <c r="E535">
        <v>6</v>
      </c>
      <c r="F535">
        <v>720000</v>
      </c>
      <c r="G535">
        <v>0</v>
      </c>
      <c r="H535">
        <v>720000</v>
      </c>
      <c r="I535" s="1">
        <v>46083</v>
      </c>
      <c r="J535" s="17" t="s">
        <v>10</v>
      </c>
      <c r="K535" t="s">
        <v>1057</v>
      </c>
    </row>
    <row r="536" spans="1:11" x14ac:dyDescent="0.25">
      <c r="A536" s="17" t="s">
        <v>682</v>
      </c>
      <c r="B536" s="17" t="s">
        <v>2</v>
      </c>
      <c r="C536" s="17" t="s">
        <v>27</v>
      </c>
      <c r="D536" s="17" t="s">
        <v>9</v>
      </c>
      <c r="E536">
        <v>10</v>
      </c>
      <c r="F536">
        <v>2500000</v>
      </c>
      <c r="G536">
        <v>0</v>
      </c>
      <c r="H536">
        <v>2500000</v>
      </c>
      <c r="I536" s="1">
        <v>46041</v>
      </c>
      <c r="J536" s="17" t="s">
        <v>10</v>
      </c>
      <c r="K536" t="s">
        <v>1057</v>
      </c>
    </row>
    <row r="537" spans="1:11" x14ac:dyDescent="0.25">
      <c r="A537" s="17" t="s">
        <v>683</v>
      </c>
      <c r="B537" s="17" t="s">
        <v>12</v>
      </c>
      <c r="C537" s="17" t="s">
        <v>3</v>
      </c>
      <c r="D537" s="17" t="s">
        <v>9</v>
      </c>
      <c r="E537">
        <v>9</v>
      </c>
      <c r="F537">
        <v>1665000</v>
      </c>
      <c r="G537">
        <v>10000</v>
      </c>
      <c r="H537">
        <v>1655000</v>
      </c>
      <c r="I537" s="1">
        <v>46116</v>
      </c>
      <c r="J537" s="17" t="s">
        <v>20</v>
      </c>
      <c r="K537" t="s">
        <v>1057</v>
      </c>
    </row>
    <row r="538" spans="1:11" x14ac:dyDescent="0.25">
      <c r="A538" s="17" t="s">
        <v>684</v>
      </c>
      <c r="B538" s="17" t="s">
        <v>25</v>
      </c>
      <c r="C538" s="17" t="s">
        <v>29</v>
      </c>
      <c r="D538" s="17" t="s">
        <v>30</v>
      </c>
      <c r="E538">
        <v>10</v>
      </c>
      <c r="F538">
        <v>450000</v>
      </c>
      <c r="G538">
        <v>10000</v>
      </c>
      <c r="H538">
        <v>440000</v>
      </c>
      <c r="I538" s="1">
        <v>46145</v>
      </c>
      <c r="J538" s="17" t="s">
        <v>5</v>
      </c>
      <c r="K538" t="s">
        <v>1057</v>
      </c>
    </row>
    <row r="539" spans="1:11" x14ac:dyDescent="0.25">
      <c r="A539" s="17" t="s">
        <v>685</v>
      </c>
      <c r="B539" s="17" t="s">
        <v>25</v>
      </c>
      <c r="C539" s="17" t="s">
        <v>29</v>
      </c>
      <c r="D539" s="17" t="s">
        <v>30</v>
      </c>
      <c r="E539">
        <v>4</v>
      </c>
      <c r="F539">
        <v>1000000</v>
      </c>
      <c r="G539">
        <v>5000</v>
      </c>
      <c r="H539">
        <v>995000</v>
      </c>
      <c r="I539" s="1">
        <v>46189</v>
      </c>
      <c r="J539" s="17" t="s">
        <v>5</v>
      </c>
      <c r="K539" t="s">
        <v>1057</v>
      </c>
    </row>
    <row r="540" spans="1:11" x14ac:dyDescent="0.25">
      <c r="A540" s="17" t="s">
        <v>686</v>
      </c>
      <c r="B540" s="17" t="s">
        <v>12</v>
      </c>
      <c r="C540" s="17" t="s">
        <v>29</v>
      </c>
      <c r="D540" s="17" t="s">
        <v>32</v>
      </c>
      <c r="E540">
        <v>1</v>
      </c>
      <c r="F540">
        <v>250000</v>
      </c>
      <c r="G540">
        <v>0</v>
      </c>
      <c r="H540">
        <v>250000</v>
      </c>
      <c r="I540" s="1">
        <v>46145</v>
      </c>
      <c r="J540" s="17" t="s">
        <v>5</v>
      </c>
      <c r="K540" t="s">
        <v>1057</v>
      </c>
    </row>
    <row r="541" spans="1:11" x14ac:dyDescent="0.25">
      <c r="A541" s="17" t="s">
        <v>687</v>
      </c>
      <c r="B541" s="17" t="s">
        <v>25</v>
      </c>
      <c r="C541" s="17" t="s">
        <v>29</v>
      </c>
      <c r="D541" s="17" t="s">
        <v>4</v>
      </c>
      <c r="E541">
        <v>2</v>
      </c>
      <c r="F541">
        <v>240000</v>
      </c>
      <c r="G541">
        <v>15000</v>
      </c>
      <c r="H541">
        <v>225000</v>
      </c>
      <c r="I541" s="1">
        <v>46236</v>
      </c>
      <c r="J541" s="17" t="s">
        <v>10</v>
      </c>
      <c r="K541" t="s">
        <v>1057</v>
      </c>
    </row>
    <row r="542" spans="1:11" x14ac:dyDescent="0.25">
      <c r="A542" s="17" t="s">
        <v>689</v>
      </c>
      <c r="B542" s="17" t="s">
        <v>12</v>
      </c>
      <c r="C542" s="17" t="s">
        <v>8</v>
      </c>
      <c r="D542" s="17" t="s">
        <v>4</v>
      </c>
      <c r="E542">
        <v>8</v>
      </c>
      <c r="F542">
        <v>600000</v>
      </c>
      <c r="G542">
        <v>10000</v>
      </c>
      <c r="H542">
        <v>590000</v>
      </c>
      <c r="I542" s="1">
        <v>46177</v>
      </c>
      <c r="J542" s="17" t="s">
        <v>10</v>
      </c>
      <c r="K542" t="s">
        <v>1057</v>
      </c>
    </row>
    <row r="543" spans="1:11" x14ac:dyDescent="0.25">
      <c r="A543" s="17" t="s">
        <v>690</v>
      </c>
      <c r="B543" s="17" t="s">
        <v>2</v>
      </c>
      <c r="C543" s="17" t="s">
        <v>3</v>
      </c>
      <c r="D543" s="17" t="s">
        <v>32</v>
      </c>
      <c r="E543">
        <v>8</v>
      </c>
      <c r="F543">
        <v>2000000</v>
      </c>
      <c r="G543">
        <v>0</v>
      </c>
      <c r="H543">
        <v>2000000</v>
      </c>
      <c r="I543" s="1">
        <v>46120</v>
      </c>
      <c r="J543" s="17" t="s">
        <v>5</v>
      </c>
      <c r="K543" t="s">
        <v>1057</v>
      </c>
    </row>
    <row r="544" spans="1:11" x14ac:dyDescent="0.25">
      <c r="A544" s="17" t="s">
        <v>691</v>
      </c>
      <c r="B544" s="17" t="s">
        <v>2</v>
      </c>
      <c r="C544" s="17" t="s">
        <v>8</v>
      </c>
      <c r="D544" s="17" t="s">
        <v>4</v>
      </c>
      <c r="E544">
        <v>5</v>
      </c>
      <c r="F544">
        <v>600000</v>
      </c>
      <c r="G544">
        <v>0</v>
      </c>
      <c r="H544">
        <v>600000</v>
      </c>
      <c r="I544" s="1">
        <v>46161</v>
      </c>
      <c r="J544" s="17" t="s">
        <v>20</v>
      </c>
      <c r="K544" t="s">
        <v>1057</v>
      </c>
    </row>
    <row r="545" spans="1:11" x14ac:dyDescent="0.25">
      <c r="A545" s="17" t="s">
        <v>692</v>
      </c>
      <c r="B545" s="17" t="s">
        <v>25</v>
      </c>
      <c r="C545" s="17" t="s">
        <v>27</v>
      </c>
      <c r="D545" s="17" t="s">
        <v>30</v>
      </c>
      <c r="E545">
        <v>2</v>
      </c>
      <c r="F545">
        <v>150000</v>
      </c>
      <c r="G545">
        <v>5000</v>
      </c>
      <c r="H545">
        <v>145000</v>
      </c>
      <c r="I545" s="1">
        <v>46255</v>
      </c>
      <c r="J545" s="17" t="s">
        <v>10</v>
      </c>
      <c r="K545" t="s">
        <v>1057</v>
      </c>
    </row>
    <row r="546" spans="1:11" x14ac:dyDescent="0.25">
      <c r="A546" s="17" t="s">
        <v>693</v>
      </c>
      <c r="B546" s="17" t="s">
        <v>7</v>
      </c>
      <c r="C546" s="17" t="s">
        <v>3</v>
      </c>
      <c r="D546" s="17" t="s">
        <v>32</v>
      </c>
      <c r="E546">
        <v>6</v>
      </c>
      <c r="F546">
        <v>1110000</v>
      </c>
      <c r="G546">
        <v>0</v>
      </c>
      <c r="H546">
        <v>1110000</v>
      </c>
      <c r="I546" s="1">
        <v>46046</v>
      </c>
      <c r="J546" s="17" t="s">
        <v>10</v>
      </c>
      <c r="K546" t="s">
        <v>1057</v>
      </c>
    </row>
    <row r="547" spans="1:11" x14ac:dyDescent="0.25">
      <c r="A547" s="17" t="s">
        <v>694</v>
      </c>
      <c r="B547" s="17" t="s">
        <v>12</v>
      </c>
      <c r="C547" s="17" t="s">
        <v>8</v>
      </c>
      <c r="D547" s="17" t="s">
        <v>18</v>
      </c>
      <c r="E547">
        <v>7</v>
      </c>
      <c r="F547">
        <v>315000</v>
      </c>
      <c r="G547">
        <v>5000</v>
      </c>
      <c r="H547">
        <v>310000</v>
      </c>
      <c r="I547" s="1">
        <v>46225</v>
      </c>
      <c r="J547" s="17" t="s">
        <v>20</v>
      </c>
      <c r="K547" t="s">
        <v>1057</v>
      </c>
    </row>
    <row r="548" spans="1:11" x14ac:dyDescent="0.25">
      <c r="A548" s="17" t="s">
        <v>695</v>
      </c>
      <c r="B548" s="17" t="s">
        <v>12</v>
      </c>
      <c r="C548" s="17" t="s">
        <v>27</v>
      </c>
      <c r="D548" s="17" t="s">
        <v>4</v>
      </c>
      <c r="E548">
        <v>10</v>
      </c>
      <c r="F548">
        <v>1200000</v>
      </c>
      <c r="G548">
        <v>0</v>
      </c>
      <c r="H548">
        <v>1200000</v>
      </c>
      <c r="I548" s="1">
        <v>46249</v>
      </c>
      <c r="J548" s="17" t="s">
        <v>33</v>
      </c>
      <c r="K548" t="s">
        <v>1057</v>
      </c>
    </row>
    <row r="549" spans="1:11" x14ac:dyDescent="0.25">
      <c r="A549" s="17" t="s">
        <v>696</v>
      </c>
      <c r="B549" s="17" t="s">
        <v>7</v>
      </c>
      <c r="C549" s="17" t="s">
        <v>8</v>
      </c>
      <c r="D549" s="17" t="s">
        <v>4</v>
      </c>
      <c r="E549">
        <v>10</v>
      </c>
      <c r="F549">
        <v>2500000</v>
      </c>
      <c r="G549">
        <v>0</v>
      </c>
      <c r="H549">
        <v>2500000</v>
      </c>
      <c r="I549" s="1">
        <v>46079</v>
      </c>
      <c r="J549" s="17" t="s">
        <v>5</v>
      </c>
      <c r="K549" t="s">
        <v>1057</v>
      </c>
    </row>
    <row r="550" spans="1:11" x14ac:dyDescent="0.25">
      <c r="A550" s="17" t="s">
        <v>697</v>
      </c>
      <c r="B550" s="17" t="s">
        <v>12</v>
      </c>
      <c r="C550" s="17" t="s">
        <v>13</v>
      </c>
      <c r="D550" s="17" t="s">
        <v>18</v>
      </c>
      <c r="E550">
        <v>5</v>
      </c>
      <c r="F550">
        <v>225000</v>
      </c>
      <c r="G550">
        <v>0</v>
      </c>
      <c r="H550">
        <v>225000</v>
      </c>
      <c r="I550" s="1">
        <v>46249</v>
      </c>
      <c r="J550" s="17" t="s">
        <v>20</v>
      </c>
      <c r="K550" t="s">
        <v>1057</v>
      </c>
    </row>
    <row r="551" spans="1:11" x14ac:dyDescent="0.25">
      <c r="A551" s="17" t="s">
        <v>698</v>
      </c>
      <c r="B551" s="17" t="s">
        <v>25</v>
      </c>
      <c r="C551" s="17" t="s">
        <v>29</v>
      </c>
      <c r="D551" s="17" t="s">
        <v>4</v>
      </c>
      <c r="E551">
        <v>2</v>
      </c>
      <c r="F551">
        <v>500000</v>
      </c>
      <c r="G551">
        <v>0</v>
      </c>
      <c r="H551">
        <v>500000</v>
      </c>
      <c r="I551" s="1">
        <v>46035</v>
      </c>
      <c r="J551" s="17" t="s">
        <v>33</v>
      </c>
      <c r="K551" t="s">
        <v>1057</v>
      </c>
    </row>
    <row r="552" spans="1:11" x14ac:dyDescent="0.25">
      <c r="A552" s="17" t="s">
        <v>699</v>
      </c>
      <c r="B552" s="17" t="s">
        <v>7</v>
      </c>
      <c r="C552" s="17" t="s">
        <v>13</v>
      </c>
      <c r="D552" s="17" t="s">
        <v>4</v>
      </c>
      <c r="E552">
        <v>2</v>
      </c>
      <c r="F552">
        <v>500000</v>
      </c>
      <c r="G552">
        <v>0</v>
      </c>
      <c r="H552">
        <v>500000</v>
      </c>
      <c r="I552" s="1">
        <v>46070</v>
      </c>
      <c r="J552" s="17" t="s">
        <v>20</v>
      </c>
      <c r="K552" t="s">
        <v>1057</v>
      </c>
    </row>
    <row r="553" spans="1:11" x14ac:dyDescent="0.25">
      <c r="A553" s="17" t="s">
        <v>700</v>
      </c>
      <c r="B553" s="17" t="s">
        <v>7</v>
      </c>
      <c r="C553" s="17" t="s">
        <v>13</v>
      </c>
      <c r="D553" s="17" t="s">
        <v>9</v>
      </c>
      <c r="E553">
        <v>8</v>
      </c>
      <c r="F553">
        <v>2000000</v>
      </c>
      <c r="G553">
        <v>0</v>
      </c>
      <c r="H553">
        <v>2000000</v>
      </c>
      <c r="I553" s="1">
        <v>46128</v>
      </c>
      <c r="J553" s="17" t="s">
        <v>5</v>
      </c>
      <c r="K553" t="s">
        <v>1057</v>
      </c>
    </row>
    <row r="554" spans="1:11" x14ac:dyDescent="0.25">
      <c r="A554" s="17" t="s">
        <v>701</v>
      </c>
      <c r="B554" s="17" t="s">
        <v>7</v>
      </c>
      <c r="C554" s="17" t="s">
        <v>13</v>
      </c>
      <c r="D554" s="17" t="s">
        <v>30</v>
      </c>
      <c r="E554">
        <v>10</v>
      </c>
      <c r="F554">
        <v>2500000</v>
      </c>
      <c r="G554">
        <v>10000</v>
      </c>
      <c r="H554">
        <v>2490000</v>
      </c>
      <c r="I554" s="1">
        <v>46193</v>
      </c>
      <c r="J554" s="17" t="s">
        <v>20</v>
      </c>
      <c r="K554" t="s">
        <v>1057</v>
      </c>
    </row>
    <row r="555" spans="1:11" x14ac:dyDescent="0.25">
      <c r="A555" s="17" t="s">
        <v>702</v>
      </c>
      <c r="B555" s="17" t="s">
        <v>7</v>
      </c>
      <c r="C555" s="17" t="s">
        <v>29</v>
      </c>
      <c r="D555" s="17" t="s">
        <v>32</v>
      </c>
      <c r="E555">
        <v>1</v>
      </c>
      <c r="F555">
        <v>185000</v>
      </c>
      <c r="G555">
        <v>0</v>
      </c>
      <c r="H555">
        <v>185000</v>
      </c>
      <c r="I555" s="1">
        <v>46084</v>
      </c>
      <c r="J555" s="17" t="s">
        <v>20</v>
      </c>
      <c r="K555" t="s">
        <v>1057</v>
      </c>
    </row>
    <row r="556" spans="1:11" x14ac:dyDescent="0.25">
      <c r="A556" s="17" t="s">
        <v>703</v>
      </c>
      <c r="B556" s="17" t="s">
        <v>2</v>
      </c>
      <c r="C556" s="17" t="s">
        <v>27</v>
      </c>
      <c r="D556" s="17" t="s">
        <v>30</v>
      </c>
      <c r="E556">
        <v>8</v>
      </c>
      <c r="F556">
        <v>360000</v>
      </c>
      <c r="G556">
        <v>15000</v>
      </c>
      <c r="H556">
        <v>345000</v>
      </c>
      <c r="I556" s="1">
        <v>46041</v>
      </c>
      <c r="J556" s="17" t="s">
        <v>20</v>
      </c>
      <c r="K556" t="s">
        <v>1057</v>
      </c>
    </row>
    <row r="557" spans="1:11" x14ac:dyDescent="0.25">
      <c r="A557" s="17" t="s">
        <v>704</v>
      </c>
      <c r="B557" s="17" t="s">
        <v>12</v>
      </c>
      <c r="C557" s="17" t="s">
        <v>17</v>
      </c>
      <c r="D557" s="17" t="s">
        <v>32</v>
      </c>
      <c r="E557">
        <v>9</v>
      </c>
      <c r="F557">
        <v>1665000</v>
      </c>
      <c r="G557">
        <v>0</v>
      </c>
      <c r="H557">
        <v>1665000</v>
      </c>
      <c r="I557" s="1">
        <v>46191</v>
      </c>
      <c r="J557" s="17" t="s">
        <v>20</v>
      </c>
      <c r="K557" t="s">
        <v>1057</v>
      </c>
    </row>
    <row r="558" spans="1:11" x14ac:dyDescent="0.25">
      <c r="A558" s="17" t="s">
        <v>705</v>
      </c>
      <c r="B558" s="17" t="s">
        <v>12</v>
      </c>
      <c r="C558" s="17" t="s">
        <v>17</v>
      </c>
      <c r="D558" s="17" t="s">
        <v>30</v>
      </c>
      <c r="E558">
        <v>9</v>
      </c>
      <c r="F558">
        <v>2250000</v>
      </c>
      <c r="G558">
        <v>0</v>
      </c>
      <c r="H558">
        <v>2250000</v>
      </c>
      <c r="I558" s="1">
        <v>46109</v>
      </c>
      <c r="J558" s="17" t="s">
        <v>10</v>
      </c>
      <c r="K558" t="s">
        <v>1057</v>
      </c>
    </row>
    <row r="559" spans="1:11" x14ac:dyDescent="0.25">
      <c r="A559" s="17" t="s">
        <v>706</v>
      </c>
      <c r="B559" s="17" t="s">
        <v>2</v>
      </c>
      <c r="C559" s="17" t="s">
        <v>29</v>
      </c>
      <c r="D559" s="17" t="s">
        <v>18</v>
      </c>
      <c r="E559">
        <v>7</v>
      </c>
      <c r="F559">
        <v>840000</v>
      </c>
      <c r="G559">
        <v>0</v>
      </c>
      <c r="H559">
        <v>840000</v>
      </c>
      <c r="I559" s="1">
        <v>46125</v>
      </c>
      <c r="J559" s="17" t="s">
        <v>10</v>
      </c>
      <c r="K559" t="s">
        <v>1057</v>
      </c>
    </row>
    <row r="560" spans="1:11" x14ac:dyDescent="0.25">
      <c r="A560" s="17" t="s">
        <v>707</v>
      </c>
      <c r="B560" s="17" t="s">
        <v>12</v>
      </c>
      <c r="C560" s="17" t="s">
        <v>3</v>
      </c>
      <c r="D560" s="17" t="s">
        <v>9</v>
      </c>
      <c r="E560">
        <v>10</v>
      </c>
      <c r="F560">
        <v>450000</v>
      </c>
      <c r="G560">
        <v>0</v>
      </c>
      <c r="H560">
        <v>450000</v>
      </c>
      <c r="I560" s="1">
        <v>46227</v>
      </c>
      <c r="J560" s="17" t="s">
        <v>5</v>
      </c>
      <c r="K560" t="s">
        <v>1057</v>
      </c>
    </row>
    <row r="561" spans="1:11" x14ac:dyDescent="0.25">
      <c r="A561" s="17" t="s">
        <v>708</v>
      </c>
      <c r="B561" s="17" t="s">
        <v>2</v>
      </c>
      <c r="C561" s="17" t="s">
        <v>13</v>
      </c>
      <c r="D561" s="17" t="s">
        <v>9</v>
      </c>
      <c r="E561">
        <v>4</v>
      </c>
      <c r="F561">
        <v>180000</v>
      </c>
      <c r="G561">
        <v>0</v>
      </c>
      <c r="H561">
        <v>180000</v>
      </c>
      <c r="I561" s="1">
        <v>46133</v>
      </c>
      <c r="J561" s="17" t="s">
        <v>5</v>
      </c>
      <c r="K561" t="s">
        <v>1057</v>
      </c>
    </row>
    <row r="562" spans="1:11" x14ac:dyDescent="0.25">
      <c r="A562" s="17" t="s">
        <v>709</v>
      </c>
      <c r="B562" s="17" t="s">
        <v>25</v>
      </c>
      <c r="C562" s="17" t="s">
        <v>3</v>
      </c>
      <c r="D562" s="17" t="s">
        <v>9</v>
      </c>
      <c r="E562">
        <v>6</v>
      </c>
      <c r="F562">
        <v>450000</v>
      </c>
      <c r="G562">
        <v>15000</v>
      </c>
      <c r="H562">
        <v>435000</v>
      </c>
      <c r="I562" s="1">
        <v>46138</v>
      </c>
      <c r="J562" s="17" t="s">
        <v>33</v>
      </c>
      <c r="K562" t="s">
        <v>1057</v>
      </c>
    </row>
    <row r="563" spans="1:11" x14ac:dyDescent="0.25">
      <c r="A563" s="17" t="s">
        <v>710</v>
      </c>
      <c r="B563" s="17" t="s">
        <v>12</v>
      </c>
      <c r="C563" s="17" t="s">
        <v>17</v>
      </c>
      <c r="D563" s="17" t="s">
        <v>9</v>
      </c>
      <c r="E563">
        <v>1</v>
      </c>
      <c r="F563">
        <v>75000</v>
      </c>
      <c r="G563">
        <v>0</v>
      </c>
      <c r="H563">
        <v>75000</v>
      </c>
      <c r="I563" s="1">
        <v>46166</v>
      </c>
      <c r="J563" s="17" t="s">
        <v>5</v>
      </c>
      <c r="K563" t="s">
        <v>1057</v>
      </c>
    </row>
    <row r="564" spans="1:11" x14ac:dyDescent="0.25">
      <c r="A564" s="17" t="s">
        <v>711</v>
      </c>
      <c r="B564" s="17" t="s">
        <v>25</v>
      </c>
      <c r="C564" s="17" t="s">
        <v>3</v>
      </c>
      <c r="D564" s="17" t="s">
        <v>9</v>
      </c>
      <c r="E564">
        <v>9</v>
      </c>
      <c r="F564">
        <v>675000</v>
      </c>
      <c r="G564">
        <v>0</v>
      </c>
      <c r="H564">
        <v>675000</v>
      </c>
      <c r="I564" s="1">
        <v>46205</v>
      </c>
      <c r="J564" s="17" t="s">
        <v>10</v>
      </c>
      <c r="K564" t="s">
        <v>1057</v>
      </c>
    </row>
    <row r="565" spans="1:11" x14ac:dyDescent="0.25">
      <c r="A565" s="17" t="s">
        <v>712</v>
      </c>
      <c r="B565" s="17" t="s">
        <v>7</v>
      </c>
      <c r="C565" s="17" t="s">
        <v>13</v>
      </c>
      <c r="D565" s="17" t="s">
        <v>9</v>
      </c>
      <c r="E565">
        <v>5</v>
      </c>
      <c r="F565">
        <v>375000</v>
      </c>
      <c r="G565">
        <v>0</v>
      </c>
      <c r="H565">
        <v>375000</v>
      </c>
      <c r="I565" s="1">
        <v>46067</v>
      </c>
      <c r="J565" s="17" t="s">
        <v>33</v>
      </c>
      <c r="K565" t="s">
        <v>1057</v>
      </c>
    </row>
    <row r="566" spans="1:11" x14ac:dyDescent="0.25">
      <c r="A566" s="17" t="s">
        <v>713</v>
      </c>
      <c r="B566" s="17" t="s">
        <v>7</v>
      </c>
      <c r="C566" s="17" t="s">
        <v>8</v>
      </c>
      <c r="D566" s="17" t="s">
        <v>32</v>
      </c>
      <c r="E566">
        <v>8</v>
      </c>
      <c r="F566">
        <v>600000</v>
      </c>
      <c r="G566">
        <v>0</v>
      </c>
      <c r="H566">
        <v>600000</v>
      </c>
      <c r="I566" s="1">
        <v>46150</v>
      </c>
      <c r="J566" s="17" t="s">
        <v>33</v>
      </c>
      <c r="K566" t="s">
        <v>1057</v>
      </c>
    </row>
    <row r="567" spans="1:11" x14ac:dyDescent="0.25">
      <c r="A567" s="17" t="s">
        <v>714</v>
      </c>
      <c r="B567" s="17" t="s">
        <v>2</v>
      </c>
      <c r="C567" s="17" t="s">
        <v>3</v>
      </c>
      <c r="D567" s="17" t="s">
        <v>32</v>
      </c>
      <c r="E567">
        <v>8</v>
      </c>
      <c r="F567">
        <v>360000</v>
      </c>
      <c r="G567">
        <v>0</v>
      </c>
      <c r="H567">
        <v>360000</v>
      </c>
      <c r="I567" s="1">
        <v>46246</v>
      </c>
      <c r="J567" s="17" t="s">
        <v>5</v>
      </c>
      <c r="K567" t="s">
        <v>1057</v>
      </c>
    </row>
    <row r="568" spans="1:11" x14ac:dyDescent="0.25">
      <c r="A568" s="17" t="s">
        <v>715</v>
      </c>
      <c r="B568" s="17" t="s">
        <v>12</v>
      </c>
      <c r="C568" s="17" t="s">
        <v>8</v>
      </c>
      <c r="D568" s="17" t="s">
        <v>18</v>
      </c>
      <c r="E568">
        <v>8</v>
      </c>
      <c r="F568">
        <v>1480000</v>
      </c>
      <c r="G568">
        <v>0</v>
      </c>
      <c r="H568">
        <v>1480000</v>
      </c>
      <c r="I568" s="1">
        <v>46029</v>
      </c>
      <c r="J568" s="17" t="s">
        <v>10</v>
      </c>
      <c r="K568" t="s">
        <v>1057</v>
      </c>
    </row>
    <row r="569" spans="1:11" x14ac:dyDescent="0.25">
      <c r="A569" s="17" t="s">
        <v>716</v>
      </c>
      <c r="B569" s="17" t="s">
        <v>7</v>
      </c>
      <c r="C569" s="17" t="s">
        <v>17</v>
      </c>
      <c r="D569" s="17" t="s">
        <v>18</v>
      </c>
      <c r="E569">
        <v>6</v>
      </c>
      <c r="F569">
        <v>1110000</v>
      </c>
      <c r="G569">
        <v>0</v>
      </c>
      <c r="H569">
        <v>1110000</v>
      </c>
      <c r="I569" s="1">
        <v>46151</v>
      </c>
      <c r="J569" s="17" t="s">
        <v>33</v>
      </c>
      <c r="K569" t="s">
        <v>1057</v>
      </c>
    </row>
    <row r="570" spans="1:11" x14ac:dyDescent="0.25">
      <c r="A570" s="17" t="s">
        <v>717</v>
      </c>
      <c r="B570" s="17" t="s">
        <v>12</v>
      </c>
      <c r="C570" s="17" t="s">
        <v>8</v>
      </c>
      <c r="D570" s="17" t="s">
        <v>32</v>
      </c>
      <c r="E570">
        <v>6</v>
      </c>
      <c r="F570">
        <v>1110000</v>
      </c>
      <c r="G570">
        <v>0</v>
      </c>
      <c r="H570">
        <v>1110000</v>
      </c>
      <c r="I570" s="1">
        <v>46029</v>
      </c>
      <c r="J570" s="17" t="s">
        <v>33</v>
      </c>
      <c r="K570" t="s">
        <v>1057</v>
      </c>
    </row>
    <row r="571" spans="1:11" x14ac:dyDescent="0.25">
      <c r="A571" s="17" t="s">
        <v>718</v>
      </c>
      <c r="B571" s="17" t="s">
        <v>7</v>
      </c>
      <c r="C571" s="17" t="s">
        <v>8</v>
      </c>
      <c r="D571" s="17" t="s">
        <v>32</v>
      </c>
      <c r="E571">
        <v>6</v>
      </c>
      <c r="F571">
        <v>1110000</v>
      </c>
      <c r="G571">
        <v>0</v>
      </c>
      <c r="H571">
        <v>1110000</v>
      </c>
      <c r="I571" s="1">
        <v>46098</v>
      </c>
      <c r="J571" s="17" t="s">
        <v>20</v>
      </c>
      <c r="K571" t="s">
        <v>1057</v>
      </c>
    </row>
    <row r="572" spans="1:11" x14ac:dyDescent="0.25">
      <c r="A572" s="17" t="s">
        <v>719</v>
      </c>
      <c r="B572" s="17" t="s">
        <v>2</v>
      </c>
      <c r="C572" s="17" t="s">
        <v>27</v>
      </c>
      <c r="D572" s="17" t="s">
        <v>32</v>
      </c>
      <c r="E572">
        <v>1</v>
      </c>
      <c r="F572">
        <v>250000</v>
      </c>
      <c r="G572">
        <v>0</v>
      </c>
      <c r="H572">
        <v>250000</v>
      </c>
      <c r="I572" s="1">
        <v>46178</v>
      </c>
      <c r="J572" s="17" t="s">
        <v>33</v>
      </c>
      <c r="K572" t="s">
        <v>1057</v>
      </c>
    </row>
    <row r="573" spans="1:11" x14ac:dyDescent="0.25">
      <c r="A573" s="17" t="s">
        <v>720</v>
      </c>
      <c r="B573" s="17" t="s">
        <v>2</v>
      </c>
      <c r="C573" s="17" t="s">
        <v>13</v>
      </c>
      <c r="D573" s="17" t="s">
        <v>4</v>
      </c>
      <c r="E573">
        <v>2</v>
      </c>
      <c r="F573">
        <v>370000</v>
      </c>
      <c r="G573">
        <v>0</v>
      </c>
      <c r="H573">
        <v>370000</v>
      </c>
      <c r="I573" s="1">
        <v>46075</v>
      </c>
      <c r="J573" s="17" t="s">
        <v>33</v>
      </c>
      <c r="K573" t="s">
        <v>1057</v>
      </c>
    </row>
    <row r="574" spans="1:11" x14ac:dyDescent="0.25">
      <c r="A574" s="17" t="s">
        <v>721</v>
      </c>
      <c r="B574" s="17" t="s">
        <v>2</v>
      </c>
      <c r="C574" s="17" t="s">
        <v>3</v>
      </c>
      <c r="D574" s="17" t="s">
        <v>4</v>
      </c>
      <c r="E574">
        <v>2</v>
      </c>
      <c r="F574">
        <v>500000</v>
      </c>
      <c r="G574">
        <v>0</v>
      </c>
      <c r="H574">
        <v>500000</v>
      </c>
      <c r="I574" s="1">
        <v>46024</v>
      </c>
      <c r="J574" s="17" t="s">
        <v>5</v>
      </c>
      <c r="K574" t="s">
        <v>1057</v>
      </c>
    </row>
    <row r="575" spans="1:11" x14ac:dyDescent="0.25">
      <c r="A575" s="17" t="s">
        <v>722</v>
      </c>
      <c r="B575" s="17" t="s">
        <v>25</v>
      </c>
      <c r="C575" s="17" t="s">
        <v>3</v>
      </c>
      <c r="D575" s="17" t="s">
        <v>18</v>
      </c>
      <c r="E575">
        <v>9</v>
      </c>
      <c r="F575">
        <v>405000</v>
      </c>
      <c r="G575">
        <v>0</v>
      </c>
      <c r="H575">
        <v>405000</v>
      </c>
      <c r="I575" s="1">
        <v>46034</v>
      </c>
      <c r="J575" s="17" t="s">
        <v>5</v>
      </c>
      <c r="K575" t="s">
        <v>1057</v>
      </c>
    </row>
    <row r="576" spans="1:11" x14ac:dyDescent="0.25">
      <c r="A576" s="17" t="s">
        <v>723</v>
      </c>
      <c r="B576" s="17" t="s">
        <v>7</v>
      </c>
      <c r="C576" s="17" t="s">
        <v>27</v>
      </c>
      <c r="D576" s="17" t="s">
        <v>18</v>
      </c>
      <c r="E576">
        <v>4</v>
      </c>
      <c r="F576">
        <v>480000</v>
      </c>
      <c r="G576">
        <v>0</v>
      </c>
      <c r="H576">
        <v>480000</v>
      </c>
      <c r="I576" s="1">
        <v>46212</v>
      </c>
      <c r="J576" s="17" t="s">
        <v>10</v>
      </c>
      <c r="K576" t="s">
        <v>1057</v>
      </c>
    </row>
    <row r="577" spans="1:11" x14ac:dyDescent="0.25">
      <c r="A577" s="17" t="s">
        <v>726</v>
      </c>
      <c r="B577" s="17" t="s">
        <v>7</v>
      </c>
      <c r="C577" s="17" t="s">
        <v>8</v>
      </c>
      <c r="D577" s="17" t="s">
        <v>32</v>
      </c>
      <c r="E577">
        <v>3</v>
      </c>
      <c r="F577">
        <v>135000</v>
      </c>
      <c r="G577">
        <v>0</v>
      </c>
      <c r="H577">
        <v>135000</v>
      </c>
      <c r="I577" s="1">
        <v>46153</v>
      </c>
      <c r="J577" s="17" t="s">
        <v>5</v>
      </c>
      <c r="K577" t="s">
        <v>1057</v>
      </c>
    </row>
    <row r="578" spans="1:11" x14ac:dyDescent="0.25">
      <c r="A578" s="17" t="s">
        <v>727</v>
      </c>
      <c r="B578" s="17" t="s">
        <v>2</v>
      </c>
      <c r="C578" s="17" t="s">
        <v>8</v>
      </c>
      <c r="D578" s="17" t="s">
        <v>32</v>
      </c>
      <c r="E578">
        <v>2</v>
      </c>
      <c r="F578">
        <v>500000</v>
      </c>
      <c r="G578">
        <v>5000</v>
      </c>
      <c r="H578">
        <v>495000</v>
      </c>
      <c r="I578" s="1">
        <v>46029</v>
      </c>
      <c r="J578" s="17" t="s">
        <v>20</v>
      </c>
      <c r="K578" t="s">
        <v>1057</v>
      </c>
    </row>
    <row r="579" spans="1:11" x14ac:dyDescent="0.25">
      <c r="A579" s="17" t="s">
        <v>728</v>
      </c>
      <c r="B579" s="17" t="s">
        <v>12</v>
      </c>
      <c r="C579" s="17" t="s">
        <v>27</v>
      </c>
      <c r="D579" s="17" t="s">
        <v>4</v>
      </c>
      <c r="E579">
        <v>3</v>
      </c>
      <c r="F579">
        <v>360000</v>
      </c>
      <c r="G579">
        <v>0</v>
      </c>
      <c r="H579">
        <v>360000</v>
      </c>
      <c r="I579" s="1">
        <v>46044</v>
      </c>
      <c r="J579" s="17" t="s">
        <v>20</v>
      </c>
      <c r="K579" t="s">
        <v>1057</v>
      </c>
    </row>
    <row r="580" spans="1:11" x14ac:dyDescent="0.25">
      <c r="A580" s="17" t="s">
        <v>729</v>
      </c>
      <c r="B580" s="17" t="s">
        <v>25</v>
      </c>
      <c r="C580" s="17" t="s">
        <v>17</v>
      </c>
      <c r="D580" s="17" t="s">
        <v>32</v>
      </c>
      <c r="E580">
        <v>9</v>
      </c>
      <c r="F580">
        <v>1080000</v>
      </c>
      <c r="G580">
        <v>0</v>
      </c>
      <c r="H580">
        <v>1080000</v>
      </c>
      <c r="I580" s="1">
        <v>46064</v>
      </c>
      <c r="J580" s="17" t="s">
        <v>20</v>
      </c>
      <c r="K580" t="s">
        <v>1057</v>
      </c>
    </row>
    <row r="581" spans="1:11" x14ac:dyDescent="0.25">
      <c r="A581" s="17" t="s">
        <v>730</v>
      </c>
      <c r="B581" s="17" t="s">
        <v>7</v>
      </c>
      <c r="C581" s="17" t="s">
        <v>27</v>
      </c>
      <c r="D581" s="17" t="s">
        <v>30</v>
      </c>
      <c r="E581">
        <v>6</v>
      </c>
      <c r="F581">
        <v>450000</v>
      </c>
      <c r="G581">
        <v>0</v>
      </c>
      <c r="H581">
        <v>450000</v>
      </c>
      <c r="I581" s="1">
        <v>46103</v>
      </c>
      <c r="J581" s="17" t="s">
        <v>10</v>
      </c>
      <c r="K581" t="s">
        <v>1057</v>
      </c>
    </row>
    <row r="582" spans="1:11" x14ac:dyDescent="0.25">
      <c r="A582" s="17" t="s">
        <v>731</v>
      </c>
      <c r="B582" s="17" t="s">
        <v>7</v>
      </c>
      <c r="C582" s="17" t="s">
        <v>17</v>
      </c>
      <c r="D582" s="17" t="s">
        <v>32</v>
      </c>
      <c r="E582">
        <v>2</v>
      </c>
      <c r="F582">
        <v>500000</v>
      </c>
      <c r="G582">
        <v>0</v>
      </c>
      <c r="H582">
        <v>500000</v>
      </c>
      <c r="I582" s="1">
        <v>46167</v>
      </c>
      <c r="J582" s="17" t="s">
        <v>20</v>
      </c>
      <c r="K582" t="s">
        <v>1057</v>
      </c>
    </row>
    <row r="583" spans="1:11" x14ac:dyDescent="0.25">
      <c r="A583" s="17" t="s">
        <v>732</v>
      </c>
      <c r="B583" s="17" t="s">
        <v>2</v>
      </c>
      <c r="C583" s="17" t="s">
        <v>27</v>
      </c>
      <c r="D583" s="17" t="s">
        <v>32</v>
      </c>
      <c r="E583">
        <v>3</v>
      </c>
      <c r="F583">
        <v>360000</v>
      </c>
      <c r="G583">
        <v>0</v>
      </c>
      <c r="H583">
        <v>360000</v>
      </c>
      <c r="I583" s="1">
        <v>46080</v>
      </c>
      <c r="J583" s="17" t="s">
        <v>10</v>
      </c>
      <c r="K583" t="s">
        <v>1057</v>
      </c>
    </row>
    <row r="584" spans="1:11" x14ac:dyDescent="0.25">
      <c r="A584" s="17" t="s">
        <v>733</v>
      </c>
      <c r="B584" s="17" t="s">
        <v>7</v>
      </c>
      <c r="C584" s="17" t="s">
        <v>13</v>
      </c>
      <c r="D584" s="17" t="s">
        <v>18</v>
      </c>
      <c r="E584">
        <v>7</v>
      </c>
      <c r="F584">
        <v>1750000</v>
      </c>
      <c r="G584">
        <v>0</v>
      </c>
      <c r="H584">
        <v>1750000</v>
      </c>
      <c r="I584" s="1">
        <v>46037</v>
      </c>
      <c r="J584" s="17" t="s">
        <v>10</v>
      </c>
      <c r="K584" t="s">
        <v>1057</v>
      </c>
    </row>
    <row r="585" spans="1:11" x14ac:dyDescent="0.25">
      <c r="A585" s="17" t="s">
        <v>734</v>
      </c>
      <c r="B585" s="17" t="s">
        <v>12</v>
      </c>
      <c r="C585" s="17" t="s">
        <v>13</v>
      </c>
      <c r="D585" s="17" t="s">
        <v>18</v>
      </c>
      <c r="E585">
        <v>4</v>
      </c>
      <c r="F585">
        <v>300000</v>
      </c>
      <c r="G585">
        <v>0</v>
      </c>
      <c r="H585">
        <v>300000</v>
      </c>
      <c r="I585" s="1">
        <v>46223</v>
      </c>
      <c r="J585" s="17" t="s">
        <v>20</v>
      </c>
      <c r="K585" t="s">
        <v>1057</v>
      </c>
    </row>
    <row r="586" spans="1:11" x14ac:dyDescent="0.25">
      <c r="A586" s="17" t="s">
        <v>735</v>
      </c>
      <c r="B586" s="17" t="s">
        <v>2</v>
      </c>
      <c r="C586" s="17" t="s">
        <v>29</v>
      </c>
      <c r="D586" s="17" t="s">
        <v>4</v>
      </c>
      <c r="E586">
        <v>6</v>
      </c>
      <c r="F586">
        <v>1110000</v>
      </c>
      <c r="G586">
        <v>0</v>
      </c>
      <c r="H586">
        <v>1110000</v>
      </c>
      <c r="I586" s="1">
        <v>46249</v>
      </c>
      <c r="J586" s="17" t="s">
        <v>5</v>
      </c>
      <c r="K586" t="s">
        <v>1057</v>
      </c>
    </row>
    <row r="587" spans="1:11" x14ac:dyDescent="0.25">
      <c r="A587" s="17" t="s">
        <v>736</v>
      </c>
      <c r="B587" s="17" t="s">
        <v>7</v>
      </c>
      <c r="C587" s="17" t="s">
        <v>3</v>
      </c>
      <c r="D587" s="17" t="s">
        <v>30</v>
      </c>
      <c r="E587">
        <v>8</v>
      </c>
      <c r="F587">
        <v>2000000</v>
      </c>
      <c r="G587">
        <v>0</v>
      </c>
      <c r="H587">
        <v>2000000</v>
      </c>
      <c r="I587" s="1">
        <v>46194</v>
      </c>
      <c r="J587" s="17" t="s">
        <v>20</v>
      </c>
      <c r="K587" t="s">
        <v>1057</v>
      </c>
    </row>
    <row r="588" spans="1:11" x14ac:dyDescent="0.25">
      <c r="A588" s="17" t="s">
        <v>738</v>
      </c>
      <c r="B588" s="17" t="s">
        <v>2</v>
      </c>
      <c r="C588" s="17" t="s">
        <v>29</v>
      </c>
      <c r="D588" s="17" t="s">
        <v>32</v>
      </c>
      <c r="E588">
        <v>4</v>
      </c>
      <c r="F588">
        <v>1000000</v>
      </c>
      <c r="G588">
        <v>0</v>
      </c>
      <c r="H588">
        <v>1000000</v>
      </c>
      <c r="I588" s="1">
        <v>46247</v>
      </c>
      <c r="J588" s="17" t="s">
        <v>20</v>
      </c>
      <c r="K588" t="s">
        <v>1057</v>
      </c>
    </row>
    <row r="589" spans="1:11" x14ac:dyDescent="0.25">
      <c r="A589" s="17" t="s">
        <v>739</v>
      </c>
      <c r="B589" s="17" t="s">
        <v>7</v>
      </c>
      <c r="C589" s="17" t="s">
        <v>27</v>
      </c>
      <c r="D589" s="17" t="s">
        <v>30</v>
      </c>
      <c r="E589">
        <v>10</v>
      </c>
      <c r="F589">
        <v>450000</v>
      </c>
      <c r="G589">
        <v>0</v>
      </c>
      <c r="H589">
        <v>450000</v>
      </c>
      <c r="I589" s="1">
        <v>46034</v>
      </c>
      <c r="J589" s="17" t="s">
        <v>5</v>
      </c>
      <c r="K589" t="s">
        <v>1057</v>
      </c>
    </row>
    <row r="590" spans="1:11" x14ac:dyDescent="0.25">
      <c r="A590" s="17" t="s">
        <v>741</v>
      </c>
      <c r="B590" s="17" t="s">
        <v>25</v>
      </c>
      <c r="C590" s="17" t="s">
        <v>8</v>
      </c>
      <c r="D590" s="17" t="s">
        <v>30</v>
      </c>
      <c r="E590">
        <v>7</v>
      </c>
      <c r="F590">
        <v>1295000</v>
      </c>
      <c r="G590">
        <v>15000</v>
      </c>
      <c r="H590">
        <v>1280000</v>
      </c>
      <c r="I590" s="1">
        <v>46029</v>
      </c>
      <c r="J590" s="17" t="s">
        <v>10</v>
      </c>
      <c r="K590" t="s">
        <v>1057</v>
      </c>
    </row>
    <row r="591" spans="1:11" x14ac:dyDescent="0.25">
      <c r="A591" s="17" t="s">
        <v>742</v>
      </c>
      <c r="B591" s="17" t="s">
        <v>12</v>
      </c>
      <c r="C591" s="17" t="s">
        <v>3</v>
      </c>
      <c r="D591" s="17" t="s">
        <v>32</v>
      </c>
      <c r="E591">
        <v>3</v>
      </c>
      <c r="F591">
        <v>135000</v>
      </c>
      <c r="G591">
        <v>0</v>
      </c>
      <c r="H591">
        <v>135000</v>
      </c>
      <c r="I591" s="1">
        <v>46191</v>
      </c>
      <c r="J591" s="17" t="s">
        <v>33</v>
      </c>
      <c r="K591" t="s">
        <v>1057</v>
      </c>
    </row>
    <row r="592" spans="1:11" x14ac:dyDescent="0.25">
      <c r="A592" s="17" t="s">
        <v>743</v>
      </c>
      <c r="B592" s="17" t="s">
        <v>25</v>
      </c>
      <c r="C592" s="17" t="s">
        <v>13</v>
      </c>
      <c r="D592" s="17" t="s">
        <v>32</v>
      </c>
      <c r="E592">
        <v>10</v>
      </c>
      <c r="F592">
        <v>1850000</v>
      </c>
      <c r="G592">
        <v>0</v>
      </c>
      <c r="H592">
        <v>1850000</v>
      </c>
      <c r="I592" s="1">
        <v>46085</v>
      </c>
      <c r="J592" s="17" t="s">
        <v>20</v>
      </c>
      <c r="K592" t="s">
        <v>1057</v>
      </c>
    </row>
    <row r="593" spans="1:11" x14ac:dyDescent="0.25">
      <c r="A593" s="17" t="s">
        <v>745</v>
      </c>
      <c r="B593" s="17" t="s">
        <v>2</v>
      </c>
      <c r="C593" s="17" t="s">
        <v>29</v>
      </c>
      <c r="D593" s="17" t="s">
        <v>9</v>
      </c>
      <c r="E593">
        <v>5</v>
      </c>
      <c r="F593">
        <v>600000</v>
      </c>
      <c r="G593">
        <v>5000</v>
      </c>
      <c r="H593">
        <v>595000</v>
      </c>
      <c r="I593" s="1">
        <v>46025</v>
      </c>
      <c r="J593" s="17" t="s">
        <v>10</v>
      </c>
      <c r="K593" t="s">
        <v>1057</v>
      </c>
    </row>
    <row r="594" spans="1:11" x14ac:dyDescent="0.25">
      <c r="A594" s="17" t="s">
        <v>746</v>
      </c>
      <c r="B594" s="17" t="s">
        <v>25</v>
      </c>
      <c r="C594" s="17" t="s">
        <v>17</v>
      </c>
      <c r="D594" s="17" t="s">
        <v>9</v>
      </c>
      <c r="E594">
        <v>3</v>
      </c>
      <c r="F594">
        <v>750000</v>
      </c>
      <c r="G594">
        <v>0</v>
      </c>
      <c r="H594">
        <v>750000</v>
      </c>
      <c r="I594" s="1">
        <v>46183</v>
      </c>
      <c r="J594" s="17" t="s">
        <v>5</v>
      </c>
      <c r="K594" t="s">
        <v>1057</v>
      </c>
    </row>
    <row r="595" spans="1:11" x14ac:dyDescent="0.25">
      <c r="A595" s="17" t="s">
        <v>747</v>
      </c>
      <c r="B595" s="17" t="s">
        <v>2</v>
      </c>
      <c r="C595" s="17" t="s">
        <v>3</v>
      </c>
      <c r="D595" s="17" t="s">
        <v>32</v>
      </c>
      <c r="E595">
        <v>4</v>
      </c>
      <c r="F595">
        <v>480000</v>
      </c>
      <c r="G595">
        <v>5000</v>
      </c>
      <c r="H595">
        <v>475000</v>
      </c>
      <c r="I595" s="1">
        <v>46139</v>
      </c>
      <c r="J595" s="17" t="s">
        <v>33</v>
      </c>
      <c r="K595" t="s">
        <v>1057</v>
      </c>
    </row>
    <row r="596" spans="1:11" x14ac:dyDescent="0.25">
      <c r="A596" s="17" t="s">
        <v>751</v>
      </c>
      <c r="B596" s="17" t="s">
        <v>25</v>
      </c>
      <c r="C596" s="17" t="s">
        <v>27</v>
      </c>
      <c r="D596" s="17" t="s">
        <v>4</v>
      </c>
      <c r="E596">
        <v>2</v>
      </c>
      <c r="F596">
        <v>90000</v>
      </c>
      <c r="G596">
        <v>0</v>
      </c>
      <c r="H596">
        <v>90000</v>
      </c>
      <c r="I596" s="1">
        <v>46106</v>
      </c>
      <c r="J596" s="17" t="s">
        <v>5</v>
      </c>
      <c r="K596" t="s">
        <v>1057</v>
      </c>
    </row>
    <row r="597" spans="1:11" x14ac:dyDescent="0.25">
      <c r="A597" s="17" t="s">
        <v>752</v>
      </c>
      <c r="B597" s="17" t="s">
        <v>7</v>
      </c>
      <c r="C597" s="17" t="s">
        <v>17</v>
      </c>
      <c r="D597" s="17" t="s">
        <v>30</v>
      </c>
      <c r="E597">
        <v>7</v>
      </c>
      <c r="F597">
        <v>1295000</v>
      </c>
      <c r="G597">
        <v>0</v>
      </c>
      <c r="H597">
        <v>1295000</v>
      </c>
      <c r="I597" s="1">
        <v>46084</v>
      </c>
      <c r="J597" s="17" t="s">
        <v>10</v>
      </c>
      <c r="K597" t="s">
        <v>1057</v>
      </c>
    </row>
    <row r="598" spans="1:11" x14ac:dyDescent="0.25">
      <c r="A598" s="17" t="s">
        <v>753</v>
      </c>
      <c r="B598" s="17" t="s">
        <v>2</v>
      </c>
      <c r="C598" s="17" t="s">
        <v>13</v>
      </c>
      <c r="D598" s="17" t="s">
        <v>4</v>
      </c>
      <c r="E598">
        <v>9</v>
      </c>
      <c r="F598">
        <v>405000</v>
      </c>
      <c r="G598">
        <v>0</v>
      </c>
      <c r="H598">
        <v>405000</v>
      </c>
      <c r="I598" s="1">
        <v>46239</v>
      </c>
      <c r="J598" s="17" t="s">
        <v>20</v>
      </c>
      <c r="K598" t="s">
        <v>1057</v>
      </c>
    </row>
    <row r="599" spans="1:11" x14ac:dyDescent="0.25">
      <c r="A599" s="17" t="s">
        <v>754</v>
      </c>
      <c r="B599" s="17" t="s">
        <v>25</v>
      </c>
      <c r="C599" s="17" t="s">
        <v>13</v>
      </c>
      <c r="D599" s="17" t="s">
        <v>18</v>
      </c>
      <c r="E599">
        <v>9</v>
      </c>
      <c r="F599">
        <v>1080000</v>
      </c>
      <c r="G599">
        <v>0</v>
      </c>
      <c r="H599">
        <v>1080000</v>
      </c>
      <c r="I599" s="1">
        <v>46075</v>
      </c>
      <c r="J599" s="17" t="s">
        <v>5</v>
      </c>
      <c r="K599" t="s">
        <v>1057</v>
      </c>
    </row>
    <row r="600" spans="1:11" x14ac:dyDescent="0.25">
      <c r="A600" s="17" t="s">
        <v>756</v>
      </c>
      <c r="B600" s="17" t="s">
        <v>25</v>
      </c>
      <c r="C600" s="17" t="s">
        <v>8</v>
      </c>
      <c r="D600" s="17" t="s">
        <v>4</v>
      </c>
      <c r="E600">
        <v>5</v>
      </c>
      <c r="F600">
        <v>600000</v>
      </c>
      <c r="G600">
        <v>0</v>
      </c>
      <c r="H600">
        <v>600000</v>
      </c>
      <c r="I600" s="1">
        <v>46046</v>
      </c>
      <c r="J600" s="17" t="s">
        <v>33</v>
      </c>
      <c r="K600" t="s">
        <v>1057</v>
      </c>
    </row>
    <row r="601" spans="1:11" x14ac:dyDescent="0.25">
      <c r="A601" s="17" t="s">
        <v>757</v>
      </c>
      <c r="B601" s="17" t="s">
        <v>12</v>
      </c>
      <c r="C601" s="17" t="s">
        <v>17</v>
      </c>
      <c r="D601" s="17" t="s">
        <v>9</v>
      </c>
      <c r="E601">
        <v>8</v>
      </c>
      <c r="F601">
        <v>2000000</v>
      </c>
      <c r="G601">
        <v>0</v>
      </c>
      <c r="H601">
        <v>2000000</v>
      </c>
      <c r="I601" s="1">
        <v>46243</v>
      </c>
      <c r="J601" s="17" t="s">
        <v>5</v>
      </c>
      <c r="K601" t="s">
        <v>1057</v>
      </c>
    </row>
    <row r="602" spans="1:11" x14ac:dyDescent="0.25">
      <c r="A602" s="17" t="s">
        <v>758</v>
      </c>
      <c r="B602" s="17" t="s">
        <v>2</v>
      </c>
      <c r="C602" s="17" t="s">
        <v>29</v>
      </c>
      <c r="D602" s="17" t="s">
        <v>9</v>
      </c>
      <c r="E602">
        <v>1</v>
      </c>
      <c r="F602">
        <v>250000</v>
      </c>
      <c r="G602">
        <v>0</v>
      </c>
      <c r="H602">
        <v>250000</v>
      </c>
      <c r="I602" s="1">
        <v>46048</v>
      </c>
      <c r="J602" s="17" t="s">
        <v>33</v>
      </c>
      <c r="K602" t="s">
        <v>1057</v>
      </c>
    </row>
    <row r="603" spans="1:11" x14ac:dyDescent="0.25">
      <c r="A603" s="17" t="s">
        <v>759</v>
      </c>
      <c r="B603" s="17" t="s">
        <v>7</v>
      </c>
      <c r="C603" s="17" t="s">
        <v>8</v>
      </c>
      <c r="D603" s="17" t="s">
        <v>30</v>
      </c>
      <c r="E603">
        <v>7</v>
      </c>
      <c r="F603">
        <v>525000</v>
      </c>
      <c r="G603">
        <v>5000</v>
      </c>
      <c r="H603">
        <v>520000</v>
      </c>
      <c r="I603" s="1">
        <v>46131</v>
      </c>
      <c r="J603" s="17" t="s">
        <v>20</v>
      </c>
      <c r="K603" t="s">
        <v>1057</v>
      </c>
    </row>
    <row r="604" spans="1:11" x14ac:dyDescent="0.25">
      <c r="A604" s="17" t="s">
        <v>760</v>
      </c>
      <c r="B604" s="17" t="s">
        <v>25</v>
      </c>
      <c r="C604" s="17" t="s">
        <v>17</v>
      </c>
      <c r="D604" s="17" t="s">
        <v>9</v>
      </c>
      <c r="E604">
        <v>1</v>
      </c>
      <c r="F604">
        <v>75000</v>
      </c>
      <c r="G604">
        <v>0</v>
      </c>
      <c r="H604">
        <v>75000</v>
      </c>
      <c r="I604" s="1">
        <v>46032</v>
      </c>
      <c r="J604" s="17" t="s">
        <v>10</v>
      </c>
      <c r="K604" t="s">
        <v>1057</v>
      </c>
    </row>
    <row r="605" spans="1:11" x14ac:dyDescent="0.25">
      <c r="A605" s="17" t="s">
        <v>761</v>
      </c>
      <c r="B605" s="17" t="s">
        <v>7</v>
      </c>
      <c r="C605" s="17" t="s">
        <v>27</v>
      </c>
      <c r="D605" s="17" t="s">
        <v>32</v>
      </c>
      <c r="E605">
        <v>5</v>
      </c>
      <c r="F605">
        <v>1250000</v>
      </c>
      <c r="G605">
        <v>0</v>
      </c>
      <c r="H605">
        <v>1250000</v>
      </c>
      <c r="I605" s="1">
        <v>46107</v>
      </c>
      <c r="J605" s="17" t="s">
        <v>10</v>
      </c>
      <c r="K605" t="s">
        <v>1057</v>
      </c>
    </row>
    <row r="606" spans="1:11" x14ac:dyDescent="0.25">
      <c r="A606" s="17" t="s">
        <v>763</v>
      </c>
      <c r="B606" s="17" t="s">
        <v>25</v>
      </c>
      <c r="C606" s="17" t="s">
        <v>17</v>
      </c>
      <c r="D606" s="17" t="s">
        <v>32</v>
      </c>
      <c r="E606">
        <v>3</v>
      </c>
      <c r="F606">
        <v>555000</v>
      </c>
      <c r="G606">
        <v>0</v>
      </c>
      <c r="H606">
        <v>555000</v>
      </c>
      <c r="I606" s="1">
        <v>46130</v>
      </c>
      <c r="J606" s="17" t="s">
        <v>10</v>
      </c>
      <c r="K606" t="s">
        <v>1057</v>
      </c>
    </row>
    <row r="607" spans="1:11" x14ac:dyDescent="0.25">
      <c r="A607" s="17" t="s">
        <v>764</v>
      </c>
      <c r="B607" s="17" t="s">
        <v>25</v>
      </c>
      <c r="C607" s="17" t="s">
        <v>17</v>
      </c>
      <c r="D607" s="17" t="s">
        <v>18</v>
      </c>
      <c r="E607">
        <v>8</v>
      </c>
      <c r="F607">
        <v>2000000</v>
      </c>
      <c r="G607">
        <v>0</v>
      </c>
      <c r="H607">
        <v>2000000</v>
      </c>
      <c r="I607" s="1">
        <v>46261</v>
      </c>
      <c r="J607" s="17" t="s">
        <v>33</v>
      </c>
      <c r="K607" t="s">
        <v>1057</v>
      </c>
    </row>
    <row r="608" spans="1:11" x14ac:dyDescent="0.25">
      <c r="A608" s="17" t="s">
        <v>765</v>
      </c>
      <c r="B608" s="17" t="s">
        <v>2</v>
      </c>
      <c r="C608" s="17" t="s">
        <v>29</v>
      </c>
      <c r="D608" s="17" t="s">
        <v>18</v>
      </c>
      <c r="E608">
        <v>10</v>
      </c>
      <c r="F608">
        <v>750000</v>
      </c>
      <c r="G608">
        <v>0</v>
      </c>
      <c r="H608">
        <v>750000</v>
      </c>
      <c r="I608" s="1">
        <v>46236</v>
      </c>
      <c r="J608" s="17" t="s">
        <v>5</v>
      </c>
      <c r="K608" t="s">
        <v>1057</v>
      </c>
    </row>
    <row r="609" spans="1:11" x14ac:dyDescent="0.25">
      <c r="A609" s="17" t="s">
        <v>766</v>
      </c>
      <c r="B609" s="17" t="s">
        <v>12</v>
      </c>
      <c r="C609" s="17" t="s">
        <v>29</v>
      </c>
      <c r="D609" s="17" t="s">
        <v>9</v>
      </c>
      <c r="E609">
        <v>5</v>
      </c>
      <c r="F609">
        <v>600000</v>
      </c>
      <c r="G609">
        <v>10000</v>
      </c>
      <c r="H609">
        <v>590000</v>
      </c>
      <c r="I609" s="1">
        <v>46088</v>
      </c>
      <c r="J609" s="17" t="s">
        <v>10</v>
      </c>
      <c r="K609" t="s">
        <v>1057</v>
      </c>
    </row>
    <row r="610" spans="1:11" x14ac:dyDescent="0.25">
      <c r="A610" s="17" t="s">
        <v>767</v>
      </c>
      <c r="B610" s="17" t="s">
        <v>12</v>
      </c>
      <c r="C610" s="17" t="s">
        <v>27</v>
      </c>
      <c r="D610" s="17" t="s">
        <v>18</v>
      </c>
      <c r="E610">
        <v>8</v>
      </c>
      <c r="F610">
        <v>1480000</v>
      </c>
      <c r="G610">
        <v>0</v>
      </c>
      <c r="H610">
        <v>1480000</v>
      </c>
      <c r="I610" s="1">
        <v>46251</v>
      </c>
      <c r="J610" s="17" t="s">
        <v>33</v>
      </c>
      <c r="K610" t="s">
        <v>1057</v>
      </c>
    </row>
    <row r="611" spans="1:11" x14ac:dyDescent="0.25">
      <c r="A611" s="17" t="s">
        <v>768</v>
      </c>
      <c r="B611" s="17" t="s">
        <v>12</v>
      </c>
      <c r="C611" s="17" t="s">
        <v>13</v>
      </c>
      <c r="D611" s="17" t="s">
        <v>32</v>
      </c>
      <c r="E611">
        <v>4</v>
      </c>
      <c r="F611">
        <v>1000000</v>
      </c>
      <c r="G611">
        <v>0</v>
      </c>
      <c r="H611">
        <v>1000000</v>
      </c>
      <c r="I611" s="1">
        <v>46090</v>
      </c>
      <c r="J611" s="17" t="s">
        <v>33</v>
      </c>
      <c r="K611" t="s">
        <v>1057</v>
      </c>
    </row>
    <row r="612" spans="1:11" x14ac:dyDescent="0.25">
      <c r="A612" s="17" t="s">
        <v>769</v>
      </c>
      <c r="B612" s="17" t="s">
        <v>2</v>
      </c>
      <c r="C612" s="17" t="s">
        <v>29</v>
      </c>
      <c r="D612" s="17" t="s">
        <v>9</v>
      </c>
      <c r="E612">
        <v>10</v>
      </c>
      <c r="F612">
        <v>750000</v>
      </c>
      <c r="G612">
        <v>0</v>
      </c>
      <c r="H612">
        <v>750000</v>
      </c>
      <c r="I612" s="1">
        <v>46097</v>
      </c>
      <c r="J612" s="17" t="s">
        <v>5</v>
      </c>
      <c r="K612" t="s">
        <v>1057</v>
      </c>
    </row>
    <row r="613" spans="1:11" x14ac:dyDescent="0.25">
      <c r="A613" s="17" t="s">
        <v>772</v>
      </c>
      <c r="B613" s="17" t="s">
        <v>7</v>
      </c>
      <c r="C613" s="17" t="s">
        <v>27</v>
      </c>
      <c r="D613" s="17" t="s">
        <v>9</v>
      </c>
      <c r="E613">
        <v>10</v>
      </c>
      <c r="F613">
        <v>1200000</v>
      </c>
      <c r="G613">
        <v>0</v>
      </c>
      <c r="H613">
        <v>1200000</v>
      </c>
      <c r="I613" s="1">
        <v>46198</v>
      </c>
      <c r="J613" s="17" t="s">
        <v>33</v>
      </c>
      <c r="K613" t="s">
        <v>1057</v>
      </c>
    </row>
    <row r="614" spans="1:11" x14ac:dyDescent="0.25">
      <c r="A614" s="17" t="s">
        <v>773</v>
      </c>
      <c r="B614" s="17" t="s">
        <v>25</v>
      </c>
      <c r="C614" s="17" t="s">
        <v>17</v>
      </c>
      <c r="D614" s="17" t="s">
        <v>9</v>
      </c>
      <c r="E614">
        <v>4</v>
      </c>
      <c r="F614">
        <v>480000</v>
      </c>
      <c r="G614">
        <v>0</v>
      </c>
      <c r="H614">
        <v>480000</v>
      </c>
      <c r="I614" s="1">
        <v>46230</v>
      </c>
      <c r="J614" s="17" t="s">
        <v>33</v>
      </c>
      <c r="K614" t="s">
        <v>1057</v>
      </c>
    </row>
    <row r="615" spans="1:11" x14ac:dyDescent="0.25">
      <c r="A615" s="17" t="s">
        <v>774</v>
      </c>
      <c r="B615" s="17" t="s">
        <v>7</v>
      </c>
      <c r="C615" s="17" t="s">
        <v>8</v>
      </c>
      <c r="D615" s="17" t="s">
        <v>9</v>
      </c>
      <c r="E615">
        <v>2</v>
      </c>
      <c r="F615">
        <v>370000</v>
      </c>
      <c r="G615">
        <v>0</v>
      </c>
      <c r="H615">
        <v>370000</v>
      </c>
      <c r="I615" s="1">
        <v>46048</v>
      </c>
      <c r="J615" s="17" t="s">
        <v>5</v>
      </c>
      <c r="K615" t="s">
        <v>1057</v>
      </c>
    </row>
    <row r="616" spans="1:11" x14ac:dyDescent="0.25">
      <c r="A616" s="17" t="s">
        <v>775</v>
      </c>
      <c r="B616" s="17" t="s">
        <v>12</v>
      </c>
      <c r="C616" s="17" t="s">
        <v>8</v>
      </c>
      <c r="D616" s="17" t="s">
        <v>18</v>
      </c>
      <c r="E616">
        <v>2</v>
      </c>
      <c r="F616">
        <v>90000</v>
      </c>
      <c r="G616">
        <v>0</v>
      </c>
      <c r="H616">
        <v>90000</v>
      </c>
      <c r="I616" s="1">
        <v>46185</v>
      </c>
      <c r="J616" s="17" t="s">
        <v>33</v>
      </c>
      <c r="K616" t="s">
        <v>1057</v>
      </c>
    </row>
    <row r="617" spans="1:11" x14ac:dyDescent="0.25">
      <c r="A617" s="17" t="s">
        <v>776</v>
      </c>
      <c r="B617" s="17" t="s">
        <v>25</v>
      </c>
      <c r="C617" s="17" t="s">
        <v>27</v>
      </c>
      <c r="D617" s="17" t="s">
        <v>32</v>
      </c>
      <c r="E617">
        <v>8</v>
      </c>
      <c r="F617">
        <v>960000</v>
      </c>
      <c r="G617">
        <v>0</v>
      </c>
      <c r="H617">
        <v>960000</v>
      </c>
      <c r="I617" s="1">
        <v>46179</v>
      </c>
      <c r="J617" s="17" t="s">
        <v>5</v>
      </c>
      <c r="K617" t="s">
        <v>1057</v>
      </c>
    </row>
    <row r="618" spans="1:11" x14ac:dyDescent="0.25">
      <c r="A618" s="17" t="s">
        <v>777</v>
      </c>
      <c r="B618" s="17" t="s">
        <v>2</v>
      </c>
      <c r="C618" s="17" t="s">
        <v>17</v>
      </c>
      <c r="D618" s="17" t="s">
        <v>32</v>
      </c>
      <c r="E618">
        <v>9</v>
      </c>
      <c r="F618">
        <v>2250000</v>
      </c>
      <c r="G618">
        <v>0</v>
      </c>
      <c r="H618">
        <v>2250000</v>
      </c>
      <c r="I618" s="1">
        <v>46090</v>
      </c>
      <c r="J618" s="17" t="s">
        <v>33</v>
      </c>
      <c r="K618" t="s">
        <v>1057</v>
      </c>
    </row>
    <row r="619" spans="1:11" x14ac:dyDescent="0.25">
      <c r="A619" s="17" t="s">
        <v>778</v>
      </c>
      <c r="B619" s="17" t="s">
        <v>2</v>
      </c>
      <c r="C619" s="17" t="s">
        <v>3</v>
      </c>
      <c r="D619" s="17" t="s">
        <v>30</v>
      </c>
      <c r="E619">
        <v>4</v>
      </c>
      <c r="F619">
        <v>740000</v>
      </c>
      <c r="G619">
        <v>0</v>
      </c>
      <c r="H619">
        <v>740000</v>
      </c>
      <c r="I619" s="1">
        <v>46146</v>
      </c>
      <c r="J619" s="17" t="s">
        <v>33</v>
      </c>
      <c r="K619" t="s">
        <v>1057</v>
      </c>
    </row>
    <row r="620" spans="1:11" x14ac:dyDescent="0.25">
      <c r="A620" s="17" t="s">
        <v>779</v>
      </c>
      <c r="B620" s="17" t="s">
        <v>2</v>
      </c>
      <c r="C620" s="17" t="s">
        <v>3</v>
      </c>
      <c r="D620" s="17" t="s">
        <v>18</v>
      </c>
      <c r="E620">
        <v>2</v>
      </c>
      <c r="F620">
        <v>370000</v>
      </c>
      <c r="G620">
        <v>15000</v>
      </c>
      <c r="H620">
        <v>355000</v>
      </c>
      <c r="I620" s="1">
        <v>46119</v>
      </c>
      <c r="J620" s="17" t="s">
        <v>20</v>
      </c>
      <c r="K620" t="s">
        <v>1057</v>
      </c>
    </row>
    <row r="621" spans="1:11" x14ac:dyDescent="0.25">
      <c r="A621" s="17" t="s">
        <v>780</v>
      </c>
      <c r="B621" s="17" t="s">
        <v>7</v>
      </c>
      <c r="C621" s="17" t="s">
        <v>8</v>
      </c>
      <c r="D621" s="17" t="s">
        <v>9</v>
      </c>
      <c r="E621">
        <v>3</v>
      </c>
      <c r="F621">
        <v>555000</v>
      </c>
      <c r="G621">
        <v>10000</v>
      </c>
      <c r="H621">
        <v>545000</v>
      </c>
      <c r="I621" s="1">
        <v>46121</v>
      </c>
      <c r="J621" s="17" t="s">
        <v>33</v>
      </c>
      <c r="K621" t="s">
        <v>1057</v>
      </c>
    </row>
    <row r="622" spans="1:11" x14ac:dyDescent="0.25">
      <c r="A622" s="17" t="s">
        <v>781</v>
      </c>
      <c r="B622" s="17" t="s">
        <v>25</v>
      </c>
      <c r="C622" s="17" t="s">
        <v>29</v>
      </c>
      <c r="D622" s="17" t="s">
        <v>9</v>
      </c>
      <c r="E622">
        <v>10</v>
      </c>
      <c r="F622">
        <v>450000</v>
      </c>
      <c r="G622">
        <v>0</v>
      </c>
      <c r="H622">
        <v>450000</v>
      </c>
      <c r="I622" s="1">
        <v>46177</v>
      </c>
      <c r="J622" s="17" t="s">
        <v>10</v>
      </c>
      <c r="K622" t="s">
        <v>1057</v>
      </c>
    </row>
    <row r="623" spans="1:11" x14ac:dyDescent="0.25">
      <c r="A623" s="17" t="s">
        <v>782</v>
      </c>
      <c r="B623" s="17" t="s">
        <v>7</v>
      </c>
      <c r="C623" s="17" t="s">
        <v>3</v>
      </c>
      <c r="D623" s="17" t="s">
        <v>4</v>
      </c>
      <c r="E623">
        <v>2</v>
      </c>
      <c r="F623">
        <v>150000</v>
      </c>
      <c r="G623">
        <v>0</v>
      </c>
      <c r="H623">
        <v>150000</v>
      </c>
      <c r="I623" s="1">
        <v>46235</v>
      </c>
      <c r="J623" s="17" t="s">
        <v>33</v>
      </c>
      <c r="K623" t="s">
        <v>1057</v>
      </c>
    </row>
    <row r="624" spans="1:11" x14ac:dyDescent="0.25">
      <c r="A624" s="17" t="s">
        <v>783</v>
      </c>
      <c r="B624" s="17" t="s">
        <v>2</v>
      </c>
      <c r="C624" s="17" t="s">
        <v>8</v>
      </c>
      <c r="D624" s="17" t="s">
        <v>4</v>
      </c>
      <c r="E624">
        <v>8</v>
      </c>
      <c r="F624">
        <v>600000</v>
      </c>
      <c r="G624">
        <v>0</v>
      </c>
      <c r="H624">
        <v>600000</v>
      </c>
      <c r="I624" s="1">
        <v>46154</v>
      </c>
      <c r="J624" s="17" t="s">
        <v>10</v>
      </c>
      <c r="K624" t="s">
        <v>1057</v>
      </c>
    </row>
    <row r="625" spans="1:11" x14ac:dyDescent="0.25">
      <c r="A625" s="17" t="s">
        <v>784</v>
      </c>
      <c r="B625" s="17" t="s">
        <v>12</v>
      </c>
      <c r="C625" s="17" t="s">
        <v>8</v>
      </c>
      <c r="D625" s="17" t="s">
        <v>30</v>
      </c>
      <c r="E625">
        <v>3</v>
      </c>
      <c r="F625">
        <v>135000</v>
      </c>
      <c r="G625">
        <v>15000</v>
      </c>
      <c r="H625">
        <v>120000</v>
      </c>
      <c r="I625" s="1">
        <v>46029</v>
      </c>
      <c r="J625" s="17" t="s">
        <v>10</v>
      </c>
      <c r="K625" t="s">
        <v>1057</v>
      </c>
    </row>
    <row r="626" spans="1:11" x14ac:dyDescent="0.25">
      <c r="A626" s="17" t="s">
        <v>785</v>
      </c>
      <c r="B626" s="17" t="s">
        <v>7</v>
      </c>
      <c r="C626" s="17" t="s">
        <v>27</v>
      </c>
      <c r="D626" s="17" t="s">
        <v>4</v>
      </c>
      <c r="E626">
        <v>9</v>
      </c>
      <c r="F626">
        <v>675000</v>
      </c>
      <c r="G626">
        <v>0</v>
      </c>
      <c r="H626">
        <v>675000</v>
      </c>
      <c r="I626" s="1">
        <v>46033</v>
      </c>
      <c r="J626" s="17" t="s">
        <v>33</v>
      </c>
      <c r="K626" t="s">
        <v>1057</v>
      </c>
    </row>
    <row r="627" spans="1:11" x14ac:dyDescent="0.25">
      <c r="A627" s="17" t="s">
        <v>786</v>
      </c>
      <c r="B627" s="17" t="s">
        <v>25</v>
      </c>
      <c r="C627" s="17" t="s">
        <v>27</v>
      </c>
      <c r="D627" s="17" t="s">
        <v>9</v>
      </c>
      <c r="E627">
        <v>9</v>
      </c>
      <c r="F627">
        <v>1080000</v>
      </c>
      <c r="G627">
        <v>0</v>
      </c>
      <c r="H627">
        <v>1080000</v>
      </c>
      <c r="I627" s="1">
        <v>46241</v>
      </c>
      <c r="J627" s="17" t="s">
        <v>20</v>
      </c>
      <c r="K627" t="s">
        <v>1057</v>
      </c>
    </row>
    <row r="628" spans="1:11" x14ac:dyDescent="0.25">
      <c r="A628" s="17" t="s">
        <v>787</v>
      </c>
      <c r="B628" s="17" t="s">
        <v>2</v>
      </c>
      <c r="C628" s="17" t="s">
        <v>17</v>
      </c>
      <c r="D628" s="17" t="s">
        <v>9</v>
      </c>
      <c r="E628">
        <v>6</v>
      </c>
      <c r="F628">
        <v>450000</v>
      </c>
      <c r="G628">
        <v>0</v>
      </c>
      <c r="H628">
        <v>450000</v>
      </c>
      <c r="I628" s="1">
        <v>46106</v>
      </c>
      <c r="J628" s="17" t="s">
        <v>10</v>
      </c>
      <c r="K628" t="s">
        <v>1057</v>
      </c>
    </row>
    <row r="629" spans="1:11" x14ac:dyDescent="0.25">
      <c r="A629" s="17" t="s">
        <v>788</v>
      </c>
      <c r="B629" s="17" t="s">
        <v>7</v>
      </c>
      <c r="C629" s="17" t="s">
        <v>29</v>
      </c>
      <c r="D629" s="17" t="s">
        <v>4</v>
      </c>
      <c r="E629">
        <v>1</v>
      </c>
      <c r="F629">
        <v>120000</v>
      </c>
      <c r="G629">
        <v>0</v>
      </c>
      <c r="H629">
        <v>120000</v>
      </c>
      <c r="I629" s="1">
        <v>46134</v>
      </c>
      <c r="J629" s="17" t="s">
        <v>5</v>
      </c>
      <c r="K629" t="s">
        <v>1057</v>
      </c>
    </row>
    <row r="630" spans="1:11" x14ac:dyDescent="0.25">
      <c r="A630" s="17" t="s">
        <v>789</v>
      </c>
      <c r="B630" s="17" t="s">
        <v>25</v>
      </c>
      <c r="C630" s="17" t="s">
        <v>13</v>
      </c>
      <c r="D630" s="17" t="s">
        <v>30</v>
      </c>
      <c r="E630">
        <v>7</v>
      </c>
      <c r="F630">
        <v>525000</v>
      </c>
      <c r="G630">
        <v>5000</v>
      </c>
      <c r="H630">
        <v>520000</v>
      </c>
      <c r="I630" s="1">
        <v>46046</v>
      </c>
      <c r="J630" s="17" t="s">
        <v>33</v>
      </c>
      <c r="K630" t="s">
        <v>1057</v>
      </c>
    </row>
    <row r="631" spans="1:11" x14ac:dyDescent="0.25">
      <c r="A631" s="17" t="s">
        <v>791</v>
      </c>
      <c r="B631" s="17" t="s">
        <v>25</v>
      </c>
      <c r="C631" s="17" t="s">
        <v>3</v>
      </c>
      <c r="D631" s="17" t="s">
        <v>18</v>
      </c>
      <c r="E631">
        <v>7</v>
      </c>
      <c r="F631">
        <v>315000</v>
      </c>
      <c r="G631">
        <v>0</v>
      </c>
      <c r="H631">
        <v>315000</v>
      </c>
      <c r="I631" s="1">
        <v>46140</v>
      </c>
      <c r="J631" s="17" t="s">
        <v>10</v>
      </c>
      <c r="K631" t="s">
        <v>1057</v>
      </c>
    </row>
    <row r="632" spans="1:11" x14ac:dyDescent="0.25">
      <c r="A632" s="17" t="s">
        <v>792</v>
      </c>
      <c r="B632" s="17" t="s">
        <v>2</v>
      </c>
      <c r="C632" s="17" t="s">
        <v>13</v>
      </c>
      <c r="D632" s="17" t="s">
        <v>30</v>
      </c>
      <c r="E632">
        <v>6</v>
      </c>
      <c r="F632">
        <v>270000</v>
      </c>
      <c r="G632">
        <v>0</v>
      </c>
      <c r="H632">
        <v>270000</v>
      </c>
      <c r="I632" s="1">
        <v>46127</v>
      </c>
      <c r="J632" s="17" t="s">
        <v>33</v>
      </c>
      <c r="K632" t="s">
        <v>1057</v>
      </c>
    </row>
    <row r="633" spans="1:11" x14ac:dyDescent="0.25">
      <c r="A633" s="17" t="s">
        <v>793</v>
      </c>
      <c r="B633" s="17" t="s">
        <v>12</v>
      </c>
      <c r="C633" s="17" t="s">
        <v>29</v>
      </c>
      <c r="D633" s="17" t="s">
        <v>18</v>
      </c>
      <c r="E633">
        <v>4</v>
      </c>
      <c r="F633">
        <v>1000000</v>
      </c>
      <c r="G633">
        <v>5000</v>
      </c>
      <c r="H633">
        <v>995000</v>
      </c>
      <c r="I633" s="1">
        <v>46119</v>
      </c>
      <c r="J633" s="17" t="s">
        <v>20</v>
      </c>
      <c r="K633" t="s">
        <v>1057</v>
      </c>
    </row>
    <row r="634" spans="1:11" x14ac:dyDescent="0.25">
      <c r="A634" s="17" t="s">
        <v>794</v>
      </c>
      <c r="B634" s="17" t="s">
        <v>7</v>
      </c>
      <c r="C634" s="17" t="s">
        <v>13</v>
      </c>
      <c r="D634" s="17" t="s">
        <v>4</v>
      </c>
      <c r="E634">
        <v>1</v>
      </c>
      <c r="F634">
        <v>45000</v>
      </c>
      <c r="G634">
        <v>5000</v>
      </c>
      <c r="H634">
        <v>40000</v>
      </c>
      <c r="I634" s="1">
        <v>46096</v>
      </c>
      <c r="J634" s="17" t="s">
        <v>10</v>
      </c>
      <c r="K634" t="s">
        <v>1057</v>
      </c>
    </row>
    <row r="635" spans="1:11" x14ac:dyDescent="0.25">
      <c r="A635" s="17" t="s">
        <v>795</v>
      </c>
      <c r="B635" s="17" t="s">
        <v>7</v>
      </c>
      <c r="C635" s="17" t="s">
        <v>29</v>
      </c>
      <c r="D635" s="17" t="s">
        <v>18</v>
      </c>
      <c r="E635">
        <v>3</v>
      </c>
      <c r="F635">
        <v>135000</v>
      </c>
      <c r="G635">
        <v>0</v>
      </c>
      <c r="H635">
        <v>135000</v>
      </c>
      <c r="I635" s="1">
        <v>46086</v>
      </c>
      <c r="J635" s="17" t="s">
        <v>5</v>
      </c>
      <c r="K635" t="s">
        <v>1057</v>
      </c>
    </row>
    <row r="636" spans="1:11" x14ac:dyDescent="0.25">
      <c r="A636" s="17" t="s">
        <v>796</v>
      </c>
      <c r="B636" s="17" t="s">
        <v>12</v>
      </c>
      <c r="C636" s="17" t="s">
        <v>3</v>
      </c>
      <c r="D636" s="17" t="s">
        <v>9</v>
      </c>
      <c r="E636">
        <v>4</v>
      </c>
      <c r="F636">
        <v>480000</v>
      </c>
      <c r="G636">
        <v>0</v>
      </c>
      <c r="H636">
        <v>480000</v>
      </c>
      <c r="I636" s="1">
        <v>46241</v>
      </c>
      <c r="J636" s="17" t="s">
        <v>5</v>
      </c>
      <c r="K636" t="s">
        <v>1057</v>
      </c>
    </row>
    <row r="637" spans="1:11" x14ac:dyDescent="0.25">
      <c r="A637" s="17" t="s">
        <v>797</v>
      </c>
      <c r="B637" s="17" t="s">
        <v>7</v>
      </c>
      <c r="C637" s="17" t="s">
        <v>13</v>
      </c>
      <c r="D637" s="17" t="s">
        <v>18</v>
      </c>
      <c r="E637">
        <v>7</v>
      </c>
      <c r="F637">
        <v>1750000</v>
      </c>
      <c r="G637">
        <v>0</v>
      </c>
      <c r="H637">
        <v>1750000</v>
      </c>
      <c r="I637" s="1">
        <v>46029</v>
      </c>
      <c r="J637" s="17" t="s">
        <v>20</v>
      </c>
      <c r="K637" t="s">
        <v>1057</v>
      </c>
    </row>
    <row r="638" spans="1:11" x14ac:dyDescent="0.25">
      <c r="A638" s="17" t="s">
        <v>798</v>
      </c>
      <c r="B638" s="17" t="s">
        <v>7</v>
      </c>
      <c r="C638" s="17" t="s">
        <v>27</v>
      </c>
      <c r="D638" s="17" t="s">
        <v>18</v>
      </c>
      <c r="E638">
        <v>10</v>
      </c>
      <c r="F638">
        <v>750000</v>
      </c>
      <c r="G638">
        <v>0</v>
      </c>
      <c r="H638">
        <v>750000</v>
      </c>
      <c r="I638" s="1">
        <v>46106</v>
      </c>
      <c r="J638" s="17" t="s">
        <v>20</v>
      </c>
      <c r="K638" t="s">
        <v>1057</v>
      </c>
    </row>
    <row r="639" spans="1:11" x14ac:dyDescent="0.25">
      <c r="A639" s="17" t="s">
        <v>799</v>
      </c>
      <c r="B639" s="17" t="s">
        <v>25</v>
      </c>
      <c r="C639" s="17" t="s">
        <v>13</v>
      </c>
      <c r="D639" s="17" t="s">
        <v>4</v>
      </c>
      <c r="E639">
        <v>2</v>
      </c>
      <c r="F639">
        <v>500000</v>
      </c>
      <c r="G639">
        <v>15000</v>
      </c>
      <c r="H639">
        <v>485000</v>
      </c>
      <c r="I639" s="1">
        <v>46063</v>
      </c>
      <c r="J639" s="17" t="s">
        <v>20</v>
      </c>
      <c r="K639" t="s">
        <v>1057</v>
      </c>
    </row>
    <row r="640" spans="1:11" x14ac:dyDescent="0.25">
      <c r="A640" s="17" t="s">
        <v>800</v>
      </c>
      <c r="B640" s="17" t="s">
        <v>7</v>
      </c>
      <c r="C640" s="17" t="s">
        <v>17</v>
      </c>
      <c r="D640" s="17" t="s">
        <v>30</v>
      </c>
      <c r="E640">
        <v>8</v>
      </c>
      <c r="F640">
        <v>2000000</v>
      </c>
      <c r="G640">
        <v>10000</v>
      </c>
      <c r="H640">
        <v>1990000</v>
      </c>
      <c r="I640" s="1">
        <v>46226</v>
      </c>
      <c r="J640" s="17" t="s">
        <v>20</v>
      </c>
      <c r="K640" t="s">
        <v>1057</v>
      </c>
    </row>
    <row r="641" spans="1:11" x14ac:dyDescent="0.25">
      <c r="A641" s="17" t="s">
        <v>801</v>
      </c>
      <c r="B641" s="17" t="s">
        <v>25</v>
      </c>
      <c r="C641" s="17" t="s">
        <v>13</v>
      </c>
      <c r="D641" s="17" t="s">
        <v>4</v>
      </c>
      <c r="E641">
        <v>1</v>
      </c>
      <c r="F641">
        <v>250000</v>
      </c>
      <c r="G641">
        <v>0</v>
      </c>
      <c r="H641">
        <v>250000</v>
      </c>
      <c r="I641" s="1">
        <v>46238</v>
      </c>
      <c r="J641" s="17" t="s">
        <v>20</v>
      </c>
      <c r="K641" t="s">
        <v>1057</v>
      </c>
    </row>
    <row r="642" spans="1:11" x14ac:dyDescent="0.25">
      <c r="A642" s="17" t="s">
        <v>802</v>
      </c>
      <c r="B642" s="17" t="s">
        <v>2</v>
      </c>
      <c r="C642" s="17" t="s">
        <v>13</v>
      </c>
      <c r="D642" s="17" t="s">
        <v>32</v>
      </c>
      <c r="E642">
        <v>1</v>
      </c>
      <c r="F642">
        <v>185000</v>
      </c>
      <c r="G642">
        <v>0</v>
      </c>
      <c r="H642">
        <v>185000</v>
      </c>
      <c r="I642" s="1">
        <v>46216</v>
      </c>
      <c r="J642" s="17" t="s">
        <v>5</v>
      </c>
      <c r="K642" t="s">
        <v>1057</v>
      </c>
    </row>
    <row r="643" spans="1:11" x14ac:dyDescent="0.25">
      <c r="A643" s="17" t="s">
        <v>803</v>
      </c>
      <c r="B643" s="17" t="s">
        <v>2</v>
      </c>
      <c r="C643" s="17" t="s">
        <v>17</v>
      </c>
      <c r="D643" s="17" t="s">
        <v>32</v>
      </c>
      <c r="E643">
        <v>6</v>
      </c>
      <c r="F643">
        <v>720000</v>
      </c>
      <c r="G643">
        <v>0</v>
      </c>
      <c r="H643">
        <v>720000</v>
      </c>
      <c r="I643" s="1">
        <v>46249</v>
      </c>
      <c r="J643" s="17" t="s">
        <v>10</v>
      </c>
      <c r="K643" t="s">
        <v>1057</v>
      </c>
    </row>
    <row r="644" spans="1:11" x14ac:dyDescent="0.25">
      <c r="A644" s="17" t="s">
        <v>804</v>
      </c>
      <c r="B644" s="17" t="s">
        <v>12</v>
      </c>
      <c r="C644" s="17" t="s">
        <v>8</v>
      </c>
      <c r="D644" s="17" t="s">
        <v>30</v>
      </c>
      <c r="E644">
        <v>3</v>
      </c>
      <c r="F644">
        <v>750000</v>
      </c>
      <c r="G644">
        <v>0</v>
      </c>
      <c r="H644">
        <v>750000</v>
      </c>
      <c r="I644" s="1">
        <v>46180</v>
      </c>
      <c r="J644" s="17" t="s">
        <v>10</v>
      </c>
      <c r="K644" t="s">
        <v>1057</v>
      </c>
    </row>
    <row r="645" spans="1:11" x14ac:dyDescent="0.25">
      <c r="A645" s="17" t="s">
        <v>805</v>
      </c>
      <c r="B645" s="17" t="s">
        <v>12</v>
      </c>
      <c r="C645" s="17" t="s">
        <v>13</v>
      </c>
      <c r="D645" s="17" t="s">
        <v>18</v>
      </c>
      <c r="E645">
        <v>1</v>
      </c>
      <c r="F645">
        <v>250000</v>
      </c>
      <c r="G645">
        <v>0</v>
      </c>
      <c r="H645">
        <v>250000</v>
      </c>
      <c r="I645" s="1">
        <v>46186</v>
      </c>
      <c r="J645" s="17" t="s">
        <v>5</v>
      </c>
      <c r="K645" t="s">
        <v>1057</v>
      </c>
    </row>
    <row r="646" spans="1:11" x14ac:dyDescent="0.25">
      <c r="A646" s="17" t="s">
        <v>806</v>
      </c>
      <c r="B646" s="17" t="s">
        <v>2</v>
      </c>
      <c r="C646" s="17" t="s">
        <v>17</v>
      </c>
      <c r="D646" s="17" t="s">
        <v>30</v>
      </c>
      <c r="E646">
        <v>10</v>
      </c>
      <c r="F646">
        <v>2500000</v>
      </c>
      <c r="G646">
        <v>0</v>
      </c>
      <c r="H646">
        <v>2500000</v>
      </c>
      <c r="I646" s="1">
        <v>46085</v>
      </c>
      <c r="J646" s="17" t="s">
        <v>20</v>
      </c>
      <c r="K646" t="s">
        <v>1057</v>
      </c>
    </row>
    <row r="647" spans="1:11" x14ac:dyDescent="0.25">
      <c r="A647" s="17" t="s">
        <v>807</v>
      </c>
      <c r="B647" s="17" t="s">
        <v>7</v>
      </c>
      <c r="C647" s="17" t="s">
        <v>8</v>
      </c>
      <c r="D647" s="17" t="s">
        <v>4</v>
      </c>
      <c r="E647">
        <v>6</v>
      </c>
      <c r="F647">
        <v>450000</v>
      </c>
      <c r="G647">
        <v>0</v>
      </c>
      <c r="H647">
        <v>450000</v>
      </c>
      <c r="I647" s="1">
        <v>46156</v>
      </c>
      <c r="J647" s="17" t="s">
        <v>10</v>
      </c>
      <c r="K647" t="s">
        <v>1057</v>
      </c>
    </row>
    <row r="648" spans="1:11" x14ac:dyDescent="0.25">
      <c r="A648" s="17" t="s">
        <v>809</v>
      </c>
      <c r="B648" s="17" t="s">
        <v>12</v>
      </c>
      <c r="C648" s="17" t="s">
        <v>17</v>
      </c>
      <c r="D648" s="17" t="s">
        <v>32</v>
      </c>
      <c r="E648">
        <v>5</v>
      </c>
      <c r="F648">
        <v>1250000</v>
      </c>
      <c r="G648">
        <v>0</v>
      </c>
      <c r="H648">
        <v>1250000</v>
      </c>
      <c r="I648" s="1">
        <v>46138</v>
      </c>
      <c r="J648" s="17" t="s">
        <v>10</v>
      </c>
      <c r="K648" t="s">
        <v>1057</v>
      </c>
    </row>
    <row r="649" spans="1:11" x14ac:dyDescent="0.25">
      <c r="A649" s="17" t="s">
        <v>811</v>
      </c>
      <c r="B649" s="17" t="s">
        <v>7</v>
      </c>
      <c r="C649" s="17" t="s">
        <v>17</v>
      </c>
      <c r="D649" s="17" t="s">
        <v>32</v>
      </c>
      <c r="E649">
        <v>5</v>
      </c>
      <c r="F649">
        <v>1250000</v>
      </c>
      <c r="G649">
        <v>5000</v>
      </c>
      <c r="H649">
        <v>1245000</v>
      </c>
      <c r="I649" s="1">
        <v>46210</v>
      </c>
      <c r="J649" s="17" t="s">
        <v>10</v>
      </c>
      <c r="K649" t="s">
        <v>1057</v>
      </c>
    </row>
    <row r="650" spans="1:11" x14ac:dyDescent="0.25">
      <c r="A650" s="17" t="s">
        <v>812</v>
      </c>
      <c r="B650" s="17" t="s">
        <v>7</v>
      </c>
      <c r="C650" s="17" t="s">
        <v>17</v>
      </c>
      <c r="D650" s="17" t="s">
        <v>4</v>
      </c>
      <c r="E650">
        <v>9</v>
      </c>
      <c r="F650">
        <v>1665000</v>
      </c>
      <c r="G650">
        <v>0</v>
      </c>
      <c r="H650">
        <v>1665000</v>
      </c>
      <c r="I650" s="1">
        <v>46070</v>
      </c>
      <c r="J650" s="17" t="s">
        <v>5</v>
      </c>
      <c r="K650" t="s">
        <v>1057</v>
      </c>
    </row>
    <row r="651" spans="1:11" x14ac:dyDescent="0.25">
      <c r="A651" s="17" t="s">
        <v>813</v>
      </c>
      <c r="B651" s="17" t="s">
        <v>7</v>
      </c>
      <c r="C651" s="17" t="s">
        <v>8</v>
      </c>
      <c r="D651" s="17" t="s">
        <v>4</v>
      </c>
      <c r="E651">
        <v>10</v>
      </c>
      <c r="F651">
        <v>1850000</v>
      </c>
      <c r="G651">
        <v>0</v>
      </c>
      <c r="H651">
        <v>1850000</v>
      </c>
      <c r="I651" s="1">
        <v>46226</v>
      </c>
      <c r="J651" s="17" t="s">
        <v>10</v>
      </c>
      <c r="K651" t="s">
        <v>1057</v>
      </c>
    </row>
    <row r="652" spans="1:11" x14ac:dyDescent="0.25">
      <c r="A652" s="17" t="s">
        <v>815</v>
      </c>
      <c r="B652" s="17" t="s">
        <v>2</v>
      </c>
      <c r="C652" s="17" t="s">
        <v>3</v>
      </c>
      <c r="D652" s="17" t="s">
        <v>30</v>
      </c>
      <c r="E652">
        <v>5</v>
      </c>
      <c r="F652">
        <v>225000</v>
      </c>
      <c r="G652">
        <v>0</v>
      </c>
      <c r="H652">
        <v>225000</v>
      </c>
      <c r="I652" s="1">
        <v>46102</v>
      </c>
      <c r="J652" s="17" t="s">
        <v>33</v>
      </c>
      <c r="K652" t="s">
        <v>1057</v>
      </c>
    </row>
    <row r="653" spans="1:11" x14ac:dyDescent="0.25">
      <c r="A653" s="17" t="s">
        <v>816</v>
      </c>
      <c r="B653" s="17" t="s">
        <v>12</v>
      </c>
      <c r="C653" s="17" t="s">
        <v>27</v>
      </c>
      <c r="D653" s="17" t="s">
        <v>32</v>
      </c>
      <c r="E653">
        <v>1</v>
      </c>
      <c r="F653">
        <v>250000</v>
      </c>
      <c r="G653">
        <v>0</v>
      </c>
      <c r="H653">
        <v>250000</v>
      </c>
      <c r="I653" s="1">
        <v>46174</v>
      </c>
      <c r="J653" s="17" t="s">
        <v>5</v>
      </c>
      <c r="K653" t="s">
        <v>1057</v>
      </c>
    </row>
    <row r="654" spans="1:11" x14ac:dyDescent="0.25">
      <c r="A654" s="17" t="s">
        <v>817</v>
      </c>
      <c r="B654" s="17" t="s">
        <v>12</v>
      </c>
      <c r="C654" s="17" t="s">
        <v>27</v>
      </c>
      <c r="D654" s="17" t="s">
        <v>4</v>
      </c>
      <c r="E654">
        <v>2</v>
      </c>
      <c r="F654">
        <v>240000</v>
      </c>
      <c r="G654">
        <v>0</v>
      </c>
      <c r="H654">
        <v>240000</v>
      </c>
      <c r="I654" s="1">
        <v>46257</v>
      </c>
      <c r="J654" s="17" t="s">
        <v>10</v>
      </c>
      <c r="K654" t="s">
        <v>1057</v>
      </c>
    </row>
    <row r="655" spans="1:11" x14ac:dyDescent="0.25">
      <c r="A655" s="17" t="s">
        <v>818</v>
      </c>
      <c r="B655" s="17" t="s">
        <v>7</v>
      </c>
      <c r="C655" s="17" t="s">
        <v>13</v>
      </c>
      <c r="D655" s="17" t="s">
        <v>30</v>
      </c>
      <c r="E655">
        <v>6</v>
      </c>
      <c r="F655">
        <v>1500000</v>
      </c>
      <c r="G655">
        <v>0</v>
      </c>
      <c r="H655">
        <v>1500000</v>
      </c>
      <c r="I655" s="1">
        <v>46250</v>
      </c>
      <c r="J655" s="17" t="s">
        <v>10</v>
      </c>
      <c r="K655" t="s">
        <v>1057</v>
      </c>
    </row>
    <row r="656" spans="1:11" x14ac:dyDescent="0.25">
      <c r="A656" s="17" t="s">
        <v>819</v>
      </c>
      <c r="B656" s="17" t="s">
        <v>25</v>
      </c>
      <c r="C656" s="17" t="s">
        <v>27</v>
      </c>
      <c r="D656" s="17" t="s">
        <v>30</v>
      </c>
      <c r="E656">
        <v>5</v>
      </c>
      <c r="F656">
        <v>925000</v>
      </c>
      <c r="G656">
        <v>0</v>
      </c>
      <c r="H656">
        <v>925000</v>
      </c>
      <c r="I656" s="1">
        <v>46076</v>
      </c>
      <c r="J656" s="17" t="s">
        <v>33</v>
      </c>
      <c r="K656" t="s">
        <v>1057</v>
      </c>
    </row>
    <row r="657" spans="1:11" x14ac:dyDescent="0.25">
      <c r="A657" s="17" t="s">
        <v>820</v>
      </c>
      <c r="B657" s="17" t="s">
        <v>2</v>
      </c>
      <c r="C657" s="17" t="s">
        <v>8</v>
      </c>
      <c r="D657" s="17" t="s">
        <v>9</v>
      </c>
      <c r="E657">
        <v>2</v>
      </c>
      <c r="F657">
        <v>150000</v>
      </c>
      <c r="G657">
        <v>0</v>
      </c>
      <c r="H657">
        <v>150000</v>
      </c>
      <c r="I657" s="1">
        <v>46115</v>
      </c>
      <c r="J657" s="17" t="s">
        <v>20</v>
      </c>
      <c r="K657" t="s">
        <v>1057</v>
      </c>
    </row>
    <row r="658" spans="1:11" x14ac:dyDescent="0.25">
      <c r="A658" s="17" t="s">
        <v>821</v>
      </c>
      <c r="B658" s="17" t="s">
        <v>2</v>
      </c>
      <c r="C658" s="17" t="s">
        <v>27</v>
      </c>
      <c r="D658" s="17" t="s">
        <v>4</v>
      </c>
      <c r="E658">
        <v>5</v>
      </c>
      <c r="F658">
        <v>925000</v>
      </c>
      <c r="G658">
        <v>0</v>
      </c>
      <c r="H658">
        <v>925000</v>
      </c>
      <c r="I658" s="1">
        <v>46099</v>
      </c>
      <c r="J658" s="17" t="s">
        <v>20</v>
      </c>
      <c r="K658" t="s">
        <v>1057</v>
      </c>
    </row>
    <row r="659" spans="1:11" x14ac:dyDescent="0.25">
      <c r="A659" s="17" t="s">
        <v>822</v>
      </c>
      <c r="B659" s="17" t="s">
        <v>12</v>
      </c>
      <c r="C659" s="17" t="s">
        <v>27</v>
      </c>
      <c r="D659" s="17" t="s">
        <v>32</v>
      </c>
      <c r="E659">
        <v>9</v>
      </c>
      <c r="F659">
        <v>1080000</v>
      </c>
      <c r="G659">
        <v>0</v>
      </c>
      <c r="H659">
        <v>1080000</v>
      </c>
      <c r="I659" s="1">
        <v>46241</v>
      </c>
      <c r="J659" s="17" t="s">
        <v>33</v>
      </c>
      <c r="K659" t="s">
        <v>1057</v>
      </c>
    </row>
    <row r="660" spans="1:11" x14ac:dyDescent="0.25">
      <c r="A660" s="17" t="s">
        <v>824</v>
      </c>
      <c r="B660" s="17" t="s">
        <v>2</v>
      </c>
      <c r="C660" s="17" t="s">
        <v>13</v>
      </c>
      <c r="D660" s="17" t="s">
        <v>30</v>
      </c>
      <c r="E660">
        <v>4</v>
      </c>
      <c r="F660">
        <v>180000</v>
      </c>
      <c r="G660">
        <v>10000</v>
      </c>
      <c r="H660">
        <v>170000</v>
      </c>
      <c r="I660" s="1">
        <v>46119</v>
      </c>
      <c r="J660" s="17" t="s">
        <v>33</v>
      </c>
      <c r="K660" t="s">
        <v>1057</v>
      </c>
    </row>
    <row r="661" spans="1:11" x14ac:dyDescent="0.25">
      <c r="A661" s="17" t="s">
        <v>825</v>
      </c>
      <c r="B661" s="17" t="s">
        <v>25</v>
      </c>
      <c r="C661" s="17" t="s">
        <v>27</v>
      </c>
      <c r="D661" s="17" t="s">
        <v>9</v>
      </c>
      <c r="E661">
        <v>5</v>
      </c>
      <c r="F661">
        <v>925000</v>
      </c>
      <c r="G661">
        <v>0</v>
      </c>
      <c r="H661">
        <v>925000</v>
      </c>
      <c r="I661" s="1">
        <v>46102</v>
      </c>
      <c r="J661" s="17" t="s">
        <v>10</v>
      </c>
      <c r="K661" t="s">
        <v>1057</v>
      </c>
    </row>
    <row r="662" spans="1:11" x14ac:dyDescent="0.25">
      <c r="A662" s="17" t="s">
        <v>827</v>
      </c>
      <c r="B662" s="17" t="s">
        <v>25</v>
      </c>
      <c r="C662" s="17" t="s">
        <v>27</v>
      </c>
      <c r="D662" s="17" t="s">
        <v>30</v>
      </c>
      <c r="E662">
        <v>10</v>
      </c>
      <c r="F662">
        <v>450000</v>
      </c>
      <c r="G662">
        <v>0</v>
      </c>
      <c r="H662">
        <v>450000</v>
      </c>
      <c r="I662" s="1">
        <v>46094</v>
      </c>
      <c r="J662" s="17" t="s">
        <v>5</v>
      </c>
      <c r="K662" t="s">
        <v>1057</v>
      </c>
    </row>
    <row r="663" spans="1:11" x14ac:dyDescent="0.25">
      <c r="A663" s="17" t="s">
        <v>830</v>
      </c>
      <c r="B663" s="17" t="s">
        <v>25</v>
      </c>
      <c r="C663" s="17" t="s">
        <v>27</v>
      </c>
      <c r="D663" s="17" t="s">
        <v>32</v>
      </c>
      <c r="E663">
        <v>9</v>
      </c>
      <c r="F663">
        <v>2250000</v>
      </c>
      <c r="G663">
        <v>10000</v>
      </c>
      <c r="H663">
        <v>2240000</v>
      </c>
      <c r="I663" s="1">
        <v>46256</v>
      </c>
      <c r="J663" s="17" t="s">
        <v>5</v>
      </c>
      <c r="K663" t="s">
        <v>1057</v>
      </c>
    </row>
    <row r="664" spans="1:11" x14ac:dyDescent="0.25">
      <c r="A664" s="17" t="s">
        <v>831</v>
      </c>
      <c r="B664" s="17" t="s">
        <v>2</v>
      </c>
      <c r="C664" s="17" t="s">
        <v>8</v>
      </c>
      <c r="D664" s="17" t="s">
        <v>9</v>
      </c>
      <c r="E664">
        <v>7</v>
      </c>
      <c r="F664">
        <v>1295000</v>
      </c>
      <c r="G664">
        <v>0</v>
      </c>
      <c r="H664">
        <v>1295000</v>
      </c>
      <c r="I664" s="1">
        <v>46114</v>
      </c>
      <c r="J664" s="17" t="s">
        <v>5</v>
      </c>
      <c r="K664" t="s">
        <v>1057</v>
      </c>
    </row>
    <row r="665" spans="1:11" x14ac:dyDescent="0.25">
      <c r="A665" s="17" t="s">
        <v>832</v>
      </c>
      <c r="B665" s="17" t="s">
        <v>12</v>
      </c>
      <c r="C665" s="17" t="s">
        <v>13</v>
      </c>
      <c r="D665" s="17" t="s">
        <v>9</v>
      </c>
      <c r="E665">
        <v>1</v>
      </c>
      <c r="F665">
        <v>185000</v>
      </c>
      <c r="G665">
        <v>10000</v>
      </c>
      <c r="H665">
        <v>175000</v>
      </c>
      <c r="I665" s="1">
        <v>46027</v>
      </c>
      <c r="J665" s="17" t="s">
        <v>10</v>
      </c>
      <c r="K665" t="s">
        <v>1057</v>
      </c>
    </row>
    <row r="666" spans="1:11" x14ac:dyDescent="0.25">
      <c r="A666" s="17" t="s">
        <v>833</v>
      </c>
      <c r="B666" s="17" t="s">
        <v>12</v>
      </c>
      <c r="C666" s="17" t="s">
        <v>3</v>
      </c>
      <c r="D666" s="17" t="s">
        <v>4</v>
      </c>
      <c r="E666">
        <v>10</v>
      </c>
      <c r="F666">
        <v>750000</v>
      </c>
      <c r="G666">
        <v>0</v>
      </c>
      <c r="H666">
        <v>750000</v>
      </c>
      <c r="I666" s="1">
        <v>46204</v>
      </c>
      <c r="J666" s="17" t="s">
        <v>20</v>
      </c>
      <c r="K666" t="s">
        <v>1057</v>
      </c>
    </row>
    <row r="667" spans="1:11" x14ac:dyDescent="0.25">
      <c r="A667" s="17" t="s">
        <v>835</v>
      </c>
      <c r="B667" s="17" t="s">
        <v>7</v>
      </c>
      <c r="C667" s="17" t="s">
        <v>13</v>
      </c>
      <c r="D667" s="17" t="s">
        <v>9</v>
      </c>
      <c r="E667">
        <v>8</v>
      </c>
      <c r="F667">
        <v>1480000</v>
      </c>
      <c r="G667">
        <v>0</v>
      </c>
      <c r="H667">
        <v>1480000</v>
      </c>
      <c r="I667" s="1">
        <v>46132</v>
      </c>
      <c r="J667" s="17" t="s">
        <v>33</v>
      </c>
      <c r="K667" t="s">
        <v>1057</v>
      </c>
    </row>
    <row r="668" spans="1:11" x14ac:dyDescent="0.25">
      <c r="A668" s="17" t="s">
        <v>836</v>
      </c>
      <c r="B668" s="17" t="s">
        <v>12</v>
      </c>
      <c r="C668" s="17" t="s">
        <v>3</v>
      </c>
      <c r="D668" s="17" t="s">
        <v>32</v>
      </c>
      <c r="E668">
        <v>10</v>
      </c>
      <c r="F668">
        <v>750000</v>
      </c>
      <c r="G668">
        <v>0</v>
      </c>
      <c r="H668">
        <v>750000</v>
      </c>
      <c r="I668" s="1">
        <v>46147</v>
      </c>
      <c r="J668" s="17" t="s">
        <v>10</v>
      </c>
      <c r="K668" t="s">
        <v>1057</v>
      </c>
    </row>
    <row r="669" spans="1:11" x14ac:dyDescent="0.25">
      <c r="A669" s="17" t="s">
        <v>837</v>
      </c>
      <c r="B669" s="17" t="s">
        <v>12</v>
      </c>
      <c r="C669" s="17" t="s">
        <v>27</v>
      </c>
      <c r="D669" s="17" t="s">
        <v>32</v>
      </c>
      <c r="E669">
        <v>7</v>
      </c>
      <c r="F669">
        <v>1750000</v>
      </c>
      <c r="G669">
        <v>0</v>
      </c>
      <c r="H669">
        <v>1750000</v>
      </c>
      <c r="I669" s="1">
        <v>46166</v>
      </c>
      <c r="J669" s="17" t="s">
        <v>33</v>
      </c>
      <c r="K669" t="s">
        <v>1057</v>
      </c>
    </row>
    <row r="670" spans="1:11" x14ac:dyDescent="0.25">
      <c r="A670" s="17" t="s">
        <v>838</v>
      </c>
      <c r="B670" s="17" t="s">
        <v>12</v>
      </c>
      <c r="C670" s="17" t="s">
        <v>13</v>
      </c>
      <c r="D670" s="17" t="s">
        <v>32</v>
      </c>
      <c r="E670">
        <v>2</v>
      </c>
      <c r="F670">
        <v>500000</v>
      </c>
      <c r="G670">
        <v>0</v>
      </c>
      <c r="H670">
        <v>500000</v>
      </c>
      <c r="I670" s="1">
        <v>46135</v>
      </c>
      <c r="J670" s="17" t="s">
        <v>5</v>
      </c>
      <c r="K670" t="s">
        <v>1057</v>
      </c>
    </row>
    <row r="671" spans="1:11" x14ac:dyDescent="0.25">
      <c r="A671" s="17" t="s">
        <v>839</v>
      </c>
      <c r="B671" s="17" t="s">
        <v>2</v>
      </c>
      <c r="C671" s="17" t="s">
        <v>17</v>
      </c>
      <c r="D671" s="17" t="s">
        <v>32</v>
      </c>
      <c r="E671">
        <v>2</v>
      </c>
      <c r="F671">
        <v>90000</v>
      </c>
      <c r="G671">
        <v>0</v>
      </c>
      <c r="H671">
        <v>90000</v>
      </c>
      <c r="I671" s="1">
        <v>46243</v>
      </c>
      <c r="J671" s="17" t="s">
        <v>10</v>
      </c>
      <c r="K671" t="s">
        <v>1057</v>
      </c>
    </row>
    <row r="672" spans="1:11" x14ac:dyDescent="0.25">
      <c r="A672" s="17" t="s">
        <v>840</v>
      </c>
      <c r="B672" s="17" t="s">
        <v>12</v>
      </c>
      <c r="C672" s="17" t="s">
        <v>3</v>
      </c>
      <c r="D672" s="17" t="s">
        <v>18</v>
      </c>
      <c r="E672">
        <v>2</v>
      </c>
      <c r="F672">
        <v>500000</v>
      </c>
      <c r="G672">
        <v>0</v>
      </c>
      <c r="H672">
        <v>500000</v>
      </c>
      <c r="I672" s="1">
        <v>46055</v>
      </c>
      <c r="J672" s="17" t="s">
        <v>5</v>
      </c>
      <c r="K672" t="s">
        <v>1057</v>
      </c>
    </row>
    <row r="673" spans="1:11" x14ac:dyDescent="0.25">
      <c r="A673" s="17" t="s">
        <v>842</v>
      </c>
      <c r="B673" s="17" t="s">
        <v>7</v>
      </c>
      <c r="C673" s="17" t="s">
        <v>29</v>
      </c>
      <c r="D673" s="17" t="s">
        <v>32</v>
      </c>
      <c r="E673">
        <v>2</v>
      </c>
      <c r="F673">
        <v>90000</v>
      </c>
      <c r="G673">
        <v>0</v>
      </c>
      <c r="H673">
        <v>90000</v>
      </c>
      <c r="I673" s="1">
        <v>46200</v>
      </c>
      <c r="J673" s="17" t="s">
        <v>5</v>
      </c>
      <c r="K673" t="s">
        <v>1057</v>
      </c>
    </row>
    <row r="674" spans="1:11" x14ac:dyDescent="0.25">
      <c r="A674" s="17" t="s">
        <v>843</v>
      </c>
      <c r="B674" s="17" t="s">
        <v>7</v>
      </c>
      <c r="C674" s="17" t="s">
        <v>17</v>
      </c>
      <c r="D674" s="17" t="s">
        <v>4</v>
      </c>
      <c r="E674">
        <v>1</v>
      </c>
      <c r="F674">
        <v>250000</v>
      </c>
      <c r="G674">
        <v>0</v>
      </c>
      <c r="H674">
        <v>250000</v>
      </c>
      <c r="I674" s="1">
        <v>46055</v>
      </c>
      <c r="J674" s="17" t="s">
        <v>10</v>
      </c>
      <c r="K674" t="s">
        <v>1057</v>
      </c>
    </row>
    <row r="675" spans="1:11" x14ac:dyDescent="0.25">
      <c r="A675" s="17" t="s">
        <v>844</v>
      </c>
      <c r="B675" s="17" t="s">
        <v>2</v>
      </c>
      <c r="C675" s="17" t="s">
        <v>8</v>
      </c>
      <c r="D675" s="17" t="s">
        <v>32</v>
      </c>
      <c r="E675">
        <v>8</v>
      </c>
      <c r="F675">
        <v>1480000</v>
      </c>
      <c r="G675">
        <v>0</v>
      </c>
      <c r="H675">
        <v>1480000</v>
      </c>
      <c r="I675" s="1">
        <v>46114</v>
      </c>
      <c r="J675" s="17" t="s">
        <v>5</v>
      </c>
      <c r="K675" t="s">
        <v>1057</v>
      </c>
    </row>
    <row r="676" spans="1:11" x14ac:dyDescent="0.25">
      <c r="A676" s="17" t="s">
        <v>845</v>
      </c>
      <c r="B676" s="17" t="s">
        <v>7</v>
      </c>
      <c r="C676" s="17" t="s">
        <v>29</v>
      </c>
      <c r="D676" s="17" t="s">
        <v>32</v>
      </c>
      <c r="E676">
        <v>4</v>
      </c>
      <c r="F676">
        <v>180000</v>
      </c>
      <c r="G676">
        <v>0</v>
      </c>
      <c r="H676">
        <v>180000</v>
      </c>
      <c r="I676" s="1">
        <v>46134</v>
      </c>
      <c r="J676" s="17" t="s">
        <v>33</v>
      </c>
      <c r="K676" t="s">
        <v>1057</v>
      </c>
    </row>
    <row r="677" spans="1:11" x14ac:dyDescent="0.25">
      <c r="A677" s="17" t="s">
        <v>846</v>
      </c>
      <c r="B677" s="17" t="s">
        <v>12</v>
      </c>
      <c r="C677" s="17" t="s">
        <v>29</v>
      </c>
      <c r="D677" s="17" t="s">
        <v>18</v>
      </c>
      <c r="E677">
        <v>9</v>
      </c>
      <c r="F677">
        <v>405000</v>
      </c>
      <c r="G677">
        <v>0</v>
      </c>
      <c r="H677">
        <v>405000</v>
      </c>
      <c r="I677" s="1">
        <v>46082</v>
      </c>
      <c r="J677" s="17" t="s">
        <v>5</v>
      </c>
      <c r="K677" t="s">
        <v>1057</v>
      </c>
    </row>
    <row r="678" spans="1:11" x14ac:dyDescent="0.25">
      <c r="A678" s="17" t="s">
        <v>847</v>
      </c>
      <c r="B678" s="17" t="s">
        <v>12</v>
      </c>
      <c r="C678" s="17" t="s">
        <v>13</v>
      </c>
      <c r="D678" s="17" t="s">
        <v>9</v>
      </c>
      <c r="E678">
        <v>8</v>
      </c>
      <c r="F678">
        <v>360000</v>
      </c>
      <c r="G678">
        <v>0</v>
      </c>
      <c r="H678">
        <v>360000</v>
      </c>
      <c r="I678" s="1">
        <v>46180</v>
      </c>
      <c r="J678" s="17" t="s">
        <v>10</v>
      </c>
      <c r="K678" t="s">
        <v>1057</v>
      </c>
    </row>
    <row r="679" spans="1:11" x14ac:dyDescent="0.25">
      <c r="A679" s="17" t="s">
        <v>848</v>
      </c>
      <c r="B679" s="17" t="s">
        <v>25</v>
      </c>
      <c r="C679" s="17" t="s">
        <v>27</v>
      </c>
      <c r="D679" s="17" t="s">
        <v>18</v>
      </c>
      <c r="E679">
        <v>10</v>
      </c>
      <c r="F679">
        <v>750000</v>
      </c>
      <c r="G679">
        <v>5000</v>
      </c>
      <c r="H679">
        <v>745000</v>
      </c>
      <c r="I679" s="1">
        <v>46239</v>
      </c>
      <c r="J679" s="17" t="s">
        <v>20</v>
      </c>
      <c r="K679" t="s">
        <v>1057</v>
      </c>
    </row>
    <row r="680" spans="1:11" x14ac:dyDescent="0.25">
      <c r="A680" s="17" t="s">
        <v>849</v>
      </c>
      <c r="B680" s="17" t="s">
        <v>7</v>
      </c>
      <c r="C680" s="17" t="s">
        <v>17</v>
      </c>
      <c r="D680" s="17" t="s">
        <v>30</v>
      </c>
      <c r="E680">
        <v>2</v>
      </c>
      <c r="F680">
        <v>90000</v>
      </c>
      <c r="G680">
        <v>0</v>
      </c>
      <c r="H680">
        <v>90000</v>
      </c>
      <c r="I680" s="1">
        <v>46106</v>
      </c>
      <c r="J680" s="17" t="s">
        <v>33</v>
      </c>
      <c r="K680" t="s">
        <v>1057</v>
      </c>
    </row>
    <row r="681" spans="1:11" x14ac:dyDescent="0.25">
      <c r="A681" s="17" t="s">
        <v>850</v>
      </c>
      <c r="B681" s="17" t="s">
        <v>2</v>
      </c>
      <c r="C681" s="17" t="s">
        <v>27</v>
      </c>
      <c r="D681" s="17" t="s">
        <v>9</v>
      </c>
      <c r="E681">
        <v>3</v>
      </c>
      <c r="F681">
        <v>360000</v>
      </c>
      <c r="G681">
        <v>0</v>
      </c>
      <c r="H681">
        <v>360000</v>
      </c>
      <c r="I681" s="1">
        <v>46248</v>
      </c>
      <c r="J681" s="17" t="s">
        <v>5</v>
      </c>
      <c r="K681" t="s">
        <v>1057</v>
      </c>
    </row>
    <row r="682" spans="1:11" x14ac:dyDescent="0.25">
      <c r="A682" s="17" t="s">
        <v>851</v>
      </c>
      <c r="B682" s="17" t="s">
        <v>7</v>
      </c>
      <c r="C682" s="17" t="s">
        <v>17</v>
      </c>
      <c r="D682" s="17" t="s">
        <v>18</v>
      </c>
      <c r="E682">
        <v>10</v>
      </c>
      <c r="F682">
        <v>750000</v>
      </c>
      <c r="G682">
        <v>0</v>
      </c>
      <c r="H682">
        <v>750000</v>
      </c>
      <c r="I682" s="1">
        <v>46166</v>
      </c>
      <c r="J682" s="17" t="s">
        <v>33</v>
      </c>
      <c r="K682" t="s">
        <v>1057</v>
      </c>
    </row>
    <row r="683" spans="1:11" x14ac:dyDescent="0.25">
      <c r="A683" s="17" t="s">
        <v>852</v>
      </c>
      <c r="B683" s="17" t="s">
        <v>2</v>
      </c>
      <c r="C683" s="17" t="s">
        <v>17</v>
      </c>
      <c r="D683" s="17" t="s">
        <v>4</v>
      </c>
      <c r="E683">
        <v>6</v>
      </c>
      <c r="F683">
        <v>270000</v>
      </c>
      <c r="G683">
        <v>0</v>
      </c>
      <c r="H683">
        <v>270000</v>
      </c>
      <c r="I683" s="1">
        <v>46036</v>
      </c>
      <c r="J683" s="17" t="s">
        <v>10</v>
      </c>
      <c r="K683" t="s">
        <v>1057</v>
      </c>
    </row>
    <row r="684" spans="1:11" x14ac:dyDescent="0.25">
      <c r="A684" s="17" t="s">
        <v>853</v>
      </c>
      <c r="B684" s="17" t="s">
        <v>25</v>
      </c>
      <c r="C684" s="17" t="s">
        <v>29</v>
      </c>
      <c r="D684" s="17" t="s">
        <v>30</v>
      </c>
      <c r="E684">
        <v>10</v>
      </c>
      <c r="F684">
        <v>1200000</v>
      </c>
      <c r="G684">
        <v>15000</v>
      </c>
      <c r="H684">
        <v>1185000</v>
      </c>
      <c r="I684" s="1">
        <v>46100</v>
      </c>
      <c r="J684" s="17" t="s">
        <v>20</v>
      </c>
      <c r="K684" t="s">
        <v>1057</v>
      </c>
    </row>
    <row r="685" spans="1:11" x14ac:dyDescent="0.25">
      <c r="A685" s="17" t="s">
        <v>854</v>
      </c>
      <c r="B685" s="17" t="s">
        <v>7</v>
      </c>
      <c r="C685" s="17" t="s">
        <v>8</v>
      </c>
      <c r="D685" s="17" t="s">
        <v>18</v>
      </c>
      <c r="E685">
        <v>4</v>
      </c>
      <c r="F685">
        <v>180000</v>
      </c>
      <c r="G685">
        <v>0</v>
      </c>
      <c r="H685">
        <v>180000</v>
      </c>
      <c r="I685" s="1">
        <v>46162</v>
      </c>
      <c r="J685" s="17" t="s">
        <v>33</v>
      </c>
      <c r="K685" t="s">
        <v>1057</v>
      </c>
    </row>
    <row r="686" spans="1:11" x14ac:dyDescent="0.25">
      <c r="A686" s="17" t="s">
        <v>855</v>
      </c>
      <c r="B686" s="17" t="s">
        <v>12</v>
      </c>
      <c r="C686" s="17" t="s">
        <v>17</v>
      </c>
      <c r="D686" s="17" t="s">
        <v>4</v>
      </c>
      <c r="E686">
        <v>10</v>
      </c>
      <c r="F686">
        <v>450000</v>
      </c>
      <c r="G686">
        <v>0</v>
      </c>
      <c r="H686">
        <v>450000</v>
      </c>
      <c r="I686" s="1">
        <v>46166</v>
      </c>
      <c r="J686" s="17" t="s">
        <v>10</v>
      </c>
      <c r="K686" t="s">
        <v>1057</v>
      </c>
    </row>
    <row r="687" spans="1:11" x14ac:dyDescent="0.25">
      <c r="A687" s="17" t="s">
        <v>856</v>
      </c>
      <c r="B687" s="17" t="s">
        <v>2</v>
      </c>
      <c r="C687" s="17" t="s">
        <v>27</v>
      </c>
      <c r="D687" s="17" t="s">
        <v>32</v>
      </c>
      <c r="E687">
        <v>1</v>
      </c>
      <c r="F687">
        <v>185000</v>
      </c>
      <c r="G687">
        <v>0</v>
      </c>
      <c r="H687">
        <v>185000</v>
      </c>
      <c r="I687" s="1">
        <v>46166</v>
      </c>
      <c r="J687" s="17" t="s">
        <v>10</v>
      </c>
      <c r="K687" t="s">
        <v>1057</v>
      </c>
    </row>
    <row r="688" spans="1:11" x14ac:dyDescent="0.25">
      <c r="A688" s="17" t="s">
        <v>857</v>
      </c>
      <c r="B688" s="17" t="s">
        <v>7</v>
      </c>
      <c r="C688" s="17" t="s">
        <v>8</v>
      </c>
      <c r="D688" s="17" t="s">
        <v>32</v>
      </c>
      <c r="E688">
        <v>6</v>
      </c>
      <c r="F688">
        <v>450000</v>
      </c>
      <c r="G688">
        <v>15000</v>
      </c>
      <c r="H688">
        <v>435000</v>
      </c>
      <c r="I688" s="1">
        <v>46031</v>
      </c>
      <c r="J688" s="17" t="s">
        <v>20</v>
      </c>
      <c r="K688" t="s">
        <v>1057</v>
      </c>
    </row>
    <row r="689" spans="1:11" x14ac:dyDescent="0.25">
      <c r="A689" s="17" t="s">
        <v>858</v>
      </c>
      <c r="B689" s="17" t="s">
        <v>7</v>
      </c>
      <c r="C689" s="17" t="s">
        <v>3</v>
      </c>
      <c r="D689" s="17" t="s">
        <v>9</v>
      </c>
      <c r="E689">
        <v>5</v>
      </c>
      <c r="F689">
        <v>925000</v>
      </c>
      <c r="G689">
        <v>0</v>
      </c>
      <c r="H689">
        <v>925000</v>
      </c>
      <c r="I689" s="1">
        <v>46081</v>
      </c>
      <c r="J689" s="17" t="s">
        <v>33</v>
      </c>
      <c r="K689" t="s">
        <v>1057</v>
      </c>
    </row>
    <row r="690" spans="1:11" x14ac:dyDescent="0.25">
      <c r="A690" s="17" t="s">
        <v>859</v>
      </c>
      <c r="B690" s="17" t="s">
        <v>2</v>
      </c>
      <c r="C690" s="17" t="s">
        <v>27</v>
      </c>
      <c r="D690" s="17" t="s">
        <v>32</v>
      </c>
      <c r="E690">
        <v>6</v>
      </c>
      <c r="F690">
        <v>1500000</v>
      </c>
      <c r="G690">
        <v>0</v>
      </c>
      <c r="H690">
        <v>1500000</v>
      </c>
      <c r="I690" s="1">
        <v>46069</v>
      </c>
      <c r="J690" s="17" t="s">
        <v>10</v>
      </c>
      <c r="K690" t="s">
        <v>1057</v>
      </c>
    </row>
    <row r="691" spans="1:11" x14ac:dyDescent="0.25">
      <c r="A691" s="17" t="s">
        <v>860</v>
      </c>
      <c r="B691" s="17" t="s">
        <v>2</v>
      </c>
      <c r="C691" s="17" t="s">
        <v>27</v>
      </c>
      <c r="D691" s="17" t="s">
        <v>4</v>
      </c>
      <c r="E691">
        <v>5</v>
      </c>
      <c r="F691">
        <v>375000</v>
      </c>
      <c r="G691">
        <v>15000</v>
      </c>
      <c r="H691">
        <v>360000</v>
      </c>
      <c r="I691" s="1">
        <v>46229</v>
      </c>
      <c r="J691" s="17" t="s">
        <v>33</v>
      </c>
      <c r="K691" t="s">
        <v>1057</v>
      </c>
    </row>
    <row r="692" spans="1:11" x14ac:dyDescent="0.25">
      <c r="A692" s="17" t="s">
        <v>861</v>
      </c>
      <c r="B692" s="17" t="s">
        <v>2</v>
      </c>
      <c r="C692" s="17" t="s">
        <v>13</v>
      </c>
      <c r="D692" s="17" t="s">
        <v>30</v>
      </c>
      <c r="E692">
        <v>9</v>
      </c>
      <c r="F692">
        <v>1665000</v>
      </c>
      <c r="G692">
        <v>0</v>
      </c>
      <c r="H692">
        <v>1665000</v>
      </c>
      <c r="I692" s="1">
        <v>46048</v>
      </c>
      <c r="J692" s="17" t="s">
        <v>33</v>
      </c>
      <c r="K692" t="s">
        <v>1057</v>
      </c>
    </row>
    <row r="693" spans="1:11" x14ac:dyDescent="0.25">
      <c r="A693" s="17" t="s">
        <v>863</v>
      </c>
      <c r="B693" s="17" t="s">
        <v>25</v>
      </c>
      <c r="C693" s="17" t="s">
        <v>17</v>
      </c>
      <c r="D693" s="17" t="s">
        <v>4</v>
      </c>
      <c r="E693">
        <v>2</v>
      </c>
      <c r="F693">
        <v>500000</v>
      </c>
      <c r="G693">
        <v>0</v>
      </c>
      <c r="H693">
        <v>500000</v>
      </c>
      <c r="I693" s="1">
        <v>46230</v>
      </c>
      <c r="J693" s="17" t="s">
        <v>33</v>
      </c>
      <c r="K693" t="s">
        <v>1057</v>
      </c>
    </row>
    <row r="694" spans="1:11" x14ac:dyDescent="0.25">
      <c r="A694" s="17" t="s">
        <v>864</v>
      </c>
      <c r="B694" s="17" t="s">
        <v>25</v>
      </c>
      <c r="C694" s="17" t="s">
        <v>3</v>
      </c>
      <c r="D694" s="17" t="s">
        <v>18</v>
      </c>
      <c r="E694">
        <v>2</v>
      </c>
      <c r="F694">
        <v>500000</v>
      </c>
      <c r="G694">
        <v>0</v>
      </c>
      <c r="H694">
        <v>500000</v>
      </c>
      <c r="I694" s="1">
        <v>46175</v>
      </c>
      <c r="J694" s="17" t="s">
        <v>10</v>
      </c>
      <c r="K694" t="s">
        <v>1057</v>
      </c>
    </row>
    <row r="695" spans="1:11" x14ac:dyDescent="0.25">
      <c r="A695" s="17" t="s">
        <v>865</v>
      </c>
      <c r="B695" s="17" t="s">
        <v>2</v>
      </c>
      <c r="C695" s="17" t="s">
        <v>17</v>
      </c>
      <c r="D695" s="17" t="s">
        <v>4</v>
      </c>
      <c r="E695">
        <v>2</v>
      </c>
      <c r="F695">
        <v>240000</v>
      </c>
      <c r="G695">
        <v>0</v>
      </c>
      <c r="H695">
        <v>240000</v>
      </c>
      <c r="I695" s="1">
        <v>46137</v>
      </c>
      <c r="J695" s="17" t="s">
        <v>33</v>
      </c>
      <c r="K695" t="s">
        <v>1057</v>
      </c>
    </row>
    <row r="696" spans="1:11" x14ac:dyDescent="0.25">
      <c r="A696" s="17" t="s">
        <v>866</v>
      </c>
      <c r="B696" s="17" t="s">
        <v>25</v>
      </c>
      <c r="C696" s="17" t="s">
        <v>3</v>
      </c>
      <c r="D696" s="17" t="s">
        <v>18</v>
      </c>
      <c r="E696">
        <v>6</v>
      </c>
      <c r="F696">
        <v>1500000</v>
      </c>
      <c r="G696">
        <v>0</v>
      </c>
      <c r="H696">
        <v>1500000</v>
      </c>
      <c r="I696" s="1">
        <v>46077</v>
      </c>
      <c r="J696" s="17" t="s">
        <v>20</v>
      </c>
      <c r="K696" t="s">
        <v>1057</v>
      </c>
    </row>
    <row r="697" spans="1:11" x14ac:dyDescent="0.25">
      <c r="A697" s="17" t="s">
        <v>867</v>
      </c>
      <c r="B697" s="17" t="s">
        <v>25</v>
      </c>
      <c r="C697" s="17" t="s">
        <v>27</v>
      </c>
      <c r="D697" s="17" t="s">
        <v>30</v>
      </c>
      <c r="E697">
        <v>2</v>
      </c>
      <c r="F697">
        <v>500000</v>
      </c>
      <c r="G697">
        <v>0</v>
      </c>
      <c r="H697">
        <v>500000</v>
      </c>
      <c r="I697" s="1">
        <v>46113</v>
      </c>
      <c r="J697" s="17" t="s">
        <v>20</v>
      </c>
      <c r="K697" t="s">
        <v>1057</v>
      </c>
    </row>
    <row r="698" spans="1:11" x14ac:dyDescent="0.25">
      <c r="A698" s="17" t="s">
        <v>868</v>
      </c>
      <c r="B698" s="17" t="s">
        <v>12</v>
      </c>
      <c r="C698" s="17" t="s">
        <v>3</v>
      </c>
      <c r="D698" s="17" t="s">
        <v>32</v>
      </c>
      <c r="E698">
        <v>5</v>
      </c>
      <c r="F698">
        <v>600000</v>
      </c>
      <c r="G698">
        <v>5000</v>
      </c>
      <c r="H698">
        <v>595000</v>
      </c>
      <c r="I698" s="1">
        <v>46024</v>
      </c>
      <c r="J698" s="17" t="s">
        <v>5</v>
      </c>
      <c r="K698" t="s">
        <v>1057</v>
      </c>
    </row>
    <row r="699" spans="1:11" x14ac:dyDescent="0.25">
      <c r="A699" s="17" t="s">
        <v>869</v>
      </c>
      <c r="B699" s="17" t="s">
        <v>7</v>
      </c>
      <c r="C699" s="17" t="s">
        <v>27</v>
      </c>
      <c r="D699" s="17" t="s">
        <v>32</v>
      </c>
      <c r="E699">
        <v>10</v>
      </c>
      <c r="F699">
        <v>2500000</v>
      </c>
      <c r="G699">
        <v>0</v>
      </c>
      <c r="H699">
        <v>2500000</v>
      </c>
      <c r="I699" s="1">
        <v>46251</v>
      </c>
      <c r="J699" s="17" t="s">
        <v>5</v>
      </c>
      <c r="K699" t="s">
        <v>1057</v>
      </c>
    </row>
    <row r="700" spans="1:11" x14ac:dyDescent="0.25">
      <c r="A700" s="17" t="s">
        <v>870</v>
      </c>
      <c r="B700" s="17" t="s">
        <v>12</v>
      </c>
      <c r="C700" s="17" t="s">
        <v>27</v>
      </c>
      <c r="D700" s="17" t="s">
        <v>32</v>
      </c>
      <c r="E700">
        <v>2</v>
      </c>
      <c r="F700">
        <v>500000</v>
      </c>
      <c r="G700">
        <v>0</v>
      </c>
      <c r="H700">
        <v>500000</v>
      </c>
      <c r="I700" s="1">
        <v>46136</v>
      </c>
      <c r="J700" s="17" t="s">
        <v>20</v>
      </c>
      <c r="K700" t="s">
        <v>1057</v>
      </c>
    </row>
    <row r="701" spans="1:11" x14ac:dyDescent="0.25">
      <c r="A701" s="17" t="s">
        <v>871</v>
      </c>
      <c r="B701" s="17" t="s">
        <v>25</v>
      </c>
      <c r="C701" s="17" t="s">
        <v>17</v>
      </c>
      <c r="D701" s="17" t="s">
        <v>32</v>
      </c>
      <c r="E701">
        <v>1</v>
      </c>
      <c r="F701">
        <v>75000</v>
      </c>
      <c r="G701">
        <v>0</v>
      </c>
      <c r="H701">
        <v>75000</v>
      </c>
      <c r="I701" s="1">
        <v>46127</v>
      </c>
      <c r="J701" s="17" t="s">
        <v>10</v>
      </c>
      <c r="K701" t="s">
        <v>1057</v>
      </c>
    </row>
    <row r="702" spans="1:11" x14ac:dyDescent="0.25">
      <c r="A702" s="17" t="s">
        <v>872</v>
      </c>
      <c r="B702" s="17" t="s">
        <v>12</v>
      </c>
      <c r="C702" s="17" t="s">
        <v>3</v>
      </c>
      <c r="D702" s="17" t="s">
        <v>18</v>
      </c>
      <c r="E702">
        <v>3</v>
      </c>
      <c r="F702">
        <v>135000</v>
      </c>
      <c r="G702">
        <v>0</v>
      </c>
      <c r="H702">
        <v>135000</v>
      </c>
      <c r="I702" s="1">
        <v>46238</v>
      </c>
      <c r="J702" s="17" t="s">
        <v>33</v>
      </c>
      <c r="K702" t="s">
        <v>1057</v>
      </c>
    </row>
    <row r="703" spans="1:11" x14ac:dyDescent="0.25">
      <c r="A703" s="17" t="s">
        <v>874</v>
      </c>
      <c r="B703" s="17" t="s">
        <v>12</v>
      </c>
      <c r="C703" s="17" t="s">
        <v>17</v>
      </c>
      <c r="D703" s="17" t="s">
        <v>4</v>
      </c>
      <c r="E703">
        <v>7</v>
      </c>
      <c r="F703">
        <v>1750000</v>
      </c>
      <c r="G703">
        <v>0</v>
      </c>
      <c r="H703">
        <v>1750000</v>
      </c>
      <c r="I703" s="1">
        <v>46235</v>
      </c>
      <c r="J703" s="17" t="s">
        <v>33</v>
      </c>
      <c r="K703" t="s">
        <v>1057</v>
      </c>
    </row>
    <row r="704" spans="1:11" x14ac:dyDescent="0.25">
      <c r="A704" s="17" t="s">
        <v>875</v>
      </c>
      <c r="B704" s="17" t="s">
        <v>2</v>
      </c>
      <c r="C704" s="17" t="s">
        <v>13</v>
      </c>
      <c r="D704" s="17" t="s">
        <v>9</v>
      </c>
      <c r="E704">
        <v>10</v>
      </c>
      <c r="F704">
        <v>450000</v>
      </c>
      <c r="G704">
        <v>0</v>
      </c>
      <c r="H704">
        <v>450000</v>
      </c>
      <c r="I704" s="1">
        <v>46158</v>
      </c>
      <c r="J704" s="17" t="s">
        <v>20</v>
      </c>
      <c r="K704" t="s">
        <v>1057</v>
      </c>
    </row>
    <row r="705" spans="1:11" x14ac:dyDescent="0.25">
      <c r="A705" s="17" t="s">
        <v>878</v>
      </c>
      <c r="B705" s="17" t="s">
        <v>25</v>
      </c>
      <c r="C705" s="17" t="s">
        <v>3</v>
      </c>
      <c r="D705" s="17" t="s">
        <v>32</v>
      </c>
      <c r="E705">
        <v>1</v>
      </c>
      <c r="F705">
        <v>250000</v>
      </c>
      <c r="G705">
        <v>0</v>
      </c>
      <c r="H705">
        <v>250000</v>
      </c>
      <c r="I705" s="1">
        <v>46037</v>
      </c>
      <c r="J705" s="17" t="s">
        <v>5</v>
      </c>
      <c r="K705" t="s">
        <v>1057</v>
      </c>
    </row>
    <row r="706" spans="1:11" x14ac:dyDescent="0.25">
      <c r="A706" s="17" t="s">
        <v>879</v>
      </c>
      <c r="B706" s="17" t="s">
        <v>25</v>
      </c>
      <c r="C706" s="17" t="s">
        <v>8</v>
      </c>
      <c r="D706" s="17" t="s">
        <v>9</v>
      </c>
      <c r="E706">
        <v>7</v>
      </c>
      <c r="F706">
        <v>1750000</v>
      </c>
      <c r="G706">
        <v>0</v>
      </c>
      <c r="H706">
        <v>1750000</v>
      </c>
      <c r="I706" s="1">
        <v>46071</v>
      </c>
      <c r="J706" s="17" t="s">
        <v>10</v>
      </c>
      <c r="K706" t="s">
        <v>1057</v>
      </c>
    </row>
    <row r="707" spans="1:11" x14ac:dyDescent="0.25">
      <c r="A707" s="17" t="s">
        <v>880</v>
      </c>
      <c r="B707" s="17" t="s">
        <v>12</v>
      </c>
      <c r="C707" s="17" t="s">
        <v>13</v>
      </c>
      <c r="D707" s="17" t="s">
        <v>18</v>
      </c>
      <c r="E707">
        <v>1</v>
      </c>
      <c r="F707">
        <v>45000</v>
      </c>
      <c r="G707">
        <v>0</v>
      </c>
      <c r="H707">
        <v>45000</v>
      </c>
      <c r="I707" s="1">
        <v>46272</v>
      </c>
      <c r="J707" s="17" t="s">
        <v>10</v>
      </c>
      <c r="K707" t="s">
        <v>1057</v>
      </c>
    </row>
    <row r="708" spans="1:11" x14ac:dyDescent="0.25">
      <c r="A708" s="17" t="s">
        <v>881</v>
      </c>
      <c r="B708" s="17" t="s">
        <v>2</v>
      </c>
      <c r="C708" s="17" t="s">
        <v>27</v>
      </c>
      <c r="D708" s="17" t="s">
        <v>18</v>
      </c>
      <c r="E708">
        <v>4</v>
      </c>
      <c r="F708">
        <v>1000000</v>
      </c>
      <c r="G708">
        <v>0</v>
      </c>
      <c r="H708">
        <v>1000000</v>
      </c>
      <c r="I708" s="1">
        <v>46155</v>
      </c>
      <c r="J708" s="17" t="s">
        <v>20</v>
      </c>
      <c r="K708" t="s">
        <v>1057</v>
      </c>
    </row>
    <row r="709" spans="1:11" x14ac:dyDescent="0.25">
      <c r="A709" s="17" t="s">
        <v>882</v>
      </c>
      <c r="B709" s="17" t="s">
        <v>7</v>
      </c>
      <c r="C709" s="17" t="s">
        <v>29</v>
      </c>
      <c r="D709" s="17" t="s">
        <v>4</v>
      </c>
      <c r="E709">
        <v>1</v>
      </c>
      <c r="F709">
        <v>45000</v>
      </c>
      <c r="G709">
        <v>10000</v>
      </c>
      <c r="H709">
        <v>35000</v>
      </c>
      <c r="I709" s="1">
        <v>46229</v>
      </c>
      <c r="J709" s="17" t="s">
        <v>10</v>
      </c>
      <c r="K709" t="s">
        <v>1057</v>
      </c>
    </row>
    <row r="710" spans="1:11" x14ac:dyDescent="0.25">
      <c r="A710" s="17" t="s">
        <v>885</v>
      </c>
      <c r="B710" s="17" t="s">
        <v>7</v>
      </c>
      <c r="C710" s="17" t="s">
        <v>29</v>
      </c>
      <c r="D710" s="17" t="s">
        <v>32</v>
      </c>
      <c r="E710">
        <v>3</v>
      </c>
      <c r="F710">
        <v>750000</v>
      </c>
      <c r="G710">
        <v>10000</v>
      </c>
      <c r="H710">
        <v>740000</v>
      </c>
      <c r="I710" s="1">
        <v>46074</v>
      </c>
      <c r="J710" s="17" t="s">
        <v>33</v>
      </c>
      <c r="K710" t="s">
        <v>1057</v>
      </c>
    </row>
    <row r="711" spans="1:11" x14ac:dyDescent="0.25">
      <c r="A711" s="17" t="s">
        <v>886</v>
      </c>
      <c r="B711" s="17" t="s">
        <v>2</v>
      </c>
      <c r="C711" s="17" t="s">
        <v>13</v>
      </c>
      <c r="D711" s="17" t="s">
        <v>30</v>
      </c>
      <c r="E711">
        <v>8</v>
      </c>
      <c r="F711">
        <v>1480000</v>
      </c>
      <c r="G711">
        <v>0</v>
      </c>
      <c r="H711">
        <v>1480000</v>
      </c>
      <c r="I711" s="1">
        <v>46199</v>
      </c>
      <c r="J711" s="17" t="s">
        <v>20</v>
      </c>
      <c r="K711" t="s">
        <v>1057</v>
      </c>
    </row>
    <row r="712" spans="1:11" x14ac:dyDescent="0.25">
      <c r="A712" s="17" t="s">
        <v>887</v>
      </c>
      <c r="B712" s="17" t="s">
        <v>12</v>
      </c>
      <c r="C712" s="17" t="s">
        <v>8</v>
      </c>
      <c r="D712" s="17" t="s">
        <v>4</v>
      </c>
      <c r="E712">
        <v>1</v>
      </c>
      <c r="F712">
        <v>45000</v>
      </c>
      <c r="G712">
        <v>15000</v>
      </c>
      <c r="H712">
        <v>30000</v>
      </c>
      <c r="I712" s="1">
        <v>46206</v>
      </c>
      <c r="J712" s="17" t="s">
        <v>20</v>
      </c>
      <c r="K712" t="s">
        <v>1057</v>
      </c>
    </row>
    <row r="713" spans="1:11" x14ac:dyDescent="0.25">
      <c r="A713" s="17" t="s">
        <v>888</v>
      </c>
      <c r="B713" s="17" t="s">
        <v>7</v>
      </c>
      <c r="C713" s="17" t="s">
        <v>27</v>
      </c>
      <c r="D713" s="17" t="s">
        <v>4</v>
      </c>
      <c r="E713">
        <v>9</v>
      </c>
      <c r="F713">
        <v>675000</v>
      </c>
      <c r="G713">
        <v>0</v>
      </c>
      <c r="H713">
        <v>675000</v>
      </c>
      <c r="I713" s="1">
        <v>46238</v>
      </c>
      <c r="J713" s="17" t="s">
        <v>5</v>
      </c>
      <c r="K713" t="s">
        <v>1057</v>
      </c>
    </row>
    <row r="714" spans="1:11" x14ac:dyDescent="0.25">
      <c r="A714" s="17" t="s">
        <v>889</v>
      </c>
      <c r="B714" s="17" t="s">
        <v>2</v>
      </c>
      <c r="C714" s="17" t="s">
        <v>8</v>
      </c>
      <c r="D714" s="17" t="s">
        <v>18</v>
      </c>
      <c r="E714">
        <v>7</v>
      </c>
      <c r="F714">
        <v>840000</v>
      </c>
      <c r="G714">
        <v>0</v>
      </c>
      <c r="H714">
        <v>840000</v>
      </c>
      <c r="I714" s="1">
        <v>46027</v>
      </c>
      <c r="J714" s="17" t="s">
        <v>33</v>
      </c>
      <c r="K714" t="s">
        <v>1057</v>
      </c>
    </row>
    <row r="715" spans="1:11" x14ac:dyDescent="0.25">
      <c r="A715" s="17" t="s">
        <v>890</v>
      </c>
      <c r="B715" s="17" t="s">
        <v>25</v>
      </c>
      <c r="C715" s="17" t="s">
        <v>27</v>
      </c>
      <c r="D715" s="17" t="s">
        <v>32</v>
      </c>
      <c r="E715">
        <v>3</v>
      </c>
      <c r="F715">
        <v>225000</v>
      </c>
      <c r="G715">
        <v>0</v>
      </c>
      <c r="H715">
        <v>225000</v>
      </c>
      <c r="I715" s="1">
        <v>46186</v>
      </c>
      <c r="J715" s="17" t="s">
        <v>5</v>
      </c>
      <c r="K715" t="s">
        <v>1057</v>
      </c>
    </row>
    <row r="716" spans="1:11" x14ac:dyDescent="0.25">
      <c r="A716" s="17" t="s">
        <v>891</v>
      </c>
      <c r="B716" s="17" t="s">
        <v>25</v>
      </c>
      <c r="C716" s="17" t="s">
        <v>17</v>
      </c>
      <c r="D716" s="17" t="s">
        <v>9</v>
      </c>
      <c r="E716">
        <v>3</v>
      </c>
      <c r="F716">
        <v>555000</v>
      </c>
      <c r="G716">
        <v>0</v>
      </c>
      <c r="H716">
        <v>555000</v>
      </c>
      <c r="I716" s="1">
        <v>46242</v>
      </c>
      <c r="J716" s="17" t="s">
        <v>33</v>
      </c>
      <c r="K716" t="s">
        <v>1057</v>
      </c>
    </row>
    <row r="717" spans="1:11" x14ac:dyDescent="0.25">
      <c r="A717" s="17" t="s">
        <v>892</v>
      </c>
      <c r="B717" s="17" t="s">
        <v>7</v>
      </c>
      <c r="C717" s="17" t="s">
        <v>13</v>
      </c>
      <c r="D717" s="17" t="s">
        <v>18</v>
      </c>
      <c r="E717">
        <v>2</v>
      </c>
      <c r="F717">
        <v>90000</v>
      </c>
      <c r="G717">
        <v>5000</v>
      </c>
      <c r="H717">
        <v>85000</v>
      </c>
      <c r="I717" s="1">
        <v>46200</v>
      </c>
      <c r="J717" s="17" t="s">
        <v>20</v>
      </c>
      <c r="K717" t="s">
        <v>1057</v>
      </c>
    </row>
    <row r="718" spans="1:11" x14ac:dyDescent="0.25">
      <c r="A718" s="17" t="s">
        <v>894</v>
      </c>
      <c r="B718" s="17" t="s">
        <v>12</v>
      </c>
      <c r="C718" s="17" t="s">
        <v>17</v>
      </c>
      <c r="D718" s="17" t="s">
        <v>4</v>
      </c>
      <c r="E718">
        <v>4</v>
      </c>
      <c r="F718">
        <v>480000</v>
      </c>
      <c r="G718">
        <v>0</v>
      </c>
      <c r="H718">
        <v>480000</v>
      </c>
      <c r="I718" s="1">
        <v>46255</v>
      </c>
      <c r="J718" s="17" t="s">
        <v>10</v>
      </c>
      <c r="K718" t="s">
        <v>1057</v>
      </c>
    </row>
    <row r="719" spans="1:11" x14ac:dyDescent="0.25">
      <c r="A719" s="17" t="s">
        <v>896</v>
      </c>
      <c r="B719" s="17" t="s">
        <v>12</v>
      </c>
      <c r="C719" s="17" t="s">
        <v>29</v>
      </c>
      <c r="D719" s="17" t="s">
        <v>32</v>
      </c>
      <c r="E719">
        <v>6</v>
      </c>
      <c r="F719">
        <v>1110000</v>
      </c>
      <c r="G719">
        <v>0</v>
      </c>
      <c r="H719">
        <v>1110000</v>
      </c>
      <c r="I719" s="1">
        <v>46244</v>
      </c>
      <c r="J719" s="17" t="s">
        <v>20</v>
      </c>
      <c r="K719" t="s">
        <v>1057</v>
      </c>
    </row>
    <row r="720" spans="1:11" x14ac:dyDescent="0.25">
      <c r="A720" s="17" t="s">
        <v>897</v>
      </c>
      <c r="B720" s="17" t="s">
        <v>2</v>
      </c>
      <c r="C720" s="17" t="s">
        <v>8</v>
      </c>
      <c r="D720" s="17" t="s">
        <v>18</v>
      </c>
      <c r="E720">
        <v>10</v>
      </c>
      <c r="F720">
        <v>1850000</v>
      </c>
      <c r="G720">
        <v>0</v>
      </c>
      <c r="H720">
        <v>1850000</v>
      </c>
      <c r="I720" s="1">
        <v>46133</v>
      </c>
      <c r="J720" s="17" t="s">
        <v>10</v>
      </c>
      <c r="K720" t="s">
        <v>1057</v>
      </c>
    </row>
    <row r="721" spans="1:11" x14ac:dyDescent="0.25">
      <c r="A721" s="17" t="s">
        <v>898</v>
      </c>
      <c r="B721" s="17" t="s">
        <v>7</v>
      </c>
      <c r="C721" s="17" t="s">
        <v>8</v>
      </c>
      <c r="D721" s="17" t="s">
        <v>32</v>
      </c>
      <c r="E721">
        <v>6</v>
      </c>
      <c r="F721">
        <v>450000</v>
      </c>
      <c r="G721">
        <v>0</v>
      </c>
      <c r="H721">
        <v>450000</v>
      </c>
      <c r="I721" s="1">
        <v>46193</v>
      </c>
      <c r="J721" s="17" t="s">
        <v>33</v>
      </c>
      <c r="K721" t="s">
        <v>1057</v>
      </c>
    </row>
    <row r="722" spans="1:11" x14ac:dyDescent="0.25">
      <c r="A722" s="17" t="s">
        <v>900</v>
      </c>
      <c r="B722" s="17" t="s">
        <v>2</v>
      </c>
      <c r="C722" s="17" t="s">
        <v>3</v>
      </c>
      <c r="D722" s="17" t="s">
        <v>4</v>
      </c>
      <c r="E722">
        <v>8</v>
      </c>
      <c r="F722">
        <v>960000</v>
      </c>
      <c r="G722">
        <v>10000</v>
      </c>
      <c r="H722">
        <v>950000</v>
      </c>
      <c r="I722" s="1">
        <v>46096</v>
      </c>
      <c r="J722" s="17" t="s">
        <v>5</v>
      </c>
      <c r="K722" t="s">
        <v>1057</v>
      </c>
    </row>
    <row r="723" spans="1:11" x14ac:dyDescent="0.25">
      <c r="A723" s="17" t="s">
        <v>901</v>
      </c>
      <c r="B723" s="17" t="s">
        <v>2</v>
      </c>
      <c r="C723" s="17" t="s">
        <v>29</v>
      </c>
      <c r="D723" s="17" t="s">
        <v>18</v>
      </c>
      <c r="E723">
        <v>10</v>
      </c>
      <c r="F723">
        <v>750000</v>
      </c>
      <c r="G723">
        <v>0</v>
      </c>
      <c r="H723">
        <v>750000</v>
      </c>
      <c r="I723" s="1">
        <v>46074</v>
      </c>
      <c r="J723" s="17" t="s">
        <v>5</v>
      </c>
      <c r="K723" t="s">
        <v>1057</v>
      </c>
    </row>
    <row r="724" spans="1:11" x14ac:dyDescent="0.25">
      <c r="A724" s="17" t="s">
        <v>902</v>
      </c>
      <c r="B724" s="17" t="s">
        <v>12</v>
      </c>
      <c r="C724" s="17" t="s">
        <v>13</v>
      </c>
      <c r="D724" s="17" t="s">
        <v>4</v>
      </c>
      <c r="E724">
        <v>10</v>
      </c>
      <c r="F724">
        <v>750000</v>
      </c>
      <c r="G724">
        <v>0</v>
      </c>
      <c r="H724">
        <v>750000</v>
      </c>
      <c r="I724" s="1">
        <v>46146</v>
      </c>
      <c r="J724" s="17" t="s">
        <v>10</v>
      </c>
      <c r="K724" t="s">
        <v>1057</v>
      </c>
    </row>
    <row r="725" spans="1:11" x14ac:dyDescent="0.25">
      <c r="A725" s="17" t="s">
        <v>903</v>
      </c>
      <c r="B725" s="17" t="s">
        <v>25</v>
      </c>
      <c r="C725" s="17" t="s">
        <v>8</v>
      </c>
      <c r="D725" s="17" t="s">
        <v>30</v>
      </c>
      <c r="E725">
        <v>5</v>
      </c>
      <c r="F725">
        <v>375000</v>
      </c>
      <c r="G725">
        <v>10000</v>
      </c>
      <c r="H725">
        <v>365000</v>
      </c>
      <c r="I725" s="1">
        <v>46081</v>
      </c>
      <c r="J725" s="17" t="s">
        <v>33</v>
      </c>
      <c r="K725" t="s">
        <v>1057</v>
      </c>
    </row>
    <row r="726" spans="1:11" x14ac:dyDescent="0.25">
      <c r="A726" s="17" t="s">
        <v>904</v>
      </c>
      <c r="B726" s="17" t="s">
        <v>7</v>
      </c>
      <c r="C726" s="17" t="s">
        <v>29</v>
      </c>
      <c r="D726" s="17" t="s">
        <v>4</v>
      </c>
      <c r="E726">
        <v>3</v>
      </c>
      <c r="F726">
        <v>135000</v>
      </c>
      <c r="G726">
        <v>0</v>
      </c>
      <c r="H726">
        <v>135000</v>
      </c>
      <c r="I726" s="1">
        <v>46150</v>
      </c>
      <c r="J726" s="17" t="s">
        <v>20</v>
      </c>
      <c r="K726" t="s">
        <v>1057</v>
      </c>
    </row>
    <row r="727" spans="1:11" x14ac:dyDescent="0.25">
      <c r="A727" s="17" t="s">
        <v>905</v>
      </c>
      <c r="B727" s="17" t="s">
        <v>12</v>
      </c>
      <c r="C727" s="17" t="s">
        <v>3</v>
      </c>
      <c r="D727" s="17" t="s">
        <v>4</v>
      </c>
      <c r="E727">
        <v>5</v>
      </c>
      <c r="F727">
        <v>600000</v>
      </c>
      <c r="G727">
        <v>0</v>
      </c>
      <c r="H727">
        <v>600000</v>
      </c>
      <c r="I727" s="1">
        <v>46122</v>
      </c>
      <c r="J727" s="17" t="s">
        <v>10</v>
      </c>
      <c r="K727" t="s">
        <v>1057</v>
      </c>
    </row>
    <row r="728" spans="1:11" x14ac:dyDescent="0.25">
      <c r="A728" s="17" t="s">
        <v>906</v>
      </c>
      <c r="B728" s="17" t="s">
        <v>2</v>
      </c>
      <c r="C728" s="17" t="s">
        <v>17</v>
      </c>
      <c r="D728" s="17" t="s">
        <v>30</v>
      </c>
      <c r="E728">
        <v>7</v>
      </c>
      <c r="F728">
        <v>1750000</v>
      </c>
      <c r="G728">
        <v>0</v>
      </c>
      <c r="H728">
        <v>1750000</v>
      </c>
      <c r="I728" s="1">
        <v>46049</v>
      </c>
      <c r="J728" s="17" t="s">
        <v>20</v>
      </c>
      <c r="K728" t="s">
        <v>1057</v>
      </c>
    </row>
    <row r="729" spans="1:11" x14ac:dyDescent="0.25">
      <c r="A729" s="17" t="s">
        <v>907</v>
      </c>
      <c r="B729" s="17" t="s">
        <v>25</v>
      </c>
      <c r="C729" s="17" t="s">
        <v>29</v>
      </c>
      <c r="D729" s="17" t="s">
        <v>4</v>
      </c>
      <c r="E729">
        <v>5</v>
      </c>
      <c r="F729">
        <v>925000</v>
      </c>
      <c r="G729">
        <v>15000</v>
      </c>
      <c r="H729">
        <v>910000</v>
      </c>
      <c r="I729" s="1">
        <v>46223</v>
      </c>
      <c r="J729" s="17" t="s">
        <v>5</v>
      </c>
      <c r="K729" t="s">
        <v>1057</v>
      </c>
    </row>
    <row r="730" spans="1:11" x14ac:dyDescent="0.25">
      <c r="A730" s="17" t="s">
        <v>908</v>
      </c>
      <c r="B730" s="17" t="s">
        <v>25</v>
      </c>
      <c r="C730" s="17" t="s">
        <v>3</v>
      </c>
      <c r="D730" s="17" t="s">
        <v>9</v>
      </c>
      <c r="E730">
        <v>8</v>
      </c>
      <c r="F730">
        <v>600000</v>
      </c>
      <c r="G730">
        <v>0</v>
      </c>
      <c r="H730">
        <v>600000</v>
      </c>
      <c r="I730" s="1">
        <v>46132</v>
      </c>
      <c r="J730" s="17" t="s">
        <v>5</v>
      </c>
      <c r="K730" t="s">
        <v>1057</v>
      </c>
    </row>
    <row r="731" spans="1:11" x14ac:dyDescent="0.25">
      <c r="A731" s="17" t="s">
        <v>909</v>
      </c>
      <c r="B731" s="17" t="s">
        <v>2</v>
      </c>
      <c r="C731" s="17" t="s">
        <v>27</v>
      </c>
      <c r="D731" s="17" t="s">
        <v>18</v>
      </c>
      <c r="E731">
        <v>10</v>
      </c>
      <c r="F731">
        <v>1850000</v>
      </c>
      <c r="G731">
        <v>0</v>
      </c>
      <c r="H731">
        <v>1850000</v>
      </c>
      <c r="I731" s="1">
        <v>46175</v>
      </c>
      <c r="J731" s="17" t="s">
        <v>20</v>
      </c>
      <c r="K731" t="s">
        <v>1057</v>
      </c>
    </row>
    <row r="732" spans="1:11" x14ac:dyDescent="0.25">
      <c r="A732" s="17" t="s">
        <v>910</v>
      </c>
      <c r="B732" s="17" t="s">
        <v>2</v>
      </c>
      <c r="C732" s="17" t="s">
        <v>27</v>
      </c>
      <c r="D732" s="17" t="s">
        <v>4</v>
      </c>
      <c r="E732">
        <v>6</v>
      </c>
      <c r="F732">
        <v>270000</v>
      </c>
      <c r="G732">
        <v>0</v>
      </c>
      <c r="H732">
        <v>270000</v>
      </c>
      <c r="I732" s="1">
        <v>46206</v>
      </c>
      <c r="J732" s="17" t="s">
        <v>20</v>
      </c>
      <c r="K732" t="s">
        <v>1057</v>
      </c>
    </row>
    <row r="733" spans="1:11" x14ac:dyDescent="0.25">
      <c r="A733" s="17" t="s">
        <v>911</v>
      </c>
      <c r="B733" s="17" t="s">
        <v>12</v>
      </c>
      <c r="C733" s="17" t="s">
        <v>29</v>
      </c>
      <c r="D733" s="17" t="s">
        <v>18</v>
      </c>
      <c r="E733">
        <v>3</v>
      </c>
      <c r="F733">
        <v>360000</v>
      </c>
      <c r="G733">
        <v>10000</v>
      </c>
      <c r="H733">
        <v>350000</v>
      </c>
      <c r="I733" s="1">
        <v>46089</v>
      </c>
      <c r="J733" s="17" t="s">
        <v>10</v>
      </c>
      <c r="K733" t="s">
        <v>1057</v>
      </c>
    </row>
    <row r="734" spans="1:11" x14ac:dyDescent="0.25">
      <c r="A734" s="17" t="s">
        <v>912</v>
      </c>
      <c r="B734" s="17" t="s">
        <v>2</v>
      </c>
      <c r="C734" s="17" t="s">
        <v>17</v>
      </c>
      <c r="D734" s="17" t="s">
        <v>4</v>
      </c>
      <c r="E734">
        <v>9</v>
      </c>
      <c r="F734">
        <v>675000</v>
      </c>
      <c r="G734">
        <v>0</v>
      </c>
      <c r="H734">
        <v>675000</v>
      </c>
      <c r="I734" s="1">
        <v>46028</v>
      </c>
      <c r="J734" s="17" t="s">
        <v>10</v>
      </c>
      <c r="K734" t="s">
        <v>1057</v>
      </c>
    </row>
    <row r="735" spans="1:11" x14ac:dyDescent="0.25">
      <c r="A735" s="17" t="s">
        <v>913</v>
      </c>
      <c r="B735" s="17" t="s">
        <v>12</v>
      </c>
      <c r="C735" s="17" t="s">
        <v>8</v>
      </c>
      <c r="D735" s="17" t="s">
        <v>32</v>
      </c>
      <c r="E735">
        <v>9</v>
      </c>
      <c r="F735">
        <v>405000</v>
      </c>
      <c r="G735">
        <v>0</v>
      </c>
      <c r="H735">
        <v>405000</v>
      </c>
      <c r="I735" s="1">
        <v>46158</v>
      </c>
      <c r="J735" s="17" t="s">
        <v>20</v>
      </c>
      <c r="K735" t="s">
        <v>1057</v>
      </c>
    </row>
    <row r="736" spans="1:11" x14ac:dyDescent="0.25">
      <c r="A736" s="17" t="s">
        <v>914</v>
      </c>
      <c r="B736" s="17" t="s">
        <v>2</v>
      </c>
      <c r="C736" s="17" t="s">
        <v>8</v>
      </c>
      <c r="D736" s="17" t="s">
        <v>32</v>
      </c>
      <c r="E736">
        <v>6</v>
      </c>
      <c r="F736">
        <v>270000</v>
      </c>
      <c r="G736">
        <v>0</v>
      </c>
      <c r="H736">
        <v>270000</v>
      </c>
      <c r="I736" s="1">
        <v>46147</v>
      </c>
      <c r="J736" s="17" t="s">
        <v>5</v>
      </c>
      <c r="K736" t="s">
        <v>1057</v>
      </c>
    </row>
    <row r="737" spans="1:11" x14ac:dyDescent="0.25">
      <c r="A737" s="17" t="s">
        <v>916</v>
      </c>
      <c r="B737" s="17" t="s">
        <v>2</v>
      </c>
      <c r="C737" s="17" t="s">
        <v>13</v>
      </c>
      <c r="D737" s="17" t="s">
        <v>30</v>
      </c>
      <c r="E737">
        <v>3</v>
      </c>
      <c r="F737">
        <v>225000</v>
      </c>
      <c r="G737">
        <v>0</v>
      </c>
      <c r="H737">
        <v>225000</v>
      </c>
      <c r="I737" s="1">
        <v>46113</v>
      </c>
      <c r="J737" s="17" t="s">
        <v>5</v>
      </c>
      <c r="K737" t="s">
        <v>1057</v>
      </c>
    </row>
    <row r="738" spans="1:11" x14ac:dyDescent="0.25">
      <c r="A738" s="17" t="s">
        <v>917</v>
      </c>
      <c r="B738" s="17" t="s">
        <v>12</v>
      </c>
      <c r="C738" s="17" t="s">
        <v>29</v>
      </c>
      <c r="D738" s="17" t="s">
        <v>9</v>
      </c>
      <c r="E738">
        <v>7</v>
      </c>
      <c r="F738">
        <v>840000</v>
      </c>
      <c r="G738">
        <v>0</v>
      </c>
      <c r="H738">
        <v>840000</v>
      </c>
      <c r="I738" s="1">
        <v>46208</v>
      </c>
      <c r="J738" s="17" t="s">
        <v>20</v>
      </c>
      <c r="K738" t="s">
        <v>1057</v>
      </c>
    </row>
    <row r="739" spans="1:11" x14ac:dyDescent="0.25">
      <c r="A739" s="17" t="s">
        <v>918</v>
      </c>
      <c r="B739" s="17" t="s">
        <v>25</v>
      </c>
      <c r="C739" s="17" t="s">
        <v>3</v>
      </c>
      <c r="D739" s="17" t="s">
        <v>4</v>
      </c>
      <c r="E739">
        <v>5</v>
      </c>
      <c r="F739">
        <v>375000</v>
      </c>
      <c r="G739">
        <v>5000</v>
      </c>
      <c r="H739">
        <v>370000</v>
      </c>
      <c r="I739" s="1">
        <v>46115</v>
      </c>
      <c r="J739" s="17" t="s">
        <v>33</v>
      </c>
      <c r="K739" t="s">
        <v>1057</v>
      </c>
    </row>
    <row r="740" spans="1:11" x14ac:dyDescent="0.25">
      <c r="A740" s="17" t="s">
        <v>919</v>
      </c>
      <c r="B740" s="17" t="s">
        <v>25</v>
      </c>
      <c r="C740" s="17" t="s">
        <v>17</v>
      </c>
      <c r="D740" s="17" t="s">
        <v>30</v>
      </c>
      <c r="E740">
        <v>5</v>
      </c>
      <c r="F740">
        <v>925000</v>
      </c>
      <c r="G740">
        <v>0</v>
      </c>
      <c r="H740">
        <v>925000</v>
      </c>
      <c r="I740" s="1">
        <v>46188</v>
      </c>
      <c r="J740" s="17" t="s">
        <v>10</v>
      </c>
      <c r="K740" t="s">
        <v>1057</v>
      </c>
    </row>
    <row r="741" spans="1:11" x14ac:dyDescent="0.25">
      <c r="A741" s="17" t="s">
        <v>920</v>
      </c>
      <c r="B741" s="17" t="s">
        <v>2</v>
      </c>
      <c r="C741" s="17" t="s">
        <v>29</v>
      </c>
      <c r="D741" s="17" t="s">
        <v>9</v>
      </c>
      <c r="E741">
        <v>9</v>
      </c>
      <c r="F741">
        <v>1080000</v>
      </c>
      <c r="G741">
        <v>0</v>
      </c>
      <c r="H741">
        <v>1080000</v>
      </c>
      <c r="I741" s="1">
        <v>46225</v>
      </c>
      <c r="J741" s="17" t="s">
        <v>10</v>
      </c>
      <c r="K741" t="s">
        <v>1057</v>
      </c>
    </row>
    <row r="742" spans="1:11" x14ac:dyDescent="0.25">
      <c r="A742" s="17" t="s">
        <v>921</v>
      </c>
      <c r="B742" s="17" t="s">
        <v>12</v>
      </c>
      <c r="C742" s="17" t="s">
        <v>29</v>
      </c>
      <c r="D742" s="17" t="s">
        <v>18</v>
      </c>
      <c r="E742">
        <v>10</v>
      </c>
      <c r="F742">
        <v>1850000</v>
      </c>
      <c r="G742">
        <v>0</v>
      </c>
      <c r="H742">
        <v>1850000</v>
      </c>
      <c r="I742" s="1">
        <v>46208</v>
      </c>
      <c r="J742" s="17" t="s">
        <v>20</v>
      </c>
      <c r="K742" t="s">
        <v>1057</v>
      </c>
    </row>
    <row r="743" spans="1:11" x14ac:dyDescent="0.25">
      <c r="A743" s="17" t="s">
        <v>922</v>
      </c>
      <c r="B743" s="17" t="s">
        <v>2</v>
      </c>
      <c r="C743" s="17" t="s">
        <v>3</v>
      </c>
      <c r="D743" s="17" t="s">
        <v>4</v>
      </c>
      <c r="E743">
        <v>10</v>
      </c>
      <c r="F743">
        <v>450000</v>
      </c>
      <c r="G743">
        <v>0</v>
      </c>
      <c r="H743">
        <v>450000</v>
      </c>
      <c r="I743" s="1">
        <v>46029</v>
      </c>
      <c r="J743" s="17" t="s">
        <v>10</v>
      </c>
      <c r="K743" t="s">
        <v>1057</v>
      </c>
    </row>
    <row r="744" spans="1:11" x14ac:dyDescent="0.25">
      <c r="A744" s="17" t="s">
        <v>923</v>
      </c>
      <c r="B744" s="17" t="s">
        <v>25</v>
      </c>
      <c r="C744" s="17" t="s">
        <v>29</v>
      </c>
      <c r="D744" s="17" t="s">
        <v>30</v>
      </c>
      <c r="E744">
        <v>7</v>
      </c>
      <c r="F744">
        <v>315000</v>
      </c>
      <c r="G744">
        <v>0</v>
      </c>
      <c r="H744">
        <v>315000</v>
      </c>
      <c r="I744" s="1">
        <v>46028</v>
      </c>
      <c r="J744" s="17" t="s">
        <v>20</v>
      </c>
      <c r="K744" t="s">
        <v>1057</v>
      </c>
    </row>
    <row r="745" spans="1:11" x14ac:dyDescent="0.25">
      <c r="A745" s="17" t="s">
        <v>924</v>
      </c>
      <c r="B745" s="17" t="s">
        <v>7</v>
      </c>
      <c r="C745" s="17" t="s">
        <v>3</v>
      </c>
      <c r="D745" s="17" t="s">
        <v>4</v>
      </c>
      <c r="E745">
        <v>6</v>
      </c>
      <c r="F745">
        <v>720000</v>
      </c>
      <c r="G745">
        <v>0</v>
      </c>
      <c r="H745">
        <v>720000</v>
      </c>
      <c r="I745" s="1">
        <v>46176</v>
      </c>
      <c r="J745" s="17" t="s">
        <v>20</v>
      </c>
      <c r="K745" t="s">
        <v>1057</v>
      </c>
    </row>
    <row r="746" spans="1:11" x14ac:dyDescent="0.25">
      <c r="A746" s="17" t="s">
        <v>925</v>
      </c>
      <c r="B746" s="17" t="s">
        <v>2</v>
      </c>
      <c r="C746" s="17" t="s">
        <v>3</v>
      </c>
      <c r="D746" s="17" t="s">
        <v>30</v>
      </c>
      <c r="E746">
        <v>10</v>
      </c>
      <c r="F746">
        <v>1200000</v>
      </c>
      <c r="G746">
        <v>10000</v>
      </c>
      <c r="H746">
        <v>1190000</v>
      </c>
      <c r="I746" s="1">
        <v>46179</v>
      </c>
      <c r="J746" s="17" t="s">
        <v>5</v>
      </c>
      <c r="K746" t="s">
        <v>1057</v>
      </c>
    </row>
    <row r="747" spans="1:11" x14ac:dyDescent="0.25">
      <c r="A747" s="17" t="s">
        <v>926</v>
      </c>
      <c r="B747" s="17" t="s">
        <v>7</v>
      </c>
      <c r="C747" s="17" t="s">
        <v>8</v>
      </c>
      <c r="D747" s="17" t="s">
        <v>32</v>
      </c>
      <c r="E747">
        <v>8</v>
      </c>
      <c r="F747">
        <v>1480000</v>
      </c>
      <c r="G747">
        <v>0</v>
      </c>
      <c r="H747">
        <v>1480000</v>
      </c>
      <c r="I747" s="1">
        <v>46056</v>
      </c>
      <c r="J747" s="17" t="s">
        <v>33</v>
      </c>
      <c r="K747" t="s">
        <v>1057</v>
      </c>
    </row>
    <row r="748" spans="1:11" x14ac:dyDescent="0.25">
      <c r="A748" s="17" t="s">
        <v>927</v>
      </c>
      <c r="B748" s="17" t="s">
        <v>12</v>
      </c>
      <c r="C748" s="17" t="s">
        <v>29</v>
      </c>
      <c r="D748" s="17" t="s">
        <v>4</v>
      </c>
      <c r="E748">
        <v>5</v>
      </c>
      <c r="F748">
        <v>225000</v>
      </c>
      <c r="G748">
        <v>0</v>
      </c>
      <c r="H748">
        <v>225000</v>
      </c>
      <c r="I748" s="1">
        <v>46040</v>
      </c>
      <c r="J748" s="17" t="s">
        <v>5</v>
      </c>
      <c r="K748" t="s">
        <v>1057</v>
      </c>
    </row>
    <row r="749" spans="1:11" x14ac:dyDescent="0.25">
      <c r="A749" s="17" t="s">
        <v>928</v>
      </c>
      <c r="B749" s="17" t="s">
        <v>12</v>
      </c>
      <c r="C749" s="17" t="s">
        <v>3</v>
      </c>
      <c r="D749" s="17" t="s">
        <v>9</v>
      </c>
      <c r="E749">
        <v>3</v>
      </c>
      <c r="F749">
        <v>225000</v>
      </c>
      <c r="G749">
        <v>5000</v>
      </c>
      <c r="H749">
        <v>220000</v>
      </c>
      <c r="I749" s="1">
        <v>46178</v>
      </c>
      <c r="J749" s="17" t="s">
        <v>10</v>
      </c>
      <c r="K749" t="s">
        <v>1057</v>
      </c>
    </row>
    <row r="750" spans="1:11" x14ac:dyDescent="0.25">
      <c r="A750" s="17" t="s">
        <v>929</v>
      </c>
      <c r="B750" s="17" t="s">
        <v>7</v>
      </c>
      <c r="C750" s="17" t="s">
        <v>3</v>
      </c>
      <c r="D750" s="17" t="s">
        <v>30</v>
      </c>
      <c r="E750">
        <v>8</v>
      </c>
      <c r="F750">
        <v>1480000</v>
      </c>
      <c r="G750">
        <v>0</v>
      </c>
      <c r="H750">
        <v>1480000</v>
      </c>
      <c r="I750" s="1">
        <v>46081</v>
      </c>
      <c r="J750" s="17" t="s">
        <v>5</v>
      </c>
      <c r="K750" t="s">
        <v>1057</v>
      </c>
    </row>
    <row r="751" spans="1:11" x14ac:dyDescent="0.25">
      <c r="A751" s="17" t="s">
        <v>930</v>
      </c>
      <c r="B751" s="17" t="s">
        <v>25</v>
      </c>
      <c r="C751" s="17" t="s">
        <v>27</v>
      </c>
      <c r="D751" s="17" t="s">
        <v>18</v>
      </c>
      <c r="E751">
        <v>2</v>
      </c>
      <c r="F751">
        <v>370000</v>
      </c>
      <c r="G751">
        <v>15000</v>
      </c>
      <c r="H751">
        <v>355000</v>
      </c>
      <c r="I751" s="1">
        <v>46024</v>
      </c>
      <c r="J751" s="17" t="s">
        <v>10</v>
      </c>
      <c r="K751" t="s">
        <v>1057</v>
      </c>
    </row>
    <row r="752" spans="1:11" x14ac:dyDescent="0.25">
      <c r="A752" s="17" t="s">
        <v>931</v>
      </c>
      <c r="B752" s="17" t="s">
        <v>12</v>
      </c>
      <c r="C752" s="17" t="s">
        <v>13</v>
      </c>
      <c r="D752" s="17" t="s">
        <v>9</v>
      </c>
      <c r="E752">
        <v>4</v>
      </c>
      <c r="F752">
        <v>480000</v>
      </c>
      <c r="G752">
        <v>0</v>
      </c>
      <c r="H752">
        <v>480000</v>
      </c>
      <c r="I752" s="1">
        <v>46120</v>
      </c>
      <c r="J752" s="17" t="s">
        <v>5</v>
      </c>
      <c r="K752" t="s">
        <v>1057</v>
      </c>
    </row>
    <row r="753" spans="1:11" x14ac:dyDescent="0.25">
      <c r="A753" s="17" t="s">
        <v>932</v>
      </c>
      <c r="B753" s="17" t="s">
        <v>2</v>
      </c>
      <c r="C753" s="17" t="s">
        <v>8</v>
      </c>
      <c r="D753" s="17" t="s">
        <v>32</v>
      </c>
      <c r="E753">
        <v>1</v>
      </c>
      <c r="F753">
        <v>45000</v>
      </c>
      <c r="G753">
        <v>0</v>
      </c>
      <c r="H753">
        <v>45000</v>
      </c>
      <c r="I753" s="1">
        <v>46109</v>
      </c>
      <c r="J753" s="17" t="s">
        <v>20</v>
      </c>
      <c r="K753" t="s">
        <v>1057</v>
      </c>
    </row>
    <row r="754" spans="1:11" x14ac:dyDescent="0.25">
      <c r="A754" s="17" t="s">
        <v>933</v>
      </c>
      <c r="B754" s="17" t="s">
        <v>2</v>
      </c>
      <c r="C754" s="17" t="s">
        <v>29</v>
      </c>
      <c r="D754" s="17" t="s">
        <v>32</v>
      </c>
      <c r="E754">
        <v>5</v>
      </c>
      <c r="F754">
        <v>225000</v>
      </c>
      <c r="G754">
        <v>0</v>
      </c>
      <c r="H754">
        <v>225000</v>
      </c>
      <c r="I754" s="1">
        <v>46194</v>
      </c>
      <c r="J754" s="17" t="s">
        <v>10</v>
      </c>
      <c r="K754" t="s">
        <v>1057</v>
      </c>
    </row>
    <row r="755" spans="1:11" x14ac:dyDescent="0.25">
      <c r="A755" s="17" t="s">
        <v>934</v>
      </c>
      <c r="B755" s="17" t="s">
        <v>7</v>
      </c>
      <c r="C755" s="17" t="s">
        <v>13</v>
      </c>
      <c r="D755" s="17" t="s">
        <v>4</v>
      </c>
      <c r="E755">
        <v>10</v>
      </c>
      <c r="F755">
        <v>750000</v>
      </c>
      <c r="G755">
        <v>0</v>
      </c>
      <c r="H755">
        <v>750000</v>
      </c>
      <c r="I755" s="1">
        <v>46134</v>
      </c>
      <c r="J755" s="17" t="s">
        <v>33</v>
      </c>
      <c r="K755" t="s">
        <v>1057</v>
      </c>
    </row>
    <row r="756" spans="1:11" x14ac:dyDescent="0.25">
      <c r="A756" s="17" t="s">
        <v>935</v>
      </c>
      <c r="B756" s="17" t="s">
        <v>12</v>
      </c>
      <c r="C756" s="17" t="s">
        <v>29</v>
      </c>
      <c r="D756" s="17" t="s">
        <v>9</v>
      </c>
      <c r="E756">
        <v>9</v>
      </c>
      <c r="F756">
        <v>1665000</v>
      </c>
      <c r="G756">
        <v>15000</v>
      </c>
      <c r="H756">
        <v>1650000</v>
      </c>
      <c r="I756" s="1">
        <v>46038</v>
      </c>
      <c r="J756" s="17" t="s">
        <v>20</v>
      </c>
      <c r="K756" t="s">
        <v>1057</v>
      </c>
    </row>
    <row r="757" spans="1:11" x14ac:dyDescent="0.25">
      <c r="A757" s="17" t="s">
        <v>936</v>
      </c>
      <c r="B757" s="17" t="s">
        <v>25</v>
      </c>
      <c r="C757" s="17" t="s">
        <v>29</v>
      </c>
      <c r="D757" s="17" t="s">
        <v>30</v>
      </c>
      <c r="E757">
        <v>7</v>
      </c>
      <c r="F757">
        <v>315000</v>
      </c>
      <c r="G757">
        <v>0</v>
      </c>
      <c r="H757">
        <v>315000</v>
      </c>
      <c r="I757" s="1">
        <v>46236</v>
      </c>
      <c r="J757" s="17" t="s">
        <v>10</v>
      </c>
      <c r="K757" t="s">
        <v>1057</v>
      </c>
    </row>
    <row r="758" spans="1:11" x14ac:dyDescent="0.25">
      <c r="A758" s="17" t="s">
        <v>937</v>
      </c>
      <c r="B758" s="17" t="s">
        <v>7</v>
      </c>
      <c r="C758" s="17" t="s">
        <v>29</v>
      </c>
      <c r="D758" s="17" t="s">
        <v>30</v>
      </c>
      <c r="E758">
        <v>4</v>
      </c>
      <c r="F758">
        <v>480000</v>
      </c>
      <c r="G758">
        <v>0</v>
      </c>
      <c r="H758">
        <v>480000</v>
      </c>
      <c r="I758" s="1">
        <v>46060</v>
      </c>
      <c r="J758" s="17" t="s">
        <v>33</v>
      </c>
      <c r="K758" t="s">
        <v>1057</v>
      </c>
    </row>
    <row r="759" spans="1:11" x14ac:dyDescent="0.25">
      <c r="A759" s="17" t="s">
        <v>938</v>
      </c>
      <c r="B759" s="17" t="s">
        <v>2</v>
      </c>
      <c r="C759" s="17" t="s">
        <v>3</v>
      </c>
      <c r="D759" s="17" t="s">
        <v>18</v>
      </c>
      <c r="E759">
        <v>2</v>
      </c>
      <c r="F759">
        <v>240000</v>
      </c>
      <c r="G759">
        <v>0</v>
      </c>
      <c r="H759">
        <v>240000</v>
      </c>
      <c r="I759" s="1">
        <v>46072</v>
      </c>
      <c r="J759" s="17" t="s">
        <v>10</v>
      </c>
      <c r="K759" t="s">
        <v>1057</v>
      </c>
    </row>
    <row r="760" spans="1:11" x14ac:dyDescent="0.25">
      <c r="A760" s="17" t="s">
        <v>939</v>
      </c>
      <c r="B760" s="17" t="s">
        <v>12</v>
      </c>
      <c r="C760" s="17" t="s">
        <v>3</v>
      </c>
      <c r="D760" s="17" t="s">
        <v>9</v>
      </c>
      <c r="E760">
        <v>7</v>
      </c>
      <c r="F760">
        <v>840000</v>
      </c>
      <c r="G760">
        <v>0</v>
      </c>
      <c r="H760">
        <v>840000</v>
      </c>
      <c r="I760" s="1">
        <v>46176</v>
      </c>
      <c r="J760" s="17" t="s">
        <v>10</v>
      </c>
      <c r="K760" t="s">
        <v>1057</v>
      </c>
    </row>
    <row r="761" spans="1:11" x14ac:dyDescent="0.25">
      <c r="A761" s="17" t="s">
        <v>940</v>
      </c>
      <c r="B761" s="17" t="s">
        <v>12</v>
      </c>
      <c r="C761" s="17" t="s">
        <v>13</v>
      </c>
      <c r="D761" s="17" t="s">
        <v>4</v>
      </c>
      <c r="E761">
        <v>1</v>
      </c>
      <c r="F761">
        <v>75000</v>
      </c>
      <c r="G761">
        <v>0</v>
      </c>
      <c r="H761">
        <v>75000</v>
      </c>
      <c r="I761" s="1">
        <v>46034</v>
      </c>
      <c r="J761" s="17" t="s">
        <v>20</v>
      </c>
      <c r="K761" t="s">
        <v>1057</v>
      </c>
    </row>
    <row r="762" spans="1:11" x14ac:dyDescent="0.25">
      <c r="A762" s="17" t="s">
        <v>941</v>
      </c>
      <c r="B762" s="17" t="s">
        <v>25</v>
      </c>
      <c r="C762" s="17" t="s">
        <v>29</v>
      </c>
      <c r="D762" s="17" t="s">
        <v>4</v>
      </c>
      <c r="E762">
        <v>7</v>
      </c>
      <c r="F762">
        <v>1750000</v>
      </c>
      <c r="G762">
        <v>0</v>
      </c>
      <c r="H762">
        <v>1750000</v>
      </c>
      <c r="I762" s="1">
        <v>46073</v>
      </c>
      <c r="J762" s="17" t="s">
        <v>33</v>
      </c>
      <c r="K762" t="s">
        <v>1057</v>
      </c>
    </row>
    <row r="763" spans="1:11" x14ac:dyDescent="0.25">
      <c r="A763" s="17" t="s">
        <v>942</v>
      </c>
      <c r="B763" s="17" t="s">
        <v>12</v>
      </c>
      <c r="C763" s="17" t="s">
        <v>17</v>
      </c>
      <c r="D763" s="17" t="s">
        <v>30</v>
      </c>
      <c r="E763">
        <v>6</v>
      </c>
      <c r="F763">
        <v>720000</v>
      </c>
      <c r="G763">
        <v>0</v>
      </c>
      <c r="H763">
        <v>720000</v>
      </c>
      <c r="I763" s="1">
        <v>46188</v>
      </c>
      <c r="J763" s="17" t="s">
        <v>10</v>
      </c>
      <c r="K763" t="s">
        <v>1057</v>
      </c>
    </row>
    <row r="764" spans="1:11" x14ac:dyDescent="0.25">
      <c r="A764" s="17" t="s">
        <v>943</v>
      </c>
      <c r="B764" s="17" t="s">
        <v>2</v>
      </c>
      <c r="C764" s="17" t="s">
        <v>8</v>
      </c>
      <c r="D764" s="17" t="s">
        <v>32</v>
      </c>
      <c r="E764">
        <v>10</v>
      </c>
      <c r="F764">
        <v>2500000</v>
      </c>
      <c r="G764">
        <v>0</v>
      </c>
      <c r="H764">
        <v>2500000</v>
      </c>
      <c r="I764" s="1">
        <v>46025</v>
      </c>
      <c r="J764" s="17" t="s">
        <v>10</v>
      </c>
      <c r="K764" t="s">
        <v>1057</v>
      </c>
    </row>
    <row r="765" spans="1:11" x14ac:dyDescent="0.25">
      <c r="A765" s="17" t="s">
        <v>944</v>
      </c>
      <c r="B765" s="17" t="s">
        <v>7</v>
      </c>
      <c r="C765" s="17" t="s">
        <v>8</v>
      </c>
      <c r="D765" s="17" t="s">
        <v>9</v>
      </c>
      <c r="E765">
        <v>7</v>
      </c>
      <c r="F765">
        <v>840000</v>
      </c>
      <c r="G765">
        <v>0</v>
      </c>
      <c r="H765">
        <v>840000</v>
      </c>
      <c r="I765" s="1">
        <v>46228</v>
      </c>
      <c r="J765" s="17" t="s">
        <v>5</v>
      </c>
      <c r="K765" t="s">
        <v>1057</v>
      </c>
    </row>
    <row r="766" spans="1:11" x14ac:dyDescent="0.25">
      <c r="A766" s="17" t="s">
        <v>945</v>
      </c>
      <c r="B766" s="17" t="s">
        <v>12</v>
      </c>
      <c r="C766" s="17" t="s">
        <v>29</v>
      </c>
      <c r="D766" s="17" t="s">
        <v>30</v>
      </c>
      <c r="E766">
        <v>7</v>
      </c>
      <c r="F766">
        <v>1295000</v>
      </c>
      <c r="G766">
        <v>0</v>
      </c>
      <c r="H766">
        <v>1295000</v>
      </c>
      <c r="I766" s="1">
        <v>46062</v>
      </c>
      <c r="J766" s="17" t="s">
        <v>5</v>
      </c>
      <c r="K766" t="s">
        <v>1057</v>
      </c>
    </row>
    <row r="767" spans="1:11" x14ac:dyDescent="0.25">
      <c r="A767" s="17" t="s">
        <v>946</v>
      </c>
      <c r="B767" s="17" t="s">
        <v>25</v>
      </c>
      <c r="C767" s="17" t="s">
        <v>27</v>
      </c>
      <c r="D767" s="17" t="s">
        <v>18</v>
      </c>
      <c r="E767">
        <v>4</v>
      </c>
      <c r="F767">
        <v>740000</v>
      </c>
      <c r="G767">
        <v>0</v>
      </c>
      <c r="H767">
        <v>740000</v>
      </c>
      <c r="I767" s="1">
        <v>46190</v>
      </c>
      <c r="J767" s="17" t="s">
        <v>20</v>
      </c>
      <c r="K767" t="s">
        <v>1057</v>
      </c>
    </row>
    <row r="768" spans="1:11" x14ac:dyDescent="0.25">
      <c r="A768" s="17" t="s">
        <v>947</v>
      </c>
      <c r="B768" s="17" t="s">
        <v>25</v>
      </c>
      <c r="C768" s="17" t="s">
        <v>13</v>
      </c>
      <c r="D768" s="17" t="s">
        <v>9</v>
      </c>
      <c r="E768">
        <v>5</v>
      </c>
      <c r="F768">
        <v>225000</v>
      </c>
      <c r="G768">
        <v>0</v>
      </c>
      <c r="H768">
        <v>225000</v>
      </c>
      <c r="I768" s="1">
        <v>46103</v>
      </c>
      <c r="J768" s="17" t="s">
        <v>33</v>
      </c>
      <c r="K768" t="s">
        <v>1057</v>
      </c>
    </row>
    <row r="769" spans="1:11" x14ac:dyDescent="0.25">
      <c r="A769" s="17" t="s">
        <v>948</v>
      </c>
      <c r="B769" s="17" t="s">
        <v>12</v>
      </c>
      <c r="C769" s="17" t="s">
        <v>17</v>
      </c>
      <c r="D769" s="17" t="s">
        <v>4</v>
      </c>
      <c r="E769">
        <v>5</v>
      </c>
      <c r="F769">
        <v>925000</v>
      </c>
      <c r="G769">
        <v>0</v>
      </c>
      <c r="H769">
        <v>925000</v>
      </c>
      <c r="I769" s="1">
        <v>46131</v>
      </c>
      <c r="J769" s="17" t="s">
        <v>10</v>
      </c>
      <c r="K769" t="s">
        <v>1057</v>
      </c>
    </row>
    <row r="770" spans="1:11" x14ac:dyDescent="0.25">
      <c r="A770" s="17" t="s">
        <v>949</v>
      </c>
      <c r="B770" s="17" t="s">
        <v>12</v>
      </c>
      <c r="C770" s="17" t="s">
        <v>3</v>
      </c>
      <c r="D770" s="17" t="s">
        <v>18</v>
      </c>
      <c r="E770">
        <v>5</v>
      </c>
      <c r="F770">
        <v>375000</v>
      </c>
      <c r="G770">
        <v>5000</v>
      </c>
      <c r="H770">
        <v>370000</v>
      </c>
      <c r="I770" s="1">
        <v>46198</v>
      </c>
      <c r="J770" s="17" t="s">
        <v>5</v>
      </c>
      <c r="K770" t="s">
        <v>1057</v>
      </c>
    </row>
    <row r="771" spans="1:11" x14ac:dyDescent="0.25">
      <c r="A771" s="17" t="s">
        <v>950</v>
      </c>
      <c r="B771" s="17" t="s">
        <v>25</v>
      </c>
      <c r="C771" s="17" t="s">
        <v>27</v>
      </c>
      <c r="D771" s="17" t="s">
        <v>30</v>
      </c>
      <c r="E771">
        <v>6</v>
      </c>
      <c r="F771">
        <v>270000</v>
      </c>
      <c r="G771">
        <v>0</v>
      </c>
      <c r="H771">
        <v>270000</v>
      </c>
      <c r="I771" s="1">
        <v>46145</v>
      </c>
      <c r="J771" s="17" t="s">
        <v>33</v>
      </c>
      <c r="K771" t="s">
        <v>1057</v>
      </c>
    </row>
    <row r="772" spans="1:11" x14ac:dyDescent="0.25">
      <c r="A772" s="17" t="s">
        <v>951</v>
      </c>
      <c r="B772" s="17" t="s">
        <v>25</v>
      </c>
      <c r="C772" s="17" t="s">
        <v>17</v>
      </c>
      <c r="D772" s="17" t="s">
        <v>18</v>
      </c>
      <c r="E772">
        <v>10</v>
      </c>
      <c r="F772">
        <v>750000</v>
      </c>
      <c r="G772">
        <v>15000</v>
      </c>
      <c r="H772">
        <v>735000</v>
      </c>
      <c r="I772" s="1">
        <v>46023</v>
      </c>
      <c r="J772" s="17" t="s">
        <v>10</v>
      </c>
      <c r="K772" t="s">
        <v>1057</v>
      </c>
    </row>
    <row r="773" spans="1:11" x14ac:dyDescent="0.25">
      <c r="A773" s="17" t="s">
        <v>952</v>
      </c>
      <c r="B773" s="17" t="s">
        <v>7</v>
      </c>
      <c r="C773" s="17" t="s">
        <v>13</v>
      </c>
      <c r="D773" s="17" t="s">
        <v>9</v>
      </c>
      <c r="E773">
        <v>1</v>
      </c>
      <c r="F773">
        <v>250000</v>
      </c>
      <c r="G773">
        <v>10000</v>
      </c>
      <c r="H773">
        <v>240000</v>
      </c>
      <c r="I773" s="1">
        <v>46030</v>
      </c>
      <c r="J773" s="17" t="s">
        <v>20</v>
      </c>
      <c r="K773" t="s">
        <v>1057</v>
      </c>
    </row>
    <row r="774" spans="1:11" x14ac:dyDescent="0.25">
      <c r="A774" s="17" t="s">
        <v>953</v>
      </c>
      <c r="B774" s="17" t="s">
        <v>12</v>
      </c>
      <c r="C774" s="17" t="s">
        <v>27</v>
      </c>
      <c r="D774" s="17" t="s">
        <v>30</v>
      </c>
      <c r="E774">
        <v>7</v>
      </c>
      <c r="F774">
        <v>525000</v>
      </c>
      <c r="G774">
        <v>0</v>
      </c>
      <c r="H774">
        <v>525000</v>
      </c>
      <c r="I774" s="1">
        <v>46213</v>
      </c>
      <c r="J774" s="17" t="s">
        <v>33</v>
      </c>
      <c r="K774" t="s">
        <v>1057</v>
      </c>
    </row>
    <row r="775" spans="1:11" x14ac:dyDescent="0.25">
      <c r="A775" s="17" t="s">
        <v>954</v>
      </c>
      <c r="B775" s="17" t="s">
        <v>2</v>
      </c>
      <c r="C775" s="17" t="s">
        <v>29</v>
      </c>
      <c r="D775" s="17" t="s">
        <v>18</v>
      </c>
      <c r="E775">
        <v>3</v>
      </c>
      <c r="F775">
        <v>360000</v>
      </c>
      <c r="G775">
        <v>0</v>
      </c>
      <c r="H775">
        <v>360000</v>
      </c>
      <c r="I775" s="1">
        <v>46094</v>
      </c>
      <c r="J775" s="17" t="s">
        <v>20</v>
      </c>
      <c r="K775" t="s">
        <v>1057</v>
      </c>
    </row>
    <row r="776" spans="1:11" x14ac:dyDescent="0.25">
      <c r="A776" s="17" t="s">
        <v>955</v>
      </c>
      <c r="B776" s="17" t="s">
        <v>7</v>
      </c>
      <c r="C776" s="17" t="s">
        <v>13</v>
      </c>
      <c r="D776" s="17" t="s">
        <v>30</v>
      </c>
      <c r="E776">
        <v>6</v>
      </c>
      <c r="F776">
        <v>270000</v>
      </c>
      <c r="G776">
        <v>0</v>
      </c>
      <c r="H776">
        <v>270000</v>
      </c>
      <c r="I776" s="1">
        <v>46251</v>
      </c>
      <c r="J776" s="17" t="s">
        <v>10</v>
      </c>
      <c r="K776" t="s">
        <v>1057</v>
      </c>
    </row>
    <row r="777" spans="1:11" x14ac:dyDescent="0.25">
      <c r="A777" s="17" t="s">
        <v>956</v>
      </c>
      <c r="B777" s="17" t="s">
        <v>7</v>
      </c>
      <c r="C777" s="17" t="s">
        <v>17</v>
      </c>
      <c r="D777" s="17" t="s">
        <v>32</v>
      </c>
      <c r="E777">
        <v>4</v>
      </c>
      <c r="F777">
        <v>740000</v>
      </c>
      <c r="G777">
        <v>0</v>
      </c>
      <c r="H777">
        <v>740000</v>
      </c>
      <c r="I777" s="1">
        <v>46269</v>
      </c>
      <c r="J777" s="17" t="s">
        <v>20</v>
      </c>
      <c r="K777" t="s">
        <v>1057</v>
      </c>
    </row>
    <row r="778" spans="1:11" x14ac:dyDescent="0.25">
      <c r="A778" s="17" t="s">
        <v>957</v>
      </c>
      <c r="B778" s="17" t="s">
        <v>2</v>
      </c>
      <c r="C778" s="17" t="s">
        <v>27</v>
      </c>
      <c r="D778" s="17" t="s">
        <v>30</v>
      </c>
      <c r="E778">
        <v>9</v>
      </c>
      <c r="F778">
        <v>2250000</v>
      </c>
      <c r="G778">
        <v>0</v>
      </c>
      <c r="H778">
        <v>2250000</v>
      </c>
      <c r="I778" s="1">
        <v>46259</v>
      </c>
      <c r="J778" s="17" t="s">
        <v>33</v>
      </c>
      <c r="K778" t="s">
        <v>1057</v>
      </c>
    </row>
    <row r="779" spans="1:11" x14ac:dyDescent="0.25">
      <c r="A779" s="17" t="s">
        <v>959</v>
      </c>
      <c r="B779" s="17" t="s">
        <v>2</v>
      </c>
      <c r="C779" s="17" t="s">
        <v>8</v>
      </c>
      <c r="D779" s="17" t="s">
        <v>9</v>
      </c>
      <c r="E779">
        <v>5</v>
      </c>
      <c r="F779">
        <v>600000</v>
      </c>
      <c r="G779">
        <v>0</v>
      </c>
      <c r="H779">
        <v>600000</v>
      </c>
      <c r="I779" s="1">
        <v>46059</v>
      </c>
      <c r="J779" s="17" t="s">
        <v>10</v>
      </c>
      <c r="K779" t="s">
        <v>1057</v>
      </c>
    </row>
    <row r="780" spans="1:11" x14ac:dyDescent="0.25">
      <c r="A780" s="17" t="s">
        <v>960</v>
      </c>
      <c r="B780" s="17" t="s">
        <v>2</v>
      </c>
      <c r="C780" s="17" t="s">
        <v>13</v>
      </c>
      <c r="D780" s="17" t="s">
        <v>4</v>
      </c>
      <c r="E780">
        <v>6</v>
      </c>
      <c r="F780">
        <v>450000</v>
      </c>
      <c r="G780">
        <v>0</v>
      </c>
      <c r="H780">
        <v>450000</v>
      </c>
      <c r="I780" s="1">
        <v>46189</v>
      </c>
      <c r="J780" s="17" t="s">
        <v>5</v>
      </c>
      <c r="K780" t="s">
        <v>1057</v>
      </c>
    </row>
    <row r="781" spans="1:11" x14ac:dyDescent="0.25">
      <c r="A781" s="17" t="s">
        <v>961</v>
      </c>
      <c r="B781" s="17" t="s">
        <v>2</v>
      </c>
      <c r="C781" s="17" t="s">
        <v>17</v>
      </c>
      <c r="D781" s="17" t="s">
        <v>4</v>
      </c>
      <c r="E781">
        <v>1</v>
      </c>
      <c r="F781">
        <v>75000</v>
      </c>
      <c r="G781">
        <v>0</v>
      </c>
      <c r="H781">
        <v>75000</v>
      </c>
      <c r="I781" s="1">
        <v>46058</v>
      </c>
      <c r="J781" s="17" t="s">
        <v>5</v>
      </c>
      <c r="K781" t="s">
        <v>1057</v>
      </c>
    </row>
    <row r="782" spans="1:11" x14ac:dyDescent="0.25">
      <c r="A782" s="17" t="s">
        <v>962</v>
      </c>
      <c r="B782" s="17" t="s">
        <v>7</v>
      </c>
      <c r="C782" s="17" t="s">
        <v>8</v>
      </c>
      <c r="D782" s="17" t="s">
        <v>18</v>
      </c>
      <c r="E782">
        <v>8</v>
      </c>
      <c r="F782">
        <v>2000000</v>
      </c>
      <c r="G782">
        <v>0</v>
      </c>
      <c r="H782">
        <v>2000000</v>
      </c>
      <c r="I782" s="1">
        <v>46191</v>
      </c>
      <c r="J782" s="17" t="s">
        <v>10</v>
      </c>
      <c r="K782" t="s">
        <v>1057</v>
      </c>
    </row>
    <row r="783" spans="1:11" x14ac:dyDescent="0.25">
      <c r="A783" s="17" t="s">
        <v>963</v>
      </c>
      <c r="B783" s="17" t="s">
        <v>2</v>
      </c>
      <c r="C783" s="17" t="s">
        <v>8</v>
      </c>
      <c r="D783" s="17" t="s">
        <v>4</v>
      </c>
      <c r="E783">
        <v>2</v>
      </c>
      <c r="F783">
        <v>240000</v>
      </c>
      <c r="G783">
        <v>0</v>
      </c>
      <c r="H783">
        <v>240000</v>
      </c>
      <c r="I783" s="1">
        <v>46136</v>
      </c>
      <c r="J783" s="17" t="s">
        <v>5</v>
      </c>
      <c r="K783" t="s">
        <v>1057</v>
      </c>
    </row>
    <row r="784" spans="1:11" x14ac:dyDescent="0.25">
      <c r="A784" s="17" t="s">
        <v>964</v>
      </c>
      <c r="B784" s="17" t="s">
        <v>2</v>
      </c>
      <c r="C784" s="17" t="s">
        <v>8</v>
      </c>
      <c r="D784" s="17" t="s">
        <v>32</v>
      </c>
      <c r="E784">
        <v>4</v>
      </c>
      <c r="F784">
        <v>1000000</v>
      </c>
      <c r="G784">
        <v>0</v>
      </c>
      <c r="H784">
        <v>1000000</v>
      </c>
      <c r="I784" s="1">
        <v>46047</v>
      </c>
      <c r="J784" s="17" t="s">
        <v>10</v>
      </c>
      <c r="K784" t="s">
        <v>1057</v>
      </c>
    </row>
    <row r="785" spans="1:11" x14ac:dyDescent="0.25">
      <c r="A785" s="17" t="s">
        <v>965</v>
      </c>
      <c r="B785" s="17" t="s">
        <v>12</v>
      </c>
      <c r="C785" s="17" t="s">
        <v>13</v>
      </c>
      <c r="D785" s="17" t="s">
        <v>30</v>
      </c>
      <c r="E785">
        <v>8</v>
      </c>
      <c r="F785">
        <v>600000</v>
      </c>
      <c r="G785">
        <v>0</v>
      </c>
      <c r="H785">
        <v>600000</v>
      </c>
      <c r="I785" s="1">
        <v>46158</v>
      </c>
      <c r="J785" s="17" t="s">
        <v>33</v>
      </c>
      <c r="K785" t="s">
        <v>1057</v>
      </c>
    </row>
    <row r="786" spans="1:11" x14ac:dyDescent="0.25">
      <c r="A786" s="17" t="s">
        <v>966</v>
      </c>
      <c r="B786" s="17" t="s">
        <v>12</v>
      </c>
      <c r="C786" s="17" t="s">
        <v>29</v>
      </c>
      <c r="D786" s="17" t="s">
        <v>32</v>
      </c>
      <c r="E786">
        <v>7</v>
      </c>
      <c r="F786">
        <v>315000</v>
      </c>
      <c r="G786">
        <v>0</v>
      </c>
      <c r="H786">
        <v>315000</v>
      </c>
      <c r="I786" s="1">
        <v>46070</v>
      </c>
      <c r="J786" s="17" t="s">
        <v>10</v>
      </c>
      <c r="K786" t="s">
        <v>1057</v>
      </c>
    </row>
    <row r="787" spans="1:11" x14ac:dyDescent="0.25">
      <c r="A787" s="17" t="s">
        <v>967</v>
      </c>
      <c r="B787" s="17" t="s">
        <v>7</v>
      </c>
      <c r="C787" s="17" t="s">
        <v>17</v>
      </c>
      <c r="D787" s="17" t="s">
        <v>30</v>
      </c>
      <c r="E787">
        <v>7</v>
      </c>
      <c r="F787">
        <v>1295000</v>
      </c>
      <c r="G787">
        <v>0</v>
      </c>
      <c r="H787">
        <v>1295000</v>
      </c>
      <c r="I787" s="1">
        <v>46191</v>
      </c>
      <c r="J787" s="17" t="s">
        <v>10</v>
      </c>
      <c r="K787" t="s">
        <v>1057</v>
      </c>
    </row>
    <row r="788" spans="1:11" x14ac:dyDescent="0.25">
      <c r="A788" s="17" t="s">
        <v>968</v>
      </c>
      <c r="B788" s="17" t="s">
        <v>12</v>
      </c>
      <c r="C788" s="17" t="s">
        <v>29</v>
      </c>
      <c r="D788" s="17" t="s">
        <v>30</v>
      </c>
      <c r="E788">
        <v>9</v>
      </c>
      <c r="F788">
        <v>405000</v>
      </c>
      <c r="G788">
        <v>0</v>
      </c>
      <c r="H788">
        <v>405000</v>
      </c>
      <c r="I788" s="1">
        <v>46188</v>
      </c>
      <c r="J788" s="17" t="s">
        <v>33</v>
      </c>
      <c r="K788" t="s">
        <v>1057</v>
      </c>
    </row>
    <row r="789" spans="1:11" x14ac:dyDescent="0.25">
      <c r="A789" s="17" t="s">
        <v>969</v>
      </c>
      <c r="B789" s="17" t="s">
        <v>12</v>
      </c>
      <c r="C789" s="17" t="s">
        <v>27</v>
      </c>
      <c r="D789" s="17" t="s">
        <v>9</v>
      </c>
      <c r="E789">
        <v>1</v>
      </c>
      <c r="F789">
        <v>45000</v>
      </c>
      <c r="G789">
        <v>5000</v>
      </c>
      <c r="H789">
        <v>40000</v>
      </c>
      <c r="I789" s="1">
        <v>46196</v>
      </c>
      <c r="J789" s="17" t="s">
        <v>33</v>
      </c>
      <c r="K789" t="s">
        <v>1057</v>
      </c>
    </row>
    <row r="790" spans="1:11" x14ac:dyDescent="0.25">
      <c r="A790" s="17" t="s">
        <v>970</v>
      </c>
      <c r="B790" s="17" t="s">
        <v>2</v>
      </c>
      <c r="C790" s="17" t="s">
        <v>8</v>
      </c>
      <c r="D790" s="17" t="s">
        <v>32</v>
      </c>
      <c r="E790">
        <v>4</v>
      </c>
      <c r="F790">
        <v>180000</v>
      </c>
      <c r="G790">
        <v>0</v>
      </c>
      <c r="H790">
        <v>180000</v>
      </c>
      <c r="I790" s="1">
        <v>46101</v>
      </c>
      <c r="J790" s="17" t="s">
        <v>10</v>
      </c>
      <c r="K790" t="s">
        <v>1057</v>
      </c>
    </row>
    <row r="791" spans="1:11" x14ac:dyDescent="0.25">
      <c r="A791" s="17" t="s">
        <v>971</v>
      </c>
      <c r="B791" s="17" t="s">
        <v>12</v>
      </c>
      <c r="C791" s="17" t="s">
        <v>29</v>
      </c>
      <c r="D791" s="17" t="s">
        <v>32</v>
      </c>
      <c r="E791">
        <v>1</v>
      </c>
      <c r="F791">
        <v>75000</v>
      </c>
      <c r="G791">
        <v>10000</v>
      </c>
      <c r="H791">
        <v>65000</v>
      </c>
      <c r="I791" s="1">
        <v>46066</v>
      </c>
      <c r="J791" s="17" t="s">
        <v>33</v>
      </c>
      <c r="K791" t="s">
        <v>1057</v>
      </c>
    </row>
    <row r="792" spans="1:11" x14ac:dyDescent="0.25">
      <c r="A792" s="17" t="s">
        <v>972</v>
      </c>
      <c r="B792" s="17" t="s">
        <v>2</v>
      </c>
      <c r="C792" s="17" t="s">
        <v>27</v>
      </c>
      <c r="D792" s="17" t="s">
        <v>9</v>
      </c>
      <c r="E792">
        <v>9</v>
      </c>
      <c r="F792">
        <v>2250000</v>
      </c>
      <c r="G792">
        <v>10000</v>
      </c>
      <c r="H792">
        <v>2240000</v>
      </c>
      <c r="I792" s="1">
        <v>46163</v>
      </c>
      <c r="J792" s="17" t="s">
        <v>20</v>
      </c>
      <c r="K792" t="s">
        <v>1057</v>
      </c>
    </row>
    <row r="793" spans="1:11" x14ac:dyDescent="0.25">
      <c r="A793" s="17" t="s">
        <v>973</v>
      </c>
      <c r="B793" s="17" t="s">
        <v>25</v>
      </c>
      <c r="C793" s="17" t="s">
        <v>29</v>
      </c>
      <c r="D793" s="17" t="s">
        <v>9</v>
      </c>
      <c r="E793">
        <v>2</v>
      </c>
      <c r="F793">
        <v>240000</v>
      </c>
      <c r="G793">
        <v>0</v>
      </c>
      <c r="H793">
        <v>240000</v>
      </c>
      <c r="I793" s="1">
        <v>46170</v>
      </c>
      <c r="J793" s="17" t="s">
        <v>10</v>
      </c>
      <c r="K793" t="s">
        <v>1057</v>
      </c>
    </row>
    <row r="794" spans="1:11" x14ac:dyDescent="0.25">
      <c r="A794" s="17" t="s">
        <v>974</v>
      </c>
      <c r="B794" s="17" t="s">
        <v>12</v>
      </c>
      <c r="C794" s="17" t="s">
        <v>29</v>
      </c>
      <c r="D794" s="17" t="s">
        <v>30</v>
      </c>
      <c r="E794">
        <v>6</v>
      </c>
      <c r="F794">
        <v>1110000</v>
      </c>
      <c r="G794">
        <v>0</v>
      </c>
      <c r="H794">
        <v>1110000</v>
      </c>
      <c r="I794" s="1">
        <v>46069</v>
      </c>
      <c r="J794" s="17" t="s">
        <v>33</v>
      </c>
      <c r="K794" t="s">
        <v>1057</v>
      </c>
    </row>
    <row r="795" spans="1:11" x14ac:dyDescent="0.25">
      <c r="A795" s="17" t="s">
        <v>975</v>
      </c>
      <c r="B795" s="17" t="s">
        <v>12</v>
      </c>
      <c r="C795" s="17" t="s">
        <v>17</v>
      </c>
      <c r="D795" s="17" t="s">
        <v>32</v>
      </c>
      <c r="E795">
        <v>10</v>
      </c>
      <c r="F795">
        <v>1200000</v>
      </c>
      <c r="G795">
        <v>10000</v>
      </c>
      <c r="H795">
        <v>1190000</v>
      </c>
      <c r="I795" s="1">
        <v>46200</v>
      </c>
      <c r="J795" s="17" t="s">
        <v>33</v>
      </c>
      <c r="K795" t="s">
        <v>1057</v>
      </c>
    </row>
    <row r="796" spans="1:11" x14ac:dyDescent="0.25">
      <c r="A796" s="17" t="s">
        <v>976</v>
      </c>
      <c r="B796" s="17" t="s">
        <v>12</v>
      </c>
      <c r="C796" s="17" t="s">
        <v>8</v>
      </c>
      <c r="D796" s="17" t="s">
        <v>9</v>
      </c>
      <c r="E796">
        <v>6</v>
      </c>
      <c r="F796">
        <v>720000</v>
      </c>
      <c r="G796">
        <v>0</v>
      </c>
      <c r="H796">
        <v>720000</v>
      </c>
      <c r="I796" s="1">
        <v>46087</v>
      </c>
      <c r="J796" s="17" t="s">
        <v>10</v>
      </c>
      <c r="K796" t="s">
        <v>1057</v>
      </c>
    </row>
    <row r="797" spans="1:11" x14ac:dyDescent="0.25">
      <c r="A797" s="17" t="s">
        <v>977</v>
      </c>
      <c r="B797" s="17" t="s">
        <v>2</v>
      </c>
      <c r="C797" s="17" t="s">
        <v>27</v>
      </c>
      <c r="D797" s="17" t="s">
        <v>32</v>
      </c>
      <c r="E797">
        <v>10</v>
      </c>
      <c r="F797">
        <v>450000</v>
      </c>
      <c r="G797">
        <v>15000</v>
      </c>
      <c r="H797">
        <v>435000</v>
      </c>
      <c r="I797" s="1">
        <v>46038</v>
      </c>
      <c r="J797" s="17" t="s">
        <v>20</v>
      </c>
      <c r="K797" t="s">
        <v>1057</v>
      </c>
    </row>
    <row r="798" spans="1:11" x14ac:dyDescent="0.25">
      <c r="A798" s="17" t="s">
        <v>978</v>
      </c>
      <c r="B798" s="17" t="s">
        <v>12</v>
      </c>
      <c r="C798" s="17" t="s">
        <v>3</v>
      </c>
      <c r="D798" s="17" t="s">
        <v>30</v>
      </c>
      <c r="E798">
        <v>4</v>
      </c>
      <c r="F798">
        <v>480000</v>
      </c>
      <c r="G798">
        <v>0</v>
      </c>
      <c r="H798">
        <v>480000</v>
      </c>
      <c r="I798" s="1">
        <v>46165</v>
      </c>
      <c r="J798" s="17" t="s">
        <v>5</v>
      </c>
      <c r="K798" t="s">
        <v>1057</v>
      </c>
    </row>
    <row r="799" spans="1:11" x14ac:dyDescent="0.25">
      <c r="A799" s="17" t="s">
        <v>979</v>
      </c>
      <c r="B799" s="17" t="s">
        <v>25</v>
      </c>
      <c r="C799" s="17" t="s">
        <v>8</v>
      </c>
      <c r="D799" s="17" t="s">
        <v>32</v>
      </c>
      <c r="E799">
        <v>1</v>
      </c>
      <c r="F799">
        <v>45000</v>
      </c>
      <c r="G799">
        <v>0</v>
      </c>
      <c r="H799">
        <v>45000</v>
      </c>
      <c r="I799" s="1">
        <v>46237</v>
      </c>
      <c r="J799" s="17" t="s">
        <v>33</v>
      </c>
      <c r="K799" t="s">
        <v>1057</v>
      </c>
    </row>
    <row r="800" spans="1:11" x14ac:dyDescent="0.25">
      <c r="A800" s="17" t="s">
        <v>980</v>
      </c>
      <c r="B800" s="17" t="s">
        <v>12</v>
      </c>
      <c r="C800" s="17" t="s">
        <v>29</v>
      </c>
      <c r="D800" s="17" t="s">
        <v>9</v>
      </c>
      <c r="E800">
        <v>1</v>
      </c>
      <c r="F800">
        <v>45000</v>
      </c>
      <c r="G800">
        <v>10000</v>
      </c>
      <c r="H800">
        <v>35000</v>
      </c>
      <c r="I800" s="1">
        <v>46218</v>
      </c>
      <c r="J800" s="17" t="s">
        <v>10</v>
      </c>
      <c r="K800" t="s">
        <v>1057</v>
      </c>
    </row>
    <row r="801" spans="1:11" x14ac:dyDescent="0.25">
      <c r="A801" s="17" t="s">
        <v>981</v>
      </c>
      <c r="B801" s="17" t="s">
        <v>2</v>
      </c>
      <c r="C801" s="17" t="s">
        <v>27</v>
      </c>
      <c r="D801" s="17" t="s">
        <v>18</v>
      </c>
      <c r="E801">
        <v>5</v>
      </c>
      <c r="F801">
        <v>925000</v>
      </c>
      <c r="G801">
        <v>0</v>
      </c>
      <c r="H801">
        <v>925000</v>
      </c>
      <c r="I801" s="1">
        <v>46123</v>
      </c>
      <c r="J801" s="17" t="s">
        <v>20</v>
      </c>
      <c r="K801" t="s">
        <v>1057</v>
      </c>
    </row>
    <row r="802" spans="1:11" x14ac:dyDescent="0.25">
      <c r="A802" s="17" t="s">
        <v>982</v>
      </c>
      <c r="B802" s="17" t="s">
        <v>7</v>
      </c>
      <c r="C802" s="17" t="s">
        <v>17</v>
      </c>
      <c r="D802" s="17" t="s">
        <v>30</v>
      </c>
      <c r="E802">
        <v>6</v>
      </c>
      <c r="F802">
        <v>450000</v>
      </c>
      <c r="G802">
        <v>10000</v>
      </c>
      <c r="H802">
        <v>440000</v>
      </c>
      <c r="I802" s="1">
        <v>46061</v>
      </c>
      <c r="J802" s="17" t="s">
        <v>33</v>
      </c>
      <c r="K802" t="s">
        <v>1057</v>
      </c>
    </row>
    <row r="803" spans="1:11" x14ac:dyDescent="0.25">
      <c r="A803" s="17" t="s">
        <v>983</v>
      </c>
      <c r="B803" s="17" t="s">
        <v>7</v>
      </c>
      <c r="C803" s="17" t="s">
        <v>3</v>
      </c>
      <c r="D803" s="17" t="s">
        <v>4</v>
      </c>
      <c r="E803">
        <v>5</v>
      </c>
      <c r="F803">
        <v>925000</v>
      </c>
      <c r="G803">
        <v>0</v>
      </c>
      <c r="H803">
        <v>925000</v>
      </c>
      <c r="I803" s="1">
        <v>46123</v>
      </c>
      <c r="J803" s="17" t="s">
        <v>20</v>
      </c>
      <c r="K803" t="s">
        <v>1057</v>
      </c>
    </row>
    <row r="804" spans="1:11" x14ac:dyDescent="0.25">
      <c r="A804" s="17" t="s">
        <v>984</v>
      </c>
      <c r="B804" s="17" t="s">
        <v>12</v>
      </c>
      <c r="C804" s="17" t="s">
        <v>29</v>
      </c>
      <c r="D804" s="17" t="s">
        <v>18</v>
      </c>
      <c r="E804">
        <v>3</v>
      </c>
      <c r="F804">
        <v>360000</v>
      </c>
      <c r="G804">
        <v>0</v>
      </c>
      <c r="H804">
        <v>360000</v>
      </c>
      <c r="I804" s="1">
        <v>46102</v>
      </c>
      <c r="J804" s="17" t="s">
        <v>5</v>
      </c>
      <c r="K804" t="s">
        <v>1057</v>
      </c>
    </row>
    <row r="805" spans="1:11" x14ac:dyDescent="0.25">
      <c r="A805" s="17" t="s">
        <v>985</v>
      </c>
      <c r="B805" s="17" t="s">
        <v>2</v>
      </c>
      <c r="C805" s="17" t="s">
        <v>17</v>
      </c>
      <c r="D805" s="17" t="s">
        <v>32</v>
      </c>
      <c r="E805">
        <v>10</v>
      </c>
      <c r="F805">
        <v>750000</v>
      </c>
      <c r="G805">
        <v>0</v>
      </c>
      <c r="H805">
        <v>750000</v>
      </c>
      <c r="I805" s="1">
        <v>46070</v>
      </c>
      <c r="J805" s="17" t="s">
        <v>33</v>
      </c>
      <c r="K805" t="s">
        <v>1057</v>
      </c>
    </row>
    <row r="806" spans="1:11" x14ac:dyDescent="0.25">
      <c r="A806" s="17" t="s">
        <v>986</v>
      </c>
      <c r="B806" s="17" t="s">
        <v>2</v>
      </c>
      <c r="C806" s="17" t="s">
        <v>13</v>
      </c>
      <c r="D806" s="17" t="s">
        <v>32</v>
      </c>
      <c r="E806">
        <v>9</v>
      </c>
      <c r="F806">
        <v>405000</v>
      </c>
      <c r="G806">
        <v>0</v>
      </c>
      <c r="H806">
        <v>405000</v>
      </c>
      <c r="I806" s="1">
        <v>46240</v>
      </c>
      <c r="J806" s="17" t="s">
        <v>20</v>
      </c>
      <c r="K806" t="s">
        <v>1057</v>
      </c>
    </row>
    <row r="807" spans="1:11" x14ac:dyDescent="0.25">
      <c r="A807" s="17" t="s">
        <v>987</v>
      </c>
      <c r="B807" s="17" t="s">
        <v>2</v>
      </c>
      <c r="C807" s="17" t="s">
        <v>3</v>
      </c>
      <c r="D807" s="17" t="s">
        <v>9</v>
      </c>
      <c r="E807">
        <v>6</v>
      </c>
      <c r="F807">
        <v>720000</v>
      </c>
      <c r="G807">
        <v>0</v>
      </c>
      <c r="H807">
        <v>720000</v>
      </c>
      <c r="I807" s="1">
        <v>46248</v>
      </c>
      <c r="J807" s="17" t="s">
        <v>33</v>
      </c>
      <c r="K807" t="s">
        <v>1057</v>
      </c>
    </row>
    <row r="808" spans="1:11" x14ac:dyDescent="0.25">
      <c r="A808" s="17" t="s">
        <v>988</v>
      </c>
      <c r="B808" s="17" t="s">
        <v>2</v>
      </c>
      <c r="C808" s="17" t="s">
        <v>27</v>
      </c>
      <c r="D808" s="17" t="s">
        <v>4</v>
      </c>
      <c r="E808">
        <v>8</v>
      </c>
      <c r="F808">
        <v>2000000</v>
      </c>
      <c r="G808">
        <v>15000</v>
      </c>
      <c r="H808">
        <v>1985000</v>
      </c>
      <c r="I808" s="1">
        <v>46131</v>
      </c>
      <c r="J808" s="17" t="s">
        <v>10</v>
      </c>
      <c r="K808" t="s">
        <v>1057</v>
      </c>
    </row>
    <row r="809" spans="1:11" x14ac:dyDescent="0.25">
      <c r="A809" s="17" t="s">
        <v>989</v>
      </c>
      <c r="B809" s="17" t="s">
        <v>25</v>
      </c>
      <c r="C809" s="17" t="s">
        <v>8</v>
      </c>
      <c r="D809" s="17" t="s">
        <v>9</v>
      </c>
      <c r="E809">
        <v>10</v>
      </c>
      <c r="F809">
        <v>2500000</v>
      </c>
      <c r="G809">
        <v>0</v>
      </c>
      <c r="H809">
        <v>2500000</v>
      </c>
      <c r="I809" s="1">
        <v>46130</v>
      </c>
      <c r="J809" s="17" t="s">
        <v>20</v>
      </c>
      <c r="K809" t="s">
        <v>1057</v>
      </c>
    </row>
    <row r="810" spans="1:11" x14ac:dyDescent="0.25">
      <c r="A810" s="17" t="s">
        <v>990</v>
      </c>
      <c r="B810" s="17" t="s">
        <v>7</v>
      </c>
      <c r="C810" s="17" t="s">
        <v>13</v>
      </c>
      <c r="D810" s="17" t="s">
        <v>18</v>
      </c>
      <c r="E810">
        <v>3</v>
      </c>
      <c r="F810">
        <v>135000</v>
      </c>
      <c r="G810">
        <v>0</v>
      </c>
      <c r="H810">
        <v>135000</v>
      </c>
      <c r="I810" s="1">
        <v>46143</v>
      </c>
      <c r="J810" s="17" t="s">
        <v>20</v>
      </c>
      <c r="K810" t="s">
        <v>1057</v>
      </c>
    </row>
    <row r="811" spans="1:11" x14ac:dyDescent="0.25">
      <c r="A811" s="17" t="s">
        <v>991</v>
      </c>
      <c r="B811" s="17" t="s">
        <v>12</v>
      </c>
      <c r="C811" s="17" t="s">
        <v>17</v>
      </c>
      <c r="D811" s="17" t="s">
        <v>4</v>
      </c>
      <c r="E811">
        <v>9</v>
      </c>
      <c r="F811">
        <v>1665000</v>
      </c>
      <c r="G811">
        <v>10000</v>
      </c>
      <c r="H811">
        <v>1655000</v>
      </c>
      <c r="I811" s="1">
        <v>46195</v>
      </c>
      <c r="J811" s="17" t="s">
        <v>5</v>
      </c>
      <c r="K811" t="s">
        <v>1057</v>
      </c>
    </row>
    <row r="812" spans="1:11" x14ac:dyDescent="0.25">
      <c r="A812" s="17" t="s">
        <v>992</v>
      </c>
      <c r="B812" s="17" t="s">
        <v>2</v>
      </c>
      <c r="C812" s="17" t="s">
        <v>27</v>
      </c>
      <c r="D812" s="17" t="s">
        <v>18</v>
      </c>
      <c r="E812">
        <v>5</v>
      </c>
      <c r="F812">
        <v>925000</v>
      </c>
      <c r="G812">
        <v>0</v>
      </c>
      <c r="H812">
        <v>925000</v>
      </c>
      <c r="I812" s="1">
        <v>46225</v>
      </c>
      <c r="J812" s="17" t="s">
        <v>5</v>
      </c>
      <c r="K812" t="s">
        <v>1057</v>
      </c>
    </row>
    <row r="813" spans="1:11" x14ac:dyDescent="0.25">
      <c r="A813" s="17" t="s">
        <v>993</v>
      </c>
      <c r="B813" s="17" t="s">
        <v>12</v>
      </c>
      <c r="C813" s="17" t="s">
        <v>29</v>
      </c>
      <c r="D813" s="17" t="s">
        <v>18</v>
      </c>
      <c r="E813">
        <v>2</v>
      </c>
      <c r="F813">
        <v>150000</v>
      </c>
      <c r="G813">
        <v>0</v>
      </c>
      <c r="H813">
        <v>150000</v>
      </c>
      <c r="I813" s="1">
        <v>46122</v>
      </c>
      <c r="J813" s="17" t="s">
        <v>33</v>
      </c>
      <c r="K813" t="s">
        <v>1057</v>
      </c>
    </row>
    <row r="814" spans="1:11" x14ac:dyDescent="0.25">
      <c r="A814" s="17" t="s">
        <v>994</v>
      </c>
      <c r="B814" s="17" t="s">
        <v>7</v>
      </c>
      <c r="C814" s="17" t="s">
        <v>27</v>
      </c>
      <c r="D814" s="17" t="s">
        <v>32</v>
      </c>
      <c r="E814">
        <v>2</v>
      </c>
      <c r="F814">
        <v>150000</v>
      </c>
      <c r="G814">
        <v>0</v>
      </c>
      <c r="H814">
        <v>150000</v>
      </c>
      <c r="I814" s="1">
        <v>46062</v>
      </c>
      <c r="J814" s="17" t="s">
        <v>10</v>
      </c>
      <c r="K814" t="s">
        <v>1057</v>
      </c>
    </row>
    <row r="815" spans="1:11" x14ac:dyDescent="0.25">
      <c r="A815" s="17" t="s">
        <v>995</v>
      </c>
      <c r="B815" s="17" t="s">
        <v>7</v>
      </c>
      <c r="C815" s="17" t="s">
        <v>3</v>
      </c>
      <c r="D815" s="17" t="s">
        <v>4</v>
      </c>
      <c r="E815">
        <v>1</v>
      </c>
      <c r="F815">
        <v>75000</v>
      </c>
      <c r="G815">
        <v>0</v>
      </c>
      <c r="H815">
        <v>75000</v>
      </c>
      <c r="I815" s="1">
        <v>46239</v>
      </c>
      <c r="J815" s="17" t="s">
        <v>10</v>
      </c>
      <c r="K815" t="s">
        <v>1057</v>
      </c>
    </row>
    <row r="816" spans="1:11" x14ac:dyDescent="0.25">
      <c r="A816" s="17" t="s">
        <v>996</v>
      </c>
      <c r="B816" s="17" t="s">
        <v>2</v>
      </c>
      <c r="C816" s="17" t="s">
        <v>27</v>
      </c>
      <c r="D816" s="17" t="s">
        <v>30</v>
      </c>
      <c r="E816">
        <v>2</v>
      </c>
      <c r="F816">
        <v>240000</v>
      </c>
      <c r="G816">
        <v>0</v>
      </c>
      <c r="H816">
        <v>240000</v>
      </c>
      <c r="I816" s="1">
        <v>46169</v>
      </c>
      <c r="J816" s="17" t="s">
        <v>10</v>
      </c>
      <c r="K816" t="s">
        <v>1057</v>
      </c>
    </row>
    <row r="817" spans="1:11" x14ac:dyDescent="0.25">
      <c r="A817" s="17" t="s">
        <v>997</v>
      </c>
      <c r="B817" s="17" t="s">
        <v>2</v>
      </c>
      <c r="C817" s="17" t="s">
        <v>8</v>
      </c>
      <c r="D817" s="17" t="s">
        <v>30</v>
      </c>
      <c r="E817">
        <v>9</v>
      </c>
      <c r="F817">
        <v>405000</v>
      </c>
      <c r="G817">
        <v>5000</v>
      </c>
      <c r="H817">
        <v>400000</v>
      </c>
      <c r="I817" s="1">
        <v>46127</v>
      </c>
      <c r="J817" s="17" t="s">
        <v>5</v>
      </c>
      <c r="K817" t="s">
        <v>1057</v>
      </c>
    </row>
    <row r="818" spans="1:11" x14ac:dyDescent="0.25">
      <c r="A818" s="17" t="s">
        <v>998</v>
      </c>
      <c r="B818" s="17" t="s">
        <v>2</v>
      </c>
      <c r="C818" s="17" t="s">
        <v>8</v>
      </c>
      <c r="D818" s="17" t="s">
        <v>9</v>
      </c>
      <c r="E818">
        <v>3</v>
      </c>
      <c r="F818">
        <v>750000</v>
      </c>
      <c r="G818">
        <v>0</v>
      </c>
      <c r="H818">
        <v>750000</v>
      </c>
      <c r="I818" s="1">
        <v>46034</v>
      </c>
      <c r="J818" s="17" t="s">
        <v>33</v>
      </c>
      <c r="K818" t="s">
        <v>1057</v>
      </c>
    </row>
    <row r="819" spans="1:11" x14ac:dyDescent="0.25">
      <c r="A819" s="17" t="s">
        <v>999</v>
      </c>
      <c r="B819" s="17" t="s">
        <v>12</v>
      </c>
      <c r="C819" s="17" t="s">
        <v>29</v>
      </c>
      <c r="D819" s="17" t="s">
        <v>18</v>
      </c>
      <c r="E819">
        <v>5</v>
      </c>
      <c r="F819">
        <v>600000</v>
      </c>
      <c r="G819">
        <v>0</v>
      </c>
      <c r="H819">
        <v>600000</v>
      </c>
      <c r="I819" s="1">
        <v>46127</v>
      </c>
      <c r="J819" s="17" t="s">
        <v>33</v>
      </c>
      <c r="K819" t="s">
        <v>1057</v>
      </c>
    </row>
    <row r="820" spans="1:11" x14ac:dyDescent="0.25">
      <c r="A820" s="17" t="s">
        <v>1000</v>
      </c>
      <c r="B820" s="17" t="s">
        <v>2</v>
      </c>
      <c r="C820" s="17" t="s">
        <v>27</v>
      </c>
      <c r="D820" s="17" t="s">
        <v>9</v>
      </c>
      <c r="E820">
        <v>8</v>
      </c>
      <c r="F820">
        <v>2000000</v>
      </c>
      <c r="G820">
        <v>0</v>
      </c>
      <c r="H820">
        <v>2000000</v>
      </c>
      <c r="I820" s="1">
        <v>46151</v>
      </c>
      <c r="J820" s="17" t="s">
        <v>33</v>
      </c>
      <c r="K820" t="s">
        <v>1057</v>
      </c>
    </row>
    <row r="821" spans="1:11" x14ac:dyDescent="0.25">
      <c r="A821" s="17" t="s">
        <v>1001</v>
      </c>
      <c r="B821" s="17" t="s">
        <v>7</v>
      </c>
      <c r="C821" s="17" t="s">
        <v>13</v>
      </c>
      <c r="D821" s="17" t="s">
        <v>9</v>
      </c>
      <c r="E821">
        <v>8</v>
      </c>
      <c r="F821">
        <v>360000</v>
      </c>
      <c r="G821">
        <v>0</v>
      </c>
      <c r="H821">
        <v>360000</v>
      </c>
      <c r="I821" s="1">
        <v>46357</v>
      </c>
      <c r="J821" s="17" t="s">
        <v>20</v>
      </c>
      <c r="K821" t="s">
        <v>1057</v>
      </c>
    </row>
    <row r="822" spans="1:11" x14ac:dyDescent="0.25">
      <c r="A822" s="17" t="s">
        <v>1002</v>
      </c>
      <c r="B822" s="17" t="s">
        <v>25</v>
      </c>
      <c r="C822" s="17" t="s">
        <v>13</v>
      </c>
      <c r="D822" s="17" t="s">
        <v>32</v>
      </c>
      <c r="E822">
        <v>10</v>
      </c>
      <c r="F822">
        <v>450000</v>
      </c>
      <c r="G822">
        <v>0</v>
      </c>
      <c r="H822">
        <v>450000</v>
      </c>
      <c r="I822" s="1">
        <v>46255</v>
      </c>
      <c r="J822" s="17" t="s">
        <v>33</v>
      </c>
      <c r="K822" t="s">
        <v>1057</v>
      </c>
    </row>
    <row r="823" spans="1:11" x14ac:dyDescent="0.25">
      <c r="A823" s="17" t="s">
        <v>1003</v>
      </c>
      <c r="B823" s="17" t="s">
        <v>25</v>
      </c>
      <c r="C823" s="17" t="s">
        <v>3</v>
      </c>
      <c r="D823" s="17" t="s">
        <v>30</v>
      </c>
      <c r="E823">
        <v>3</v>
      </c>
      <c r="F823">
        <v>360000</v>
      </c>
      <c r="G823">
        <v>0</v>
      </c>
      <c r="H823">
        <v>360000</v>
      </c>
      <c r="I823" s="1">
        <v>46024</v>
      </c>
      <c r="J823" s="17" t="s">
        <v>20</v>
      </c>
      <c r="K823" t="s">
        <v>1057</v>
      </c>
    </row>
    <row r="824" spans="1:11" x14ac:dyDescent="0.25">
      <c r="A824" s="17" t="s">
        <v>1004</v>
      </c>
      <c r="B824" s="17" t="s">
        <v>25</v>
      </c>
      <c r="C824" s="17" t="s">
        <v>29</v>
      </c>
      <c r="D824" s="17" t="s">
        <v>30</v>
      </c>
      <c r="E824">
        <v>2</v>
      </c>
      <c r="F824">
        <v>370000</v>
      </c>
      <c r="G824">
        <v>0</v>
      </c>
      <c r="H824">
        <v>370000</v>
      </c>
      <c r="I824" s="1">
        <v>46175</v>
      </c>
      <c r="J824" s="17" t="s">
        <v>33</v>
      </c>
      <c r="K824" t="s">
        <v>1057</v>
      </c>
    </row>
    <row r="825" spans="1:11" x14ac:dyDescent="0.25">
      <c r="A825" s="17" t="s">
        <v>1005</v>
      </c>
      <c r="B825" s="17" t="s">
        <v>25</v>
      </c>
      <c r="C825" s="17" t="s">
        <v>17</v>
      </c>
      <c r="D825" s="17" t="s">
        <v>18</v>
      </c>
      <c r="E825">
        <v>5</v>
      </c>
      <c r="F825">
        <v>925000</v>
      </c>
      <c r="G825">
        <v>0</v>
      </c>
      <c r="H825">
        <v>925000</v>
      </c>
      <c r="I825" s="1">
        <v>46218</v>
      </c>
      <c r="J825" s="17" t="s">
        <v>33</v>
      </c>
      <c r="K825" t="s">
        <v>1057</v>
      </c>
    </row>
    <row r="826" spans="1:11" x14ac:dyDescent="0.25">
      <c r="A826" s="17" t="s">
        <v>1006</v>
      </c>
      <c r="B826" s="17" t="s">
        <v>7</v>
      </c>
      <c r="C826" s="17" t="s">
        <v>3</v>
      </c>
      <c r="D826" s="17" t="s">
        <v>9</v>
      </c>
      <c r="E826">
        <v>8</v>
      </c>
      <c r="F826">
        <v>600000</v>
      </c>
      <c r="G826">
        <v>0</v>
      </c>
      <c r="H826">
        <v>600000</v>
      </c>
      <c r="I826" s="1">
        <v>46259</v>
      </c>
      <c r="J826" s="17" t="s">
        <v>33</v>
      </c>
      <c r="K826" t="s">
        <v>1057</v>
      </c>
    </row>
    <row r="827" spans="1:11" x14ac:dyDescent="0.25">
      <c r="A827" s="17" t="s">
        <v>1007</v>
      </c>
      <c r="B827" s="17" t="s">
        <v>25</v>
      </c>
      <c r="C827" s="17" t="s">
        <v>27</v>
      </c>
      <c r="D827" s="17" t="s">
        <v>9</v>
      </c>
      <c r="E827">
        <v>7</v>
      </c>
      <c r="F827">
        <v>315000</v>
      </c>
      <c r="G827">
        <v>15000</v>
      </c>
      <c r="H827">
        <v>300000</v>
      </c>
      <c r="I827" s="1">
        <v>46034</v>
      </c>
      <c r="J827" s="17" t="s">
        <v>33</v>
      </c>
      <c r="K827" t="s">
        <v>1057</v>
      </c>
    </row>
    <row r="828" spans="1:11" x14ac:dyDescent="0.25">
      <c r="A828" s="17" t="s">
        <v>1008</v>
      </c>
      <c r="B828" s="17" t="s">
        <v>2</v>
      </c>
      <c r="C828" s="17" t="s">
        <v>8</v>
      </c>
      <c r="D828" s="17" t="s">
        <v>9</v>
      </c>
      <c r="E828">
        <v>7</v>
      </c>
      <c r="F828">
        <v>840000</v>
      </c>
      <c r="G828">
        <v>5000</v>
      </c>
      <c r="H828">
        <v>835000</v>
      </c>
      <c r="I828" s="1">
        <v>46043</v>
      </c>
      <c r="J828" s="17" t="s">
        <v>5</v>
      </c>
      <c r="K828" t="s">
        <v>1057</v>
      </c>
    </row>
    <row r="829" spans="1:11" x14ac:dyDescent="0.25">
      <c r="A829" s="17" t="s">
        <v>1010</v>
      </c>
      <c r="B829" s="17" t="s">
        <v>25</v>
      </c>
      <c r="C829" s="17" t="s">
        <v>8</v>
      </c>
      <c r="D829" s="17" t="s">
        <v>4</v>
      </c>
      <c r="E829">
        <v>2</v>
      </c>
      <c r="F829">
        <v>150000</v>
      </c>
      <c r="G829">
        <v>0</v>
      </c>
      <c r="H829">
        <v>150000</v>
      </c>
      <c r="I829" s="1">
        <v>46220</v>
      </c>
      <c r="J829" s="17" t="s">
        <v>10</v>
      </c>
      <c r="K829" t="s">
        <v>1057</v>
      </c>
    </row>
    <row r="830" spans="1:11" x14ac:dyDescent="0.25">
      <c r="A830" s="17" t="s">
        <v>1011</v>
      </c>
      <c r="B830" s="17" t="s">
        <v>12</v>
      </c>
      <c r="C830" s="17" t="s">
        <v>3</v>
      </c>
      <c r="D830" s="17" t="s">
        <v>30</v>
      </c>
      <c r="E830">
        <v>1</v>
      </c>
      <c r="F830">
        <v>45000</v>
      </c>
      <c r="G830">
        <v>0</v>
      </c>
      <c r="H830">
        <v>45000</v>
      </c>
      <c r="I830" s="1">
        <v>46149</v>
      </c>
      <c r="J830" s="17" t="s">
        <v>20</v>
      </c>
      <c r="K830" t="s">
        <v>1057</v>
      </c>
    </row>
    <row r="831" spans="1:11" x14ac:dyDescent="0.25">
      <c r="A831" s="17" t="s">
        <v>1012</v>
      </c>
      <c r="B831" s="17" t="s">
        <v>2</v>
      </c>
      <c r="C831" s="17" t="s">
        <v>8</v>
      </c>
      <c r="D831" s="17" t="s">
        <v>32</v>
      </c>
      <c r="E831">
        <v>7</v>
      </c>
      <c r="F831">
        <v>1750000</v>
      </c>
      <c r="G831">
        <v>0</v>
      </c>
      <c r="H831">
        <v>1750000</v>
      </c>
      <c r="I831" s="1">
        <v>46040</v>
      </c>
      <c r="J831" s="17" t="s">
        <v>10</v>
      </c>
      <c r="K831" t="s">
        <v>1057</v>
      </c>
    </row>
    <row r="832" spans="1:11" x14ac:dyDescent="0.25">
      <c r="A832" s="17" t="s">
        <v>1013</v>
      </c>
      <c r="B832" s="17" t="s">
        <v>7</v>
      </c>
      <c r="C832" s="17" t="s">
        <v>13</v>
      </c>
      <c r="D832" s="17" t="s">
        <v>30</v>
      </c>
      <c r="E832">
        <v>9</v>
      </c>
      <c r="F832">
        <v>405000</v>
      </c>
      <c r="G832">
        <v>0</v>
      </c>
      <c r="H832">
        <v>405000</v>
      </c>
      <c r="I832" s="1">
        <v>46262</v>
      </c>
      <c r="J832" s="17" t="s">
        <v>20</v>
      </c>
      <c r="K832" t="s">
        <v>1057</v>
      </c>
    </row>
    <row r="833" spans="1:11" x14ac:dyDescent="0.25">
      <c r="A833" s="17" t="s">
        <v>1014</v>
      </c>
      <c r="B833" s="17" t="s">
        <v>2</v>
      </c>
      <c r="C833" s="17" t="s">
        <v>3</v>
      </c>
      <c r="D833" s="17" t="s">
        <v>32</v>
      </c>
      <c r="E833">
        <v>8</v>
      </c>
      <c r="F833">
        <v>360000</v>
      </c>
      <c r="G833">
        <v>0</v>
      </c>
      <c r="H833">
        <v>360000</v>
      </c>
      <c r="I833" s="1">
        <v>46261</v>
      </c>
      <c r="J833" s="17" t="s">
        <v>10</v>
      </c>
      <c r="K833" t="s">
        <v>1057</v>
      </c>
    </row>
    <row r="834" spans="1:11" x14ac:dyDescent="0.25">
      <c r="A834" s="17" t="s">
        <v>1015</v>
      </c>
      <c r="B834" s="17" t="s">
        <v>25</v>
      </c>
      <c r="C834" s="17" t="s">
        <v>29</v>
      </c>
      <c r="D834" s="17" t="s">
        <v>18</v>
      </c>
      <c r="E834">
        <v>2</v>
      </c>
      <c r="F834">
        <v>240000</v>
      </c>
      <c r="G834">
        <v>0</v>
      </c>
      <c r="H834">
        <v>240000</v>
      </c>
      <c r="I834" s="1">
        <v>46147</v>
      </c>
      <c r="J834" s="17" t="s">
        <v>10</v>
      </c>
      <c r="K834" t="s">
        <v>1057</v>
      </c>
    </row>
    <row r="835" spans="1:11" x14ac:dyDescent="0.25">
      <c r="A835" s="17" t="s">
        <v>1016</v>
      </c>
      <c r="B835" s="17" t="s">
        <v>7</v>
      </c>
      <c r="C835" s="17" t="s">
        <v>29</v>
      </c>
      <c r="D835" s="17" t="s">
        <v>32</v>
      </c>
      <c r="E835">
        <v>6</v>
      </c>
      <c r="F835">
        <v>270000</v>
      </c>
      <c r="G835">
        <v>10000</v>
      </c>
      <c r="H835">
        <v>260000</v>
      </c>
      <c r="I835" s="1">
        <v>46222</v>
      </c>
      <c r="J835" s="17" t="s">
        <v>5</v>
      </c>
      <c r="K835" t="s">
        <v>1057</v>
      </c>
    </row>
    <row r="836" spans="1:11" x14ac:dyDescent="0.25">
      <c r="A836" s="17" t="s">
        <v>1017</v>
      </c>
      <c r="B836" s="17" t="s">
        <v>2</v>
      </c>
      <c r="C836" s="17" t="s">
        <v>27</v>
      </c>
      <c r="D836" s="17" t="s">
        <v>9</v>
      </c>
      <c r="E836">
        <v>2</v>
      </c>
      <c r="F836">
        <v>150000</v>
      </c>
      <c r="G836">
        <v>5000</v>
      </c>
      <c r="H836">
        <v>145000</v>
      </c>
      <c r="I836" s="1">
        <v>46029</v>
      </c>
      <c r="J836" s="17" t="s">
        <v>33</v>
      </c>
      <c r="K836" t="s">
        <v>1057</v>
      </c>
    </row>
    <row r="837" spans="1:11" x14ac:dyDescent="0.25">
      <c r="A837" s="17" t="s">
        <v>1018</v>
      </c>
      <c r="B837" s="17" t="s">
        <v>12</v>
      </c>
      <c r="C837" s="17" t="s">
        <v>29</v>
      </c>
      <c r="D837" s="17" t="s">
        <v>9</v>
      </c>
      <c r="E837">
        <v>8</v>
      </c>
      <c r="F837">
        <v>2000000</v>
      </c>
      <c r="G837">
        <v>0</v>
      </c>
      <c r="H837">
        <v>2000000</v>
      </c>
      <c r="I837" s="1">
        <v>46231</v>
      </c>
      <c r="J837" s="17" t="s">
        <v>33</v>
      </c>
      <c r="K837" t="s">
        <v>1057</v>
      </c>
    </row>
    <row r="838" spans="1:11" x14ac:dyDescent="0.25">
      <c r="A838" s="17" t="s">
        <v>1019</v>
      </c>
      <c r="B838" s="17" t="s">
        <v>25</v>
      </c>
      <c r="C838" s="17" t="s">
        <v>27</v>
      </c>
      <c r="D838" s="17" t="s">
        <v>4</v>
      </c>
      <c r="E838">
        <v>5</v>
      </c>
      <c r="F838">
        <v>1250000</v>
      </c>
      <c r="G838">
        <v>15000</v>
      </c>
      <c r="H838">
        <v>1235000</v>
      </c>
      <c r="I838" s="1">
        <v>46119</v>
      </c>
      <c r="J838" s="17" t="s">
        <v>5</v>
      </c>
      <c r="K838" t="s">
        <v>1057</v>
      </c>
    </row>
    <row r="839" spans="1:11" x14ac:dyDescent="0.25">
      <c r="A839" s="17" t="s">
        <v>1020</v>
      </c>
      <c r="B839" s="17" t="s">
        <v>12</v>
      </c>
      <c r="C839" s="17" t="s">
        <v>8</v>
      </c>
      <c r="D839" s="17" t="s">
        <v>30</v>
      </c>
      <c r="E839">
        <v>2</v>
      </c>
      <c r="F839">
        <v>90000</v>
      </c>
      <c r="G839">
        <v>15000</v>
      </c>
      <c r="H839">
        <v>75000</v>
      </c>
      <c r="I839" s="1">
        <v>46168</v>
      </c>
      <c r="J839" s="17" t="s">
        <v>20</v>
      </c>
      <c r="K839" t="s">
        <v>1057</v>
      </c>
    </row>
    <row r="840" spans="1:11" x14ac:dyDescent="0.25">
      <c r="A840" s="17" t="s">
        <v>1021</v>
      </c>
      <c r="B840" s="17" t="s">
        <v>12</v>
      </c>
      <c r="C840" s="17" t="s">
        <v>8</v>
      </c>
      <c r="D840" s="17" t="s">
        <v>4</v>
      </c>
      <c r="E840">
        <v>6</v>
      </c>
      <c r="F840">
        <v>450000</v>
      </c>
      <c r="G840">
        <v>0</v>
      </c>
      <c r="H840">
        <v>450000</v>
      </c>
      <c r="I840" s="1">
        <v>46184</v>
      </c>
      <c r="J840" s="17" t="s">
        <v>33</v>
      </c>
      <c r="K840" t="s">
        <v>1057</v>
      </c>
    </row>
    <row r="841" spans="1:11" x14ac:dyDescent="0.25">
      <c r="A841" s="17" t="s">
        <v>1022</v>
      </c>
      <c r="B841" s="17" t="s">
        <v>2</v>
      </c>
      <c r="C841" s="17" t="s">
        <v>29</v>
      </c>
      <c r="D841" s="17" t="s">
        <v>18</v>
      </c>
      <c r="E841">
        <v>8</v>
      </c>
      <c r="F841">
        <v>960000</v>
      </c>
      <c r="G841">
        <v>0</v>
      </c>
      <c r="H841">
        <v>960000</v>
      </c>
      <c r="I841" s="1">
        <v>46120</v>
      </c>
      <c r="J841" s="17" t="s">
        <v>10</v>
      </c>
      <c r="K841" t="s">
        <v>1057</v>
      </c>
    </row>
    <row r="842" spans="1:11" x14ac:dyDescent="0.25">
      <c r="A842" s="17" t="s">
        <v>1023</v>
      </c>
      <c r="B842" s="17" t="s">
        <v>25</v>
      </c>
      <c r="C842" s="17" t="s">
        <v>3</v>
      </c>
      <c r="D842" s="17" t="s">
        <v>9</v>
      </c>
      <c r="E842">
        <v>3</v>
      </c>
      <c r="F842">
        <v>360000</v>
      </c>
      <c r="G842">
        <v>0</v>
      </c>
      <c r="H842">
        <v>360000</v>
      </c>
      <c r="I842" s="1">
        <v>46259</v>
      </c>
      <c r="J842" s="17" t="s">
        <v>10</v>
      </c>
      <c r="K842" t="s">
        <v>1057</v>
      </c>
    </row>
    <row r="843" spans="1:11" x14ac:dyDescent="0.25">
      <c r="A843" s="17" t="s">
        <v>1024</v>
      </c>
      <c r="B843" s="17" t="s">
        <v>7</v>
      </c>
      <c r="C843" s="17" t="s">
        <v>8</v>
      </c>
      <c r="D843" s="17" t="s">
        <v>9</v>
      </c>
      <c r="E843">
        <v>8</v>
      </c>
      <c r="F843">
        <v>360000</v>
      </c>
      <c r="G843">
        <v>0</v>
      </c>
      <c r="H843">
        <v>360000</v>
      </c>
      <c r="I843" s="1">
        <v>46186</v>
      </c>
      <c r="J843" s="17" t="s">
        <v>33</v>
      </c>
      <c r="K843" t="s">
        <v>1057</v>
      </c>
    </row>
    <row r="844" spans="1:11" x14ac:dyDescent="0.25">
      <c r="A844" s="17" t="s">
        <v>1025</v>
      </c>
      <c r="B844" s="17" t="s">
        <v>7</v>
      </c>
      <c r="C844" s="17" t="s">
        <v>29</v>
      </c>
      <c r="D844" s="17" t="s">
        <v>9</v>
      </c>
      <c r="E844">
        <v>9</v>
      </c>
      <c r="F844">
        <v>2250000</v>
      </c>
      <c r="G844">
        <v>10000</v>
      </c>
      <c r="H844">
        <v>2240000</v>
      </c>
      <c r="I844" s="1">
        <v>46146</v>
      </c>
      <c r="J844" s="17" t="s">
        <v>5</v>
      </c>
      <c r="K844" t="s">
        <v>1057</v>
      </c>
    </row>
    <row r="845" spans="1:11" x14ac:dyDescent="0.25">
      <c r="A845" s="17" t="s">
        <v>1026</v>
      </c>
      <c r="B845" s="17" t="s">
        <v>12</v>
      </c>
      <c r="C845" s="17" t="s">
        <v>3</v>
      </c>
      <c r="D845" s="17" t="s">
        <v>9</v>
      </c>
      <c r="E845">
        <v>1</v>
      </c>
      <c r="F845">
        <v>250000</v>
      </c>
      <c r="G845">
        <v>0</v>
      </c>
      <c r="H845">
        <v>250000</v>
      </c>
      <c r="I845" s="1">
        <v>46213</v>
      </c>
      <c r="J845" s="17" t="s">
        <v>20</v>
      </c>
      <c r="K845" t="s">
        <v>1057</v>
      </c>
    </row>
    <row r="846" spans="1:11" x14ac:dyDescent="0.25">
      <c r="A846" s="17" t="s">
        <v>1027</v>
      </c>
      <c r="B846" s="17" t="s">
        <v>12</v>
      </c>
      <c r="C846" s="17" t="s">
        <v>29</v>
      </c>
      <c r="D846" s="17" t="s">
        <v>4</v>
      </c>
      <c r="E846">
        <v>8</v>
      </c>
      <c r="F846">
        <v>960000</v>
      </c>
      <c r="G846">
        <v>10000</v>
      </c>
      <c r="H846">
        <v>950000</v>
      </c>
      <c r="I846" s="1">
        <v>46089</v>
      </c>
      <c r="J846" s="17" t="s">
        <v>20</v>
      </c>
      <c r="K846" t="s">
        <v>1057</v>
      </c>
    </row>
    <row r="847" spans="1:11" x14ac:dyDescent="0.25">
      <c r="A847" s="17" t="s">
        <v>1028</v>
      </c>
      <c r="B847" s="17" t="s">
        <v>25</v>
      </c>
      <c r="C847" s="17" t="s">
        <v>27</v>
      </c>
      <c r="D847" s="17" t="s">
        <v>32</v>
      </c>
      <c r="E847">
        <v>6</v>
      </c>
      <c r="F847">
        <v>720000</v>
      </c>
      <c r="G847">
        <v>0</v>
      </c>
      <c r="H847">
        <v>720000</v>
      </c>
      <c r="I847" s="1">
        <v>46242</v>
      </c>
      <c r="J847" s="17" t="s">
        <v>5</v>
      </c>
      <c r="K847" t="s">
        <v>1057</v>
      </c>
    </row>
    <row r="848" spans="1:11" x14ac:dyDescent="0.25">
      <c r="A848" s="17" t="s">
        <v>1029</v>
      </c>
      <c r="B848" s="17" t="s">
        <v>2</v>
      </c>
      <c r="C848" s="17" t="s">
        <v>29</v>
      </c>
      <c r="D848" s="17" t="s">
        <v>4</v>
      </c>
      <c r="E848">
        <v>1</v>
      </c>
      <c r="F848">
        <v>185000</v>
      </c>
      <c r="G848">
        <v>0</v>
      </c>
      <c r="H848">
        <v>185000</v>
      </c>
      <c r="I848" s="1">
        <v>46242</v>
      </c>
      <c r="J848" s="17" t="s">
        <v>10</v>
      </c>
      <c r="K848" t="s">
        <v>1057</v>
      </c>
    </row>
    <row r="849" spans="1:11" x14ac:dyDescent="0.25">
      <c r="A849" s="17" t="s">
        <v>1030</v>
      </c>
      <c r="B849" s="17" t="s">
        <v>12</v>
      </c>
      <c r="C849" s="17" t="s">
        <v>17</v>
      </c>
      <c r="D849" s="17" t="s">
        <v>9</v>
      </c>
      <c r="E849">
        <v>10</v>
      </c>
      <c r="F849">
        <v>1200000</v>
      </c>
      <c r="G849">
        <v>0</v>
      </c>
      <c r="H849">
        <v>1200000</v>
      </c>
      <c r="I849" s="1">
        <v>46164</v>
      </c>
      <c r="J849" s="17" t="s">
        <v>33</v>
      </c>
      <c r="K849" t="s">
        <v>1057</v>
      </c>
    </row>
    <row r="850" spans="1:11" x14ac:dyDescent="0.25">
      <c r="A850" s="17" t="s">
        <v>1031</v>
      </c>
      <c r="B850" s="17" t="s">
        <v>25</v>
      </c>
      <c r="C850" s="17" t="s">
        <v>17</v>
      </c>
      <c r="D850" s="17" t="s">
        <v>9</v>
      </c>
      <c r="E850">
        <v>9</v>
      </c>
      <c r="F850">
        <v>2250000</v>
      </c>
      <c r="G850">
        <v>0</v>
      </c>
      <c r="H850">
        <v>2250000</v>
      </c>
      <c r="I850" s="1">
        <v>46145</v>
      </c>
      <c r="J850" s="17" t="s">
        <v>5</v>
      </c>
      <c r="K850" t="s">
        <v>1057</v>
      </c>
    </row>
    <row r="851" spans="1:11" x14ac:dyDescent="0.25">
      <c r="A851" s="17" t="s">
        <v>1032</v>
      </c>
      <c r="B851" s="17" t="s">
        <v>7</v>
      </c>
      <c r="C851" s="17" t="s">
        <v>8</v>
      </c>
      <c r="D851" s="17" t="s">
        <v>32</v>
      </c>
      <c r="E851">
        <v>10</v>
      </c>
      <c r="F851">
        <v>450000</v>
      </c>
      <c r="G851">
        <v>10000</v>
      </c>
      <c r="H851">
        <v>440000</v>
      </c>
      <c r="I851" s="1">
        <v>46028</v>
      </c>
      <c r="J851" s="17" t="s">
        <v>33</v>
      </c>
      <c r="K851" t="s">
        <v>1057</v>
      </c>
    </row>
    <row r="852" spans="1:11" x14ac:dyDescent="0.25">
      <c r="A852" s="17" t="s">
        <v>1033</v>
      </c>
      <c r="B852" s="17" t="s">
        <v>7</v>
      </c>
      <c r="C852" s="17" t="s">
        <v>27</v>
      </c>
      <c r="D852" s="17" t="s">
        <v>18</v>
      </c>
      <c r="E852">
        <v>6</v>
      </c>
      <c r="F852">
        <v>720000</v>
      </c>
      <c r="G852">
        <v>0</v>
      </c>
      <c r="H852">
        <v>720000</v>
      </c>
      <c r="I852" s="1">
        <v>46050</v>
      </c>
      <c r="J852" s="17" t="s">
        <v>20</v>
      </c>
      <c r="K852" t="s">
        <v>1057</v>
      </c>
    </row>
    <row r="853" spans="1:11" x14ac:dyDescent="0.25">
      <c r="A853" s="17" t="s">
        <v>1034</v>
      </c>
      <c r="B853" s="17" t="s">
        <v>7</v>
      </c>
      <c r="C853" s="17" t="s">
        <v>13</v>
      </c>
      <c r="D853" s="17" t="s">
        <v>4</v>
      </c>
      <c r="E853">
        <v>2</v>
      </c>
      <c r="F853">
        <v>150000</v>
      </c>
      <c r="G853">
        <v>15000</v>
      </c>
      <c r="H853">
        <v>135000</v>
      </c>
      <c r="I853" s="1">
        <v>46223</v>
      </c>
      <c r="J853" s="17" t="s">
        <v>10</v>
      </c>
      <c r="K853" t="s">
        <v>1057</v>
      </c>
    </row>
    <row r="854" spans="1:11" x14ac:dyDescent="0.25">
      <c r="A854" s="17" t="s">
        <v>1035</v>
      </c>
      <c r="B854" s="17" t="s">
        <v>12</v>
      </c>
      <c r="C854" s="17" t="s">
        <v>8</v>
      </c>
      <c r="D854" s="17" t="s">
        <v>30</v>
      </c>
      <c r="E854">
        <v>1</v>
      </c>
      <c r="F854">
        <v>250000</v>
      </c>
      <c r="G854">
        <v>0</v>
      </c>
      <c r="H854">
        <v>250000</v>
      </c>
      <c r="I854" s="1">
        <v>46198</v>
      </c>
      <c r="J854" s="17" t="s">
        <v>10</v>
      </c>
      <c r="K854" t="s">
        <v>1057</v>
      </c>
    </row>
    <row r="855" spans="1:11" x14ac:dyDescent="0.25">
      <c r="A855" s="17" t="s">
        <v>1036</v>
      </c>
      <c r="B855" s="17" t="s">
        <v>7</v>
      </c>
      <c r="C855" s="17" t="s">
        <v>8</v>
      </c>
      <c r="D855" s="17" t="s">
        <v>9</v>
      </c>
      <c r="E855">
        <v>2</v>
      </c>
      <c r="F855">
        <v>240000</v>
      </c>
      <c r="G855">
        <v>0</v>
      </c>
      <c r="H855">
        <v>240000</v>
      </c>
      <c r="I855" s="1">
        <v>46084</v>
      </c>
      <c r="J855" s="17" t="s">
        <v>33</v>
      </c>
      <c r="K855" t="s">
        <v>1057</v>
      </c>
    </row>
    <row r="856" spans="1:11" x14ac:dyDescent="0.25">
      <c r="A856" s="17" t="s">
        <v>1037</v>
      </c>
      <c r="B856" s="17" t="s">
        <v>25</v>
      </c>
      <c r="C856" s="17" t="s">
        <v>3</v>
      </c>
      <c r="D856" s="17" t="s">
        <v>9</v>
      </c>
      <c r="E856">
        <v>5</v>
      </c>
      <c r="F856">
        <v>225000</v>
      </c>
      <c r="G856">
        <v>0</v>
      </c>
      <c r="H856">
        <v>225000</v>
      </c>
      <c r="I856" s="1">
        <v>46256</v>
      </c>
      <c r="J856" s="17" t="s">
        <v>10</v>
      </c>
      <c r="K856" t="s">
        <v>1057</v>
      </c>
    </row>
    <row r="857" spans="1:11" x14ac:dyDescent="0.25">
      <c r="A857" s="17" t="s">
        <v>1038</v>
      </c>
      <c r="B857" s="17" t="s">
        <v>7</v>
      </c>
      <c r="C857" s="17" t="s">
        <v>3</v>
      </c>
      <c r="D857" s="17" t="s">
        <v>30</v>
      </c>
      <c r="E857">
        <v>5</v>
      </c>
      <c r="F857">
        <v>600000</v>
      </c>
      <c r="G857">
        <v>10000</v>
      </c>
      <c r="H857">
        <v>590000</v>
      </c>
      <c r="I857" s="1">
        <v>46069</v>
      </c>
      <c r="J857" s="17" t="s">
        <v>33</v>
      </c>
      <c r="K857" t="s">
        <v>1057</v>
      </c>
    </row>
    <row r="858" spans="1:11" x14ac:dyDescent="0.25">
      <c r="A858" s="17" t="s">
        <v>1039</v>
      </c>
      <c r="B858" s="17" t="s">
        <v>2</v>
      </c>
      <c r="C858" s="17" t="s">
        <v>13</v>
      </c>
      <c r="D858" s="17" t="s">
        <v>30</v>
      </c>
      <c r="E858">
        <v>4</v>
      </c>
      <c r="F858">
        <v>180000</v>
      </c>
      <c r="G858">
        <v>0</v>
      </c>
      <c r="H858">
        <v>180000</v>
      </c>
      <c r="I858" s="1">
        <v>46088</v>
      </c>
      <c r="J858" s="17" t="s">
        <v>33</v>
      </c>
      <c r="K858" t="s">
        <v>1057</v>
      </c>
    </row>
    <row r="859" spans="1:11" x14ac:dyDescent="0.25">
      <c r="A859" s="17" t="s">
        <v>1040</v>
      </c>
      <c r="B859" s="17" t="s">
        <v>7</v>
      </c>
      <c r="C859" s="17" t="s">
        <v>3</v>
      </c>
      <c r="D859" s="17" t="s">
        <v>9</v>
      </c>
      <c r="E859">
        <v>9</v>
      </c>
      <c r="F859">
        <v>2250000</v>
      </c>
      <c r="G859">
        <v>0</v>
      </c>
      <c r="H859">
        <v>2250000</v>
      </c>
      <c r="I859" s="1">
        <v>46260</v>
      </c>
      <c r="J859" s="17" t="s">
        <v>20</v>
      </c>
      <c r="K859" t="s">
        <v>1057</v>
      </c>
    </row>
    <row r="860" spans="1:11" x14ac:dyDescent="0.25">
      <c r="A860" s="17" t="s">
        <v>1041</v>
      </c>
      <c r="B860" s="17" t="s">
        <v>12</v>
      </c>
      <c r="C860" s="17" t="s">
        <v>29</v>
      </c>
      <c r="D860" s="17" t="s">
        <v>4</v>
      </c>
      <c r="E860">
        <v>10</v>
      </c>
      <c r="F860">
        <v>1850000</v>
      </c>
      <c r="G860">
        <v>10000</v>
      </c>
      <c r="H860">
        <v>1840000</v>
      </c>
      <c r="I860" s="1">
        <v>46154</v>
      </c>
      <c r="J860" s="17" t="s">
        <v>33</v>
      </c>
      <c r="K860" t="s">
        <v>1057</v>
      </c>
    </row>
    <row r="861" spans="1:11" x14ac:dyDescent="0.25">
      <c r="A861" s="17" t="s">
        <v>1044</v>
      </c>
      <c r="B861" s="17" t="s">
        <v>2</v>
      </c>
      <c r="C861" s="17" t="s">
        <v>8</v>
      </c>
      <c r="D861" s="17" t="s">
        <v>9</v>
      </c>
      <c r="E861">
        <v>9</v>
      </c>
      <c r="F861">
        <v>1080000</v>
      </c>
      <c r="G861">
        <v>0</v>
      </c>
      <c r="H861">
        <v>1080000</v>
      </c>
      <c r="I861" s="1">
        <v>46114</v>
      </c>
      <c r="J861" s="17" t="s">
        <v>5</v>
      </c>
      <c r="K861" t="s">
        <v>1057</v>
      </c>
    </row>
    <row r="862" spans="1:11" x14ac:dyDescent="0.25">
      <c r="A862" s="17" t="s">
        <v>1045</v>
      </c>
      <c r="B862" s="17" t="s">
        <v>7</v>
      </c>
      <c r="C862" s="17" t="s">
        <v>8</v>
      </c>
      <c r="D862" s="17" t="s">
        <v>32</v>
      </c>
      <c r="E862">
        <v>5</v>
      </c>
      <c r="F862">
        <v>375000</v>
      </c>
      <c r="G862">
        <v>0</v>
      </c>
      <c r="H862">
        <v>375000</v>
      </c>
      <c r="I862" s="1">
        <v>46104</v>
      </c>
      <c r="J862" s="17" t="s">
        <v>20</v>
      </c>
      <c r="K862" t="s">
        <v>1057</v>
      </c>
    </row>
    <row r="863" spans="1:11" x14ac:dyDescent="0.25">
      <c r="A863" s="17" t="s">
        <v>1046</v>
      </c>
      <c r="B863" s="17" t="s">
        <v>7</v>
      </c>
      <c r="C863" s="17" t="s">
        <v>13</v>
      </c>
      <c r="D863" s="17" t="s">
        <v>30</v>
      </c>
      <c r="E863">
        <v>4</v>
      </c>
      <c r="F863">
        <v>180000</v>
      </c>
      <c r="G863">
        <v>0</v>
      </c>
      <c r="H863">
        <v>180000</v>
      </c>
      <c r="I863" s="1">
        <v>46175</v>
      </c>
      <c r="J863" s="17" t="s">
        <v>5</v>
      </c>
      <c r="K863" t="s">
        <v>1057</v>
      </c>
    </row>
    <row r="864" spans="1:11" x14ac:dyDescent="0.25">
      <c r="A864" s="17" t="s">
        <v>1047</v>
      </c>
      <c r="B864" s="17" t="s">
        <v>2</v>
      </c>
      <c r="C864" s="17" t="s">
        <v>3</v>
      </c>
      <c r="D864" s="17" t="s">
        <v>9</v>
      </c>
      <c r="E864">
        <v>8</v>
      </c>
      <c r="F864">
        <v>1480000</v>
      </c>
      <c r="G864">
        <v>0</v>
      </c>
      <c r="H864">
        <v>1480000</v>
      </c>
      <c r="I864" s="1">
        <v>46036</v>
      </c>
      <c r="J864" s="17" t="s">
        <v>20</v>
      </c>
      <c r="K864" t="s">
        <v>1057</v>
      </c>
    </row>
    <row r="865" spans="1:11" x14ac:dyDescent="0.25">
      <c r="A865" s="17" t="s">
        <v>1049</v>
      </c>
      <c r="B865" s="17" t="s">
        <v>2</v>
      </c>
      <c r="C865" s="17" t="s">
        <v>29</v>
      </c>
      <c r="D865" s="17" t="s">
        <v>30</v>
      </c>
      <c r="E865">
        <v>7</v>
      </c>
      <c r="F865">
        <v>525000</v>
      </c>
      <c r="G865">
        <v>15000</v>
      </c>
      <c r="H865">
        <v>510000</v>
      </c>
      <c r="I865" s="1">
        <v>46259</v>
      </c>
      <c r="J865" s="17" t="s">
        <v>33</v>
      </c>
      <c r="K865" t="s">
        <v>1057</v>
      </c>
    </row>
    <row r="866" spans="1:11" x14ac:dyDescent="0.25">
      <c r="A866" s="17" t="s">
        <v>1051</v>
      </c>
      <c r="B866" s="17" t="s">
        <v>7</v>
      </c>
      <c r="C866" s="17" t="s">
        <v>8</v>
      </c>
      <c r="D866" s="17" t="s">
        <v>4</v>
      </c>
      <c r="E866">
        <v>2</v>
      </c>
      <c r="F866">
        <v>150000</v>
      </c>
      <c r="G866">
        <v>15000</v>
      </c>
      <c r="H866">
        <v>135000</v>
      </c>
      <c r="I866" s="1">
        <v>46158</v>
      </c>
      <c r="J866" s="17" t="s">
        <v>10</v>
      </c>
      <c r="K866" t="s">
        <v>1057</v>
      </c>
    </row>
    <row r="867" spans="1:11" x14ac:dyDescent="0.25">
      <c r="A867" s="17" t="s">
        <v>1052</v>
      </c>
      <c r="B867" s="17" t="s">
        <v>2</v>
      </c>
      <c r="C867" s="17" t="s">
        <v>3</v>
      </c>
      <c r="D867" s="17" t="s">
        <v>30</v>
      </c>
      <c r="E867">
        <v>10</v>
      </c>
      <c r="F867">
        <v>750000</v>
      </c>
      <c r="G867">
        <v>0</v>
      </c>
      <c r="H867">
        <v>750000</v>
      </c>
      <c r="I867" s="1">
        <v>46137</v>
      </c>
      <c r="J867" s="17" t="s">
        <v>10</v>
      </c>
      <c r="K867" t="s">
        <v>1057</v>
      </c>
    </row>
    <row r="868" spans="1:11" x14ac:dyDescent="0.25">
      <c r="A868" s="17" t="s">
        <v>1053</v>
      </c>
      <c r="B868" s="17" t="s">
        <v>25</v>
      </c>
      <c r="C868" s="17" t="s">
        <v>13</v>
      </c>
      <c r="D868" s="17" t="s">
        <v>4</v>
      </c>
      <c r="E868">
        <v>2</v>
      </c>
      <c r="F868">
        <v>90000</v>
      </c>
      <c r="G868">
        <v>0</v>
      </c>
      <c r="H868">
        <v>90000</v>
      </c>
      <c r="I868" s="1">
        <v>46245</v>
      </c>
      <c r="J868" s="17" t="s">
        <v>10</v>
      </c>
      <c r="K868" t="s">
        <v>1057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742F-9D87-479D-B052-DA8C898D7D8B}">
  <dimension ref="A1:P134"/>
  <sheetViews>
    <sheetView workbookViewId="0">
      <selection activeCell="K9" sqref="K9"/>
    </sheetView>
  </sheetViews>
  <sheetFormatPr defaultRowHeight="15" x14ac:dyDescent="0.25"/>
  <cols>
    <col min="1" max="1" width="15.42578125" bestFit="1" customWidth="1"/>
    <col min="2" max="2" width="11.42578125" bestFit="1" customWidth="1"/>
    <col min="3" max="3" width="15.28515625" bestFit="1" customWidth="1"/>
    <col min="4" max="4" width="22" bestFit="1" customWidth="1"/>
    <col min="5" max="5" width="35.140625" bestFit="1" customWidth="1"/>
    <col min="6" max="6" width="6.42578125" bestFit="1" customWidth="1"/>
    <col min="7" max="7" width="16.5703125" bestFit="1" customWidth="1"/>
    <col min="8" max="8" width="15" bestFit="1" customWidth="1"/>
    <col min="9" max="9" width="18.85546875" bestFit="1" customWidth="1"/>
    <col min="10" max="10" width="26.140625" bestFit="1" customWidth="1"/>
    <col min="11" max="11" width="24.7109375" bestFit="1" customWidth="1"/>
    <col min="12" max="12" width="14" bestFit="1" customWidth="1"/>
    <col min="13" max="13" width="19.85546875" bestFit="1" customWidth="1"/>
    <col min="14" max="14" width="11.5703125" bestFit="1" customWidth="1"/>
    <col min="15" max="15" width="14.5703125" bestFit="1" customWidth="1"/>
    <col min="16" max="16" width="40.85546875" bestFit="1" customWidth="1"/>
    <col min="17" max="17" width="35.140625" bestFit="1" customWidth="1"/>
    <col min="18" max="18" width="11.85546875" bestFit="1" customWidth="1"/>
    <col min="19" max="19" width="22.140625" bestFit="1" customWidth="1"/>
    <col min="20" max="20" width="20.7109375" bestFit="1" customWidth="1"/>
    <col min="21" max="21" width="24.5703125" bestFit="1" customWidth="1"/>
    <col min="22" max="22" width="31.7109375" bestFit="1" customWidth="1"/>
    <col min="23" max="23" width="30.28515625" bestFit="1" customWidth="1"/>
    <col min="24" max="24" width="19.140625" bestFit="1" customWidth="1"/>
    <col min="25" max="25" width="25.42578125" bestFit="1" customWidth="1"/>
    <col min="26" max="26" width="14.140625" bestFit="1" customWidth="1"/>
    <col min="27" max="27" width="14.5703125" bestFit="1" customWidth="1"/>
    <col min="28" max="28" width="40.85546875" customWidth="1"/>
  </cols>
  <sheetData>
    <row r="1" spans="1:16" x14ac:dyDescent="0.25">
      <c r="A1" t="s">
        <v>0</v>
      </c>
      <c r="B1" t="s">
        <v>1054</v>
      </c>
      <c r="C1" t="s">
        <v>1183</v>
      </c>
      <c r="D1" t="s">
        <v>1184</v>
      </c>
      <c r="E1" t="s">
        <v>1185</v>
      </c>
      <c r="F1" t="s">
        <v>1186</v>
      </c>
      <c r="G1" t="s">
        <v>1187</v>
      </c>
      <c r="H1" t="s">
        <v>1188</v>
      </c>
      <c r="I1" t="s">
        <v>1189</v>
      </c>
      <c r="J1" t="s">
        <v>1481</v>
      </c>
      <c r="K1" t="s">
        <v>1482</v>
      </c>
      <c r="L1" t="s">
        <v>1190</v>
      </c>
      <c r="M1" t="s">
        <v>1483</v>
      </c>
      <c r="N1" t="s">
        <v>1191</v>
      </c>
      <c r="O1" t="s">
        <v>1055</v>
      </c>
      <c r="P1" t="s">
        <v>1098</v>
      </c>
    </row>
    <row r="2" spans="1:16" x14ac:dyDescent="0.25">
      <c r="A2" t="s">
        <v>16</v>
      </c>
      <c r="B2">
        <v>3</v>
      </c>
      <c r="C2" s="17" t="s">
        <v>12</v>
      </c>
      <c r="D2" s="17" t="s">
        <v>17</v>
      </c>
      <c r="E2" s="17" t="s">
        <v>18</v>
      </c>
      <c r="F2">
        <v>3</v>
      </c>
      <c r="G2">
        <v>225000</v>
      </c>
      <c r="H2">
        <v>0</v>
      </c>
      <c r="I2" s="17" t="s">
        <v>1071</v>
      </c>
      <c r="J2">
        <v>225000</v>
      </c>
      <c r="K2">
        <v>225000</v>
      </c>
      <c r="L2" s="17" t="s">
        <v>19</v>
      </c>
      <c r="M2" s="1">
        <v>46084</v>
      </c>
      <c r="N2" s="17" t="s">
        <v>20</v>
      </c>
      <c r="O2" t="s">
        <v>1099</v>
      </c>
      <c r="P2" t="s">
        <v>1100</v>
      </c>
    </row>
    <row r="3" spans="1:16" x14ac:dyDescent="0.25">
      <c r="A3" t="s">
        <v>16</v>
      </c>
      <c r="B3">
        <v>3</v>
      </c>
      <c r="C3" s="17" t="s">
        <v>2</v>
      </c>
      <c r="D3" s="17" t="s">
        <v>29</v>
      </c>
      <c r="E3" s="17" t="s">
        <v>9</v>
      </c>
      <c r="F3">
        <v>4</v>
      </c>
      <c r="G3">
        <v>480000</v>
      </c>
      <c r="H3">
        <v>10000</v>
      </c>
      <c r="I3" s="17" t="s">
        <v>1086</v>
      </c>
      <c r="J3">
        <v>470000</v>
      </c>
      <c r="K3">
        <v>470000</v>
      </c>
      <c r="L3" s="17" t="s">
        <v>218</v>
      </c>
      <c r="M3" s="1">
        <v>46042</v>
      </c>
      <c r="N3" s="17" t="s">
        <v>33</v>
      </c>
      <c r="O3" t="s">
        <v>1099</v>
      </c>
      <c r="P3" t="s">
        <v>1100</v>
      </c>
    </row>
    <row r="4" spans="1:16" x14ac:dyDescent="0.25">
      <c r="A4" t="s">
        <v>16</v>
      </c>
      <c r="B4">
        <v>3</v>
      </c>
      <c r="C4" s="17" t="s">
        <v>25</v>
      </c>
      <c r="D4" s="17" t="s">
        <v>8</v>
      </c>
      <c r="E4" s="17" t="s">
        <v>32</v>
      </c>
      <c r="F4">
        <v>2</v>
      </c>
      <c r="G4">
        <v>150000</v>
      </c>
      <c r="H4">
        <v>10000</v>
      </c>
      <c r="I4" s="17" t="s">
        <v>1101</v>
      </c>
      <c r="J4">
        <v>140000</v>
      </c>
      <c r="K4">
        <v>140000</v>
      </c>
      <c r="L4" s="17" t="s">
        <v>823</v>
      </c>
      <c r="M4" s="1">
        <v>46240</v>
      </c>
      <c r="N4" s="17" t="s">
        <v>5</v>
      </c>
      <c r="O4" t="s">
        <v>1099</v>
      </c>
      <c r="P4" t="s">
        <v>1100</v>
      </c>
    </row>
    <row r="5" spans="1:16" x14ac:dyDescent="0.25">
      <c r="A5" t="s">
        <v>21</v>
      </c>
      <c r="B5">
        <v>1</v>
      </c>
      <c r="C5" s="17" t="s">
        <v>7</v>
      </c>
      <c r="D5" s="17" t="s">
        <v>17</v>
      </c>
      <c r="E5" s="17" t="s">
        <v>4</v>
      </c>
      <c r="F5">
        <v>2</v>
      </c>
      <c r="G5">
        <v>240000</v>
      </c>
      <c r="H5">
        <v>0</v>
      </c>
      <c r="I5" s="17" t="s">
        <v>1088</v>
      </c>
      <c r="J5">
        <v>240000</v>
      </c>
      <c r="K5">
        <v>240000</v>
      </c>
      <c r="L5" s="17" t="s">
        <v>22</v>
      </c>
      <c r="M5" s="1"/>
      <c r="N5" s="17" t="s">
        <v>10</v>
      </c>
      <c r="O5" t="s">
        <v>1099</v>
      </c>
      <c r="P5" t="s">
        <v>1102</v>
      </c>
    </row>
    <row r="6" spans="1:16" x14ac:dyDescent="0.25">
      <c r="A6" t="s">
        <v>42</v>
      </c>
      <c r="B6">
        <v>2</v>
      </c>
      <c r="C6" s="17" t="s">
        <v>25</v>
      </c>
      <c r="D6" s="17" t="s">
        <v>17</v>
      </c>
      <c r="E6" s="17" t="s">
        <v>32</v>
      </c>
      <c r="F6">
        <v>8</v>
      </c>
      <c r="G6">
        <v>960000</v>
      </c>
      <c r="H6">
        <v>0</v>
      </c>
      <c r="I6" s="17" t="s">
        <v>1081</v>
      </c>
      <c r="J6">
        <v>960000</v>
      </c>
      <c r="K6">
        <v>960000</v>
      </c>
      <c r="L6" s="17" t="s">
        <v>43</v>
      </c>
      <c r="M6" s="1">
        <v>46147</v>
      </c>
      <c r="N6" s="17" t="s">
        <v>10</v>
      </c>
      <c r="O6" t="s">
        <v>1099</v>
      </c>
      <c r="P6" t="s">
        <v>1100</v>
      </c>
    </row>
    <row r="7" spans="1:16" x14ac:dyDescent="0.25">
      <c r="A7" t="s">
        <v>42</v>
      </c>
      <c r="B7">
        <v>2</v>
      </c>
      <c r="C7" s="17" t="s">
        <v>7</v>
      </c>
      <c r="D7" s="17" t="s">
        <v>27</v>
      </c>
      <c r="E7" s="17" t="s">
        <v>30</v>
      </c>
      <c r="F7">
        <v>2</v>
      </c>
      <c r="G7">
        <v>90000</v>
      </c>
      <c r="H7">
        <v>5000</v>
      </c>
      <c r="I7" s="17" t="s">
        <v>1074</v>
      </c>
      <c r="J7">
        <v>85000</v>
      </c>
      <c r="K7">
        <v>85000</v>
      </c>
      <c r="L7" s="17" t="s">
        <v>195</v>
      </c>
      <c r="M7" s="1">
        <v>46034</v>
      </c>
      <c r="N7" s="17" t="s">
        <v>10</v>
      </c>
      <c r="O7" t="s">
        <v>1099</v>
      </c>
      <c r="P7" t="s">
        <v>1100</v>
      </c>
    </row>
    <row r="8" spans="1:16" x14ac:dyDescent="0.25">
      <c r="A8" t="s">
        <v>45</v>
      </c>
      <c r="B8">
        <v>2</v>
      </c>
      <c r="C8" s="17" t="s">
        <v>25</v>
      </c>
      <c r="D8" s="17" t="s">
        <v>27</v>
      </c>
      <c r="E8" s="17" t="s">
        <v>30</v>
      </c>
      <c r="F8">
        <v>2</v>
      </c>
      <c r="G8">
        <v>90000</v>
      </c>
      <c r="H8">
        <v>5000</v>
      </c>
      <c r="I8" s="17" t="s">
        <v>1074</v>
      </c>
      <c r="J8">
        <v>85000</v>
      </c>
      <c r="K8">
        <v>85000</v>
      </c>
      <c r="L8" s="17" t="s">
        <v>46</v>
      </c>
      <c r="M8" s="1">
        <v>46159</v>
      </c>
      <c r="N8" s="17" t="s">
        <v>5</v>
      </c>
      <c r="O8" t="s">
        <v>1099</v>
      </c>
      <c r="P8" t="s">
        <v>1100</v>
      </c>
    </row>
    <row r="9" spans="1:16" x14ac:dyDescent="0.25">
      <c r="A9" t="s">
        <v>45</v>
      </c>
      <c r="B9">
        <v>2</v>
      </c>
      <c r="C9" s="17" t="s">
        <v>12</v>
      </c>
      <c r="D9" s="17" t="s">
        <v>29</v>
      </c>
      <c r="E9" s="17" t="s">
        <v>32</v>
      </c>
      <c r="F9">
        <v>6</v>
      </c>
      <c r="G9">
        <v>720000</v>
      </c>
      <c r="H9">
        <v>5000</v>
      </c>
      <c r="I9" s="17" t="s">
        <v>1094</v>
      </c>
      <c r="J9">
        <v>715000</v>
      </c>
      <c r="K9">
        <v>715000</v>
      </c>
      <c r="L9" s="17" t="s">
        <v>378</v>
      </c>
      <c r="M9" s="1">
        <v>46226</v>
      </c>
      <c r="N9" s="17" t="s">
        <v>33</v>
      </c>
      <c r="O9" t="s">
        <v>1099</v>
      </c>
      <c r="P9" t="s">
        <v>1100</v>
      </c>
    </row>
    <row r="10" spans="1:16" x14ac:dyDescent="0.25">
      <c r="A10" t="s">
        <v>47</v>
      </c>
      <c r="B10">
        <v>3</v>
      </c>
      <c r="C10" s="17" t="s">
        <v>25</v>
      </c>
      <c r="D10" s="17" t="s">
        <v>3</v>
      </c>
      <c r="E10" s="17" t="s">
        <v>18</v>
      </c>
      <c r="F10">
        <v>8</v>
      </c>
      <c r="G10">
        <v>1480000</v>
      </c>
      <c r="H10">
        <v>0</v>
      </c>
      <c r="I10" s="17" t="s">
        <v>1075</v>
      </c>
      <c r="J10">
        <v>1480000</v>
      </c>
      <c r="K10">
        <v>1480000</v>
      </c>
      <c r="L10" s="17" t="s">
        <v>22</v>
      </c>
      <c r="M10" s="1"/>
      <c r="N10" s="17" t="s">
        <v>5</v>
      </c>
      <c r="O10" t="s">
        <v>1099</v>
      </c>
      <c r="P10" t="s">
        <v>1103</v>
      </c>
    </row>
    <row r="11" spans="1:16" x14ac:dyDescent="0.25">
      <c r="A11" t="s">
        <v>47</v>
      </c>
      <c r="B11">
        <v>3</v>
      </c>
      <c r="C11" s="17" t="s">
        <v>25</v>
      </c>
      <c r="D11" s="17" t="s">
        <v>3</v>
      </c>
      <c r="E11" s="17" t="s">
        <v>4</v>
      </c>
      <c r="F11">
        <v>6</v>
      </c>
      <c r="G11">
        <v>720000</v>
      </c>
      <c r="H11">
        <v>0</v>
      </c>
      <c r="I11" s="17" t="s">
        <v>1104</v>
      </c>
      <c r="J11">
        <v>-720000</v>
      </c>
      <c r="K11">
        <v>720000</v>
      </c>
      <c r="L11" s="17" t="s">
        <v>338</v>
      </c>
      <c r="M11" s="1">
        <v>46115</v>
      </c>
      <c r="N11" s="17" t="s">
        <v>10</v>
      </c>
      <c r="O11" t="s">
        <v>1099</v>
      </c>
      <c r="P11" t="s">
        <v>1107</v>
      </c>
    </row>
    <row r="12" spans="1:16" x14ac:dyDescent="0.25">
      <c r="A12" t="s">
        <v>47</v>
      </c>
      <c r="B12">
        <v>3</v>
      </c>
      <c r="C12" s="17" t="s">
        <v>2</v>
      </c>
      <c r="D12" s="17" t="s">
        <v>29</v>
      </c>
      <c r="E12" s="17" t="s">
        <v>30</v>
      </c>
      <c r="F12">
        <v>7</v>
      </c>
      <c r="G12">
        <v>840000</v>
      </c>
      <c r="H12">
        <v>0</v>
      </c>
      <c r="I12" s="17" t="s">
        <v>1087</v>
      </c>
      <c r="J12">
        <v>840000</v>
      </c>
      <c r="K12">
        <v>840000</v>
      </c>
      <c r="L12" s="17" t="s">
        <v>414</v>
      </c>
      <c r="M12" s="1">
        <v>46250</v>
      </c>
      <c r="N12" s="17" t="s">
        <v>5</v>
      </c>
      <c r="O12" t="s">
        <v>1099</v>
      </c>
      <c r="P12" t="s">
        <v>1100</v>
      </c>
    </row>
    <row r="13" spans="1:16" x14ac:dyDescent="0.25">
      <c r="A13" t="s">
        <v>49</v>
      </c>
      <c r="B13">
        <v>2</v>
      </c>
      <c r="C13" s="17" t="s">
        <v>7</v>
      </c>
      <c r="D13" s="17" t="s">
        <v>27</v>
      </c>
      <c r="E13" s="17" t="s">
        <v>4</v>
      </c>
      <c r="F13">
        <v>9</v>
      </c>
      <c r="G13">
        <v>1665000</v>
      </c>
      <c r="H13">
        <v>0</v>
      </c>
      <c r="I13" s="17" t="s">
        <v>1080</v>
      </c>
      <c r="J13">
        <v>1665000</v>
      </c>
      <c r="K13">
        <v>1665000</v>
      </c>
      <c r="L13" s="17" t="s">
        <v>36</v>
      </c>
      <c r="M13" s="1">
        <v>46104</v>
      </c>
      <c r="N13" s="17" t="s">
        <v>5</v>
      </c>
      <c r="O13" t="s">
        <v>1099</v>
      </c>
      <c r="P13" t="s">
        <v>1100</v>
      </c>
    </row>
    <row r="14" spans="1:16" x14ac:dyDescent="0.25">
      <c r="A14" t="s">
        <v>49</v>
      </c>
      <c r="B14">
        <v>2</v>
      </c>
      <c r="C14" s="17" t="s">
        <v>25</v>
      </c>
      <c r="D14" s="17" t="s">
        <v>29</v>
      </c>
      <c r="E14" s="17" t="s">
        <v>30</v>
      </c>
      <c r="F14">
        <v>7</v>
      </c>
      <c r="G14">
        <v>525000</v>
      </c>
      <c r="H14">
        <v>0</v>
      </c>
      <c r="I14" s="17" t="s">
        <v>1085</v>
      </c>
      <c r="J14">
        <v>525000</v>
      </c>
      <c r="K14">
        <v>525000</v>
      </c>
      <c r="L14" s="17" t="s">
        <v>132</v>
      </c>
      <c r="M14" s="1">
        <v>46178</v>
      </c>
      <c r="N14" s="17" t="s">
        <v>5</v>
      </c>
      <c r="O14" t="s">
        <v>1099</v>
      </c>
      <c r="P14" t="s">
        <v>1100</v>
      </c>
    </row>
    <row r="15" spans="1:16" x14ac:dyDescent="0.25">
      <c r="A15" t="s">
        <v>50</v>
      </c>
      <c r="B15">
        <v>3</v>
      </c>
      <c r="C15" s="17" t="s">
        <v>2</v>
      </c>
      <c r="D15" s="17" t="s">
        <v>13</v>
      </c>
      <c r="E15" s="17" t="s">
        <v>32</v>
      </c>
      <c r="F15">
        <v>7</v>
      </c>
      <c r="G15">
        <v>1295000</v>
      </c>
      <c r="H15">
        <v>0</v>
      </c>
      <c r="I15" s="17" t="s">
        <v>1093</v>
      </c>
      <c r="J15">
        <v>1295000</v>
      </c>
      <c r="K15">
        <v>1295000</v>
      </c>
      <c r="L15" s="17" t="s">
        <v>51</v>
      </c>
      <c r="M15" s="1">
        <v>46148</v>
      </c>
      <c r="N15" s="17" t="s">
        <v>33</v>
      </c>
      <c r="O15" t="s">
        <v>1099</v>
      </c>
      <c r="P15" t="s">
        <v>1100</v>
      </c>
    </row>
    <row r="16" spans="1:16" x14ac:dyDescent="0.25">
      <c r="A16" t="s">
        <v>50</v>
      </c>
      <c r="B16">
        <v>3</v>
      </c>
      <c r="C16" s="17" t="s">
        <v>25</v>
      </c>
      <c r="D16" s="17" t="s">
        <v>13</v>
      </c>
      <c r="E16" s="17" t="s">
        <v>18</v>
      </c>
      <c r="F16">
        <v>9</v>
      </c>
      <c r="G16">
        <v>1665000</v>
      </c>
      <c r="H16">
        <v>10000</v>
      </c>
      <c r="I16" s="17" t="s">
        <v>1097</v>
      </c>
      <c r="J16">
        <v>1655000</v>
      </c>
      <c r="K16">
        <v>1655000</v>
      </c>
      <c r="L16" s="17" t="s">
        <v>532</v>
      </c>
      <c r="M16" s="1">
        <v>46246</v>
      </c>
      <c r="N16" s="17" t="s">
        <v>33</v>
      </c>
      <c r="O16" t="s">
        <v>1099</v>
      </c>
      <c r="P16" t="s">
        <v>1100</v>
      </c>
    </row>
    <row r="17" spans="1:16" x14ac:dyDescent="0.25">
      <c r="A17" t="s">
        <v>50</v>
      </c>
      <c r="B17">
        <v>3</v>
      </c>
      <c r="C17" s="17" t="s">
        <v>2</v>
      </c>
      <c r="D17" s="17" t="s">
        <v>17</v>
      </c>
      <c r="E17" s="17" t="s">
        <v>30</v>
      </c>
      <c r="F17">
        <v>10</v>
      </c>
      <c r="G17">
        <v>1850000</v>
      </c>
      <c r="H17">
        <v>0</v>
      </c>
      <c r="I17" s="17" t="s">
        <v>1063</v>
      </c>
      <c r="J17">
        <v>1850000</v>
      </c>
      <c r="K17">
        <v>1850000</v>
      </c>
      <c r="L17" s="17" t="s">
        <v>220</v>
      </c>
      <c r="M17" s="1">
        <v>46189</v>
      </c>
      <c r="N17" s="17" t="s">
        <v>20</v>
      </c>
      <c r="O17" t="s">
        <v>1099</v>
      </c>
      <c r="P17" t="s">
        <v>1100</v>
      </c>
    </row>
    <row r="18" spans="1:16" x14ac:dyDescent="0.25">
      <c r="A18" t="s">
        <v>55</v>
      </c>
      <c r="B18">
        <v>3</v>
      </c>
      <c r="C18" s="17" t="s">
        <v>7</v>
      </c>
      <c r="D18" s="17" t="s">
        <v>3</v>
      </c>
      <c r="E18" s="17" t="s">
        <v>4</v>
      </c>
      <c r="F18">
        <v>6</v>
      </c>
      <c r="G18">
        <v>1500000</v>
      </c>
      <c r="H18">
        <v>0</v>
      </c>
      <c r="I18" s="17" t="s">
        <v>1082</v>
      </c>
      <c r="J18">
        <v>1500000</v>
      </c>
      <c r="K18">
        <v>1500000</v>
      </c>
      <c r="L18" s="17" t="s">
        <v>56</v>
      </c>
      <c r="M18" s="1">
        <v>46225</v>
      </c>
      <c r="N18" s="17" t="s">
        <v>5</v>
      </c>
      <c r="O18" t="s">
        <v>1099</v>
      </c>
      <c r="P18" t="s">
        <v>1100</v>
      </c>
    </row>
    <row r="19" spans="1:16" x14ac:dyDescent="0.25">
      <c r="A19" t="s">
        <v>55</v>
      </c>
      <c r="B19">
        <v>3</v>
      </c>
      <c r="C19" s="17" t="s">
        <v>12</v>
      </c>
      <c r="D19" s="17" t="s">
        <v>13</v>
      </c>
      <c r="E19" s="17" t="s">
        <v>18</v>
      </c>
      <c r="F19">
        <v>7</v>
      </c>
      <c r="G19">
        <v>315000</v>
      </c>
      <c r="H19">
        <v>15000</v>
      </c>
      <c r="I19" s="17" t="s">
        <v>1069</v>
      </c>
      <c r="J19">
        <v>300000</v>
      </c>
      <c r="K19">
        <v>300000</v>
      </c>
      <c r="L19" s="17" t="s">
        <v>276</v>
      </c>
      <c r="M19" s="1">
        <v>46155</v>
      </c>
      <c r="N19" s="17" t="s">
        <v>5</v>
      </c>
      <c r="O19" t="s">
        <v>1099</v>
      </c>
      <c r="P19" t="s">
        <v>1100</v>
      </c>
    </row>
    <row r="20" spans="1:16" x14ac:dyDescent="0.25">
      <c r="A20" t="s">
        <v>55</v>
      </c>
      <c r="B20">
        <v>3</v>
      </c>
      <c r="C20" s="17" t="s">
        <v>12</v>
      </c>
      <c r="D20" s="17" t="s">
        <v>27</v>
      </c>
      <c r="E20" s="17" t="s">
        <v>30</v>
      </c>
      <c r="F20">
        <v>6</v>
      </c>
      <c r="G20">
        <v>450000</v>
      </c>
      <c r="H20">
        <v>0</v>
      </c>
      <c r="I20" s="17" t="s">
        <v>1059</v>
      </c>
      <c r="J20">
        <v>450000</v>
      </c>
      <c r="K20">
        <v>450000</v>
      </c>
      <c r="L20" s="17" t="s">
        <v>297</v>
      </c>
      <c r="M20" s="1">
        <v>46065</v>
      </c>
      <c r="N20" s="17" t="s">
        <v>20</v>
      </c>
      <c r="O20" t="s">
        <v>1099</v>
      </c>
      <c r="P20" t="s">
        <v>1100</v>
      </c>
    </row>
    <row r="21" spans="1:16" x14ac:dyDescent="0.25">
      <c r="A21" t="s">
        <v>57</v>
      </c>
      <c r="B21">
        <v>2</v>
      </c>
      <c r="C21" s="17" t="s">
        <v>2</v>
      </c>
      <c r="D21" s="17" t="s">
        <v>27</v>
      </c>
      <c r="E21" s="17" t="s">
        <v>18</v>
      </c>
      <c r="F21">
        <v>2</v>
      </c>
      <c r="G21">
        <v>240000</v>
      </c>
      <c r="H21">
        <v>10000</v>
      </c>
      <c r="I21" s="17" t="s">
        <v>1095</v>
      </c>
      <c r="J21">
        <v>230000</v>
      </c>
      <c r="K21">
        <v>230000</v>
      </c>
      <c r="L21" s="17" t="s">
        <v>14</v>
      </c>
      <c r="M21" s="1">
        <v>46174</v>
      </c>
      <c r="N21" s="17" t="s">
        <v>5</v>
      </c>
      <c r="O21" t="s">
        <v>1099</v>
      </c>
      <c r="P21" t="s">
        <v>1100</v>
      </c>
    </row>
    <row r="22" spans="1:16" x14ac:dyDescent="0.25">
      <c r="A22" t="s">
        <v>57</v>
      </c>
      <c r="B22">
        <v>2</v>
      </c>
      <c r="C22" s="17" t="s">
        <v>12</v>
      </c>
      <c r="D22" s="17" t="s">
        <v>17</v>
      </c>
      <c r="E22" s="17" t="s">
        <v>18</v>
      </c>
      <c r="F22">
        <v>2</v>
      </c>
      <c r="G22">
        <v>240000</v>
      </c>
      <c r="H22">
        <v>0</v>
      </c>
      <c r="I22" s="17" t="s">
        <v>1088</v>
      </c>
      <c r="J22">
        <v>240000</v>
      </c>
      <c r="K22">
        <v>240000</v>
      </c>
      <c r="L22" s="17" t="s">
        <v>354</v>
      </c>
      <c r="M22" s="1">
        <v>46027</v>
      </c>
      <c r="N22" s="17" t="s">
        <v>20</v>
      </c>
      <c r="O22" t="s">
        <v>1099</v>
      </c>
      <c r="P22" t="s">
        <v>1100</v>
      </c>
    </row>
    <row r="23" spans="1:16" x14ac:dyDescent="0.25">
      <c r="A23" t="s">
        <v>60</v>
      </c>
      <c r="B23">
        <v>2</v>
      </c>
      <c r="C23" s="17" t="s">
        <v>2</v>
      </c>
      <c r="D23" s="17" t="s">
        <v>27</v>
      </c>
      <c r="E23" s="17" t="s">
        <v>30</v>
      </c>
      <c r="F23">
        <v>1</v>
      </c>
      <c r="G23">
        <v>185000</v>
      </c>
      <c r="H23">
        <v>5000</v>
      </c>
      <c r="I23" s="17" t="s">
        <v>1077</v>
      </c>
      <c r="J23">
        <v>180000</v>
      </c>
      <c r="K23">
        <v>180000</v>
      </c>
      <c r="L23" s="17" t="s">
        <v>61</v>
      </c>
      <c r="M23" s="1">
        <v>46040</v>
      </c>
      <c r="N23" s="17" t="s">
        <v>20</v>
      </c>
      <c r="O23" t="s">
        <v>1099</v>
      </c>
      <c r="P23" t="s">
        <v>1100</v>
      </c>
    </row>
    <row r="24" spans="1:16" x14ac:dyDescent="0.25">
      <c r="A24" t="s">
        <v>60</v>
      </c>
      <c r="B24">
        <v>2</v>
      </c>
      <c r="C24" s="17" t="s">
        <v>12</v>
      </c>
      <c r="D24" s="17" t="s">
        <v>13</v>
      </c>
      <c r="E24" s="17" t="s">
        <v>18</v>
      </c>
      <c r="F24">
        <v>8</v>
      </c>
      <c r="G24">
        <v>1480000</v>
      </c>
      <c r="H24">
        <v>0</v>
      </c>
      <c r="I24" s="17" t="s">
        <v>1075</v>
      </c>
      <c r="J24">
        <v>1480000</v>
      </c>
      <c r="K24">
        <v>1480000</v>
      </c>
      <c r="L24" s="17" t="s">
        <v>113</v>
      </c>
      <c r="M24" s="1">
        <v>46116</v>
      </c>
      <c r="N24" s="17" t="s">
        <v>10</v>
      </c>
      <c r="O24" t="s">
        <v>1099</v>
      </c>
      <c r="P24" t="s">
        <v>1100</v>
      </c>
    </row>
    <row r="25" spans="1:16" x14ac:dyDescent="0.25">
      <c r="A25" t="s">
        <v>70</v>
      </c>
      <c r="B25">
        <v>1</v>
      </c>
      <c r="C25" s="17" t="s">
        <v>7</v>
      </c>
      <c r="D25" s="17" t="s">
        <v>8</v>
      </c>
      <c r="E25" s="17" t="s">
        <v>30</v>
      </c>
      <c r="F25">
        <v>7</v>
      </c>
      <c r="G25">
        <v>1750000</v>
      </c>
      <c r="H25">
        <v>0</v>
      </c>
      <c r="I25" s="17" t="s">
        <v>1092</v>
      </c>
      <c r="J25">
        <v>1750000</v>
      </c>
      <c r="K25">
        <v>1750000</v>
      </c>
      <c r="L25" s="17" t="s">
        <v>22</v>
      </c>
      <c r="M25" s="1"/>
      <c r="N25" s="17" t="s">
        <v>10</v>
      </c>
      <c r="O25" t="s">
        <v>1099</v>
      </c>
      <c r="P25" t="s">
        <v>1102</v>
      </c>
    </row>
    <row r="26" spans="1:16" x14ac:dyDescent="0.25">
      <c r="A26" t="s">
        <v>72</v>
      </c>
      <c r="B26">
        <v>3</v>
      </c>
      <c r="C26" s="17" t="s">
        <v>2</v>
      </c>
      <c r="D26" s="17" t="s">
        <v>29</v>
      </c>
      <c r="E26" s="17" t="s">
        <v>9</v>
      </c>
      <c r="F26">
        <v>2</v>
      </c>
      <c r="G26">
        <v>150000</v>
      </c>
      <c r="H26">
        <v>0</v>
      </c>
      <c r="I26" s="17" t="s">
        <v>1065</v>
      </c>
      <c r="J26">
        <v>150000</v>
      </c>
      <c r="K26">
        <v>150000</v>
      </c>
      <c r="L26" s="17" t="s">
        <v>73</v>
      </c>
      <c r="M26" s="1">
        <v>46220</v>
      </c>
      <c r="N26" s="17" t="s">
        <v>10</v>
      </c>
      <c r="O26" t="s">
        <v>1099</v>
      </c>
      <c r="P26" t="s">
        <v>1100</v>
      </c>
    </row>
    <row r="27" spans="1:16" x14ac:dyDescent="0.25">
      <c r="A27" t="s">
        <v>72</v>
      </c>
      <c r="B27">
        <v>3</v>
      </c>
      <c r="C27" s="17" t="s">
        <v>7</v>
      </c>
      <c r="D27" s="17" t="s">
        <v>17</v>
      </c>
      <c r="E27" s="17" t="s">
        <v>9</v>
      </c>
      <c r="F27">
        <v>1</v>
      </c>
      <c r="G27">
        <v>75000</v>
      </c>
      <c r="H27">
        <v>0</v>
      </c>
      <c r="I27" s="17" t="s">
        <v>1064</v>
      </c>
      <c r="J27">
        <v>75000</v>
      </c>
      <c r="K27">
        <v>75000</v>
      </c>
      <c r="L27" s="17" t="s">
        <v>115</v>
      </c>
      <c r="M27" s="1">
        <v>46036</v>
      </c>
      <c r="N27" s="17" t="s">
        <v>33</v>
      </c>
      <c r="O27" t="s">
        <v>1099</v>
      </c>
      <c r="P27" t="s">
        <v>1100</v>
      </c>
    </row>
    <row r="28" spans="1:16" x14ac:dyDescent="0.25">
      <c r="A28" t="s">
        <v>72</v>
      </c>
      <c r="B28">
        <v>3</v>
      </c>
      <c r="C28" s="17" t="s">
        <v>12</v>
      </c>
      <c r="D28" s="17" t="s">
        <v>27</v>
      </c>
      <c r="E28" s="17" t="s">
        <v>4</v>
      </c>
      <c r="F28">
        <v>6</v>
      </c>
      <c r="G28">
        <v>270000</v>
      </c>
      <c r="H28">
        <v>0</v>
      </c>
      <c r="I28" s="17" t="s">
        <v>1068</v>
      </c>
      <c r="J28">
        <v>270000</v>
      </c>
      <c r="K28">
        <v>270000</v>
      </c>
      <c r="L28" s="17" t="s">
        <v>545</v>
      </c>
      <c r="M28" s="1">
        <v>46092</v>
      </c>
      <c r="N28" s="17" t="s">
        <v>5</v>
      </c>
      <c r="O28" t="s">
        <v>1099</v>
      </c>
      <c r="P28" t="s">
        <v>1100</v>
      </c>
    </row>
    <row r="29" spans="1:16" x14ac:dyDescent="0.25">
      <c r="A29" t="s">
        <v>79</v>
      </c>
      <c r="B29">
        <v>2</v>
      </c>
      <c r="C29" s="17" t="s">
        <v>2</v>
      </c>
      <c r="D29" s="17" t="s">
        <v>3</v>
      </c>
      <c r="E29" s="17" t="s">
        <v>30</v>
      </c>
      <c r="F29">
        <v>1</v>
      </c>
      <c r="G29">
        <v>75000</v>
      </c>
      <c r="H29">
        <v>0</v>
      </c>
      <c r="I29" s="17" t="s">
        <v>1064</v>
      </c>
      <c r="J29">
        <v>75000</v>
      </c>
      <c r="K29">
        <v>75000</v>
      </c>
      <c r="L29" s="17" t="s">
        <v>80</v>
      </c>
      <c r="M29" s="1">
        <v>46076</v>
      </c>
      <c r="N29" s="17" t="s">
        <v>5</v>
      </c>
      <c r="O29" t="s">
        <v>1099</v>
      </c>
      <c r="P29" t="s">
        <v>1100</v>
      </c>
    </row>
    <row r="30" spans="1:16" x14ac:dyDescent="0.25">
      <c r="A30" t="s">
        <v>79</v>
      </c>
      <c r="B30">
        <v>2</v>
      </c>
      <c r="C30" s="17" t="s">
        <v>12</v>
      </c>
      <c r="D30" s="17" t="s">
        <v>13</v>
      </c>
      <c r="E30" s="17" t="s">
        <v>32</v>
      </c>
      <c r="F30">
        <v>7</v>
      </c>
      <c r="G30">
        <v>1750000</v>
      </c>
      <c r="H30">
        <v>0</v>
      </c>
      <c r="I30" s="17" t="s">
        <v>1092</v>
      </c>
      <c r="J30">
        <v>1750000</v>
      </c>
      <c r="K30">
        <v>1750000</v>
      </c>
      <c r="L30" s="17" t="s">
        <v>391</v>
      </c>
      <c r="M30" s="1">
        <v>46235</v>
      </c>
      <c r="N30" s="17" t="s">
        <v>5</v>
      </c>
      <c r="O30" t="s">
        <v>1099</v>
      </c>
      <c r="P30" t="s">
        <v>1100</v>
      </c>
    </row>
    <row r="31" spans="1:16" x14ac:dyDescent="0.25">
      <c r="A31" t="s">
        <v>82</v>
      </c>
      <c r="B31">
        <v>2</v>
      </c>
      <c r="C31" s="17" t="s">
        <v>12</v>
      </c>
      <c r="D31" s="17" t="s">
        <v>8</v>
      </c>
      <c r="E31" s="17" t="s">
        <v>9</v>
      </c>
      <c r="F31">
        <v>1</v>
      </c>
      <c r="G31">
        <v>185000</v>
      </c>
      <c r="H31">
        <v>0</v>
      </c>
      <c r="I31" s="17" t="s">
        <v>1067</v>
      </c>
      <c r="J31">
        <v>185000</v>
      </c>
      <c r="K31">
        <v>185000</v>
      </c>
      <c r="L31" s="17" t="s">
        <v>22</v>
      </c>
      <c r="M31" s="1"/>
      <c r="N31" s="17" t="s">
        <v>20</v>
      </c>
      <c r="O31" t="s">
        <v>1099</v>
      </c>
      <c r="P31" t="s">
        <v>1103</v>
      </c>
    </row>
    <row r="32" spans="1:16" x14ac:dyDescent="0.25">
      <c r="A32" t="s">
        <v>82</v>
      </c>
      <c r="B32">
        <v>2</v>
      </c>
      <c r="C32" s="17" t="s">
        <v>25</v>
      </c>
      <c r="D32" s="17" t="s">
        <v>17</v>
      </c>
      <c r="E32" s="17" t="s">
        <v>9</v>
      </c>
      <c r="F32">
        <v>2</v>
      </c>
      <c r="G32">
        <v>150000</v>
      </c>
      <c r="H32">
        <v>0</v>
      </c>
      <c r="I32" s="17" t="s">
        <v>1065</v>
      </c>
      <c r="J32">
        <v>150000</v>
      </c>
      <c r="K32">
        <v>150000</v>
      </c>
      <c r="L32" s="17" t="s">
        <v>412</v>
      </c>
      <c r="M32" s="1">
        <v>46041</v>
      </c>
      <c r="N32" s="17" t="s">
        <v>20</v>
      </c>
      <c r="O32" t="s">
        <v>1099</v>
      </c>
      <c r="P32" t="s">
        <v>1100</v>
      </c>
    </row>
    <row r="33" spans="1:16" x14ac:dyDescent="0.25">
      <c r="A33" t="s">
        <v>83</v>
      </c>
      <c r="B33">
        <v>2</v>
      </c>
      <c r="C33" s="17" t="s">
        <v>7</v>
      </c>
      <c r="D33" s="17" t="s">
        <v>8</v>
      </c>
      <c r="E33" s="17" t="s">
        <v>18</v>
      </c>
      <c r="F33">
        <v>8</v>
      </c>
      <c r="G33">
        <v>2000000</v>
      </c>
      <c r="H33">
        <v>0</v>
      </c>
      <c r="I33" s="17" t="s">
        <v>1078</v>
      </c>
      <c r="J33">
        <v>2000000</v>
      </c>
      <c r="K33">
        <v>2000000</v>
      </c>
      <c r="L33" s="17" t="s">
        <v>84</v>
      </c>
      <c r="M33" s="1">
        <v>46063</v>
      </c>
      <c r="N33" s="17" t="s">
        <v>5</v>
      </c>
      <c r="O33" t="s">
        <v>1099</v>
      </c>
      <c r="P33" t="s">
        <v>1100</v>
      </c>
    </row>
    <row r="34" spans="1:16" x14ac:dyDescent="0.25">
      <c r="A34" t="s">
        <v>83</v>
      </c>
      <c r="B34">
        <v>2</v>
      </c>
      <c r="C34" s="17" t="s">
        <v>2</v>
      </c>
      <c r="D34" s="17" t="s">
        <v>17</v>
      </c>
      <c r="E34" s="17" t="s">
        <v>30</v>
      </c>
      <c r="F34">
        <v>9</v>
      </c>
      <c r="G34">
        <v>405000</v>
      </c>
      <c r="H34">
        <v>15000</v>
      </c>
      <c r="I34" s="17" t="s">
        <v>1096</v>
      </c>
      <c r="J34">
        <v>390000</v>
      </c>
      <c r="K34">
        <v>390000</v>
      </c>
      <c r="L34" s="17" t="s">
        <v>119</v>
      </c>
      <c r="M34" s="1">
        <v>46126</v>
      </c>
      <c r="N34" s="17" t="s">
        <v>10</v>
      </c>
      <c r="O34" t="s">
        <v>1099</v>
      </c>
      <c r="P34" t="s">
        <v>1100</v>
      </c>
    </row>
    <row r="35" spans="1:16" x14ac:dyDescent="0.25">
      <c r="A35" t="s">
        <v>88</v>
      </c>
      <c r="B35">
        <v>1</v>
      </c>
      <c r="C35" s="17" t="s">
        <v>25</v>
      </c>
      <c r="D35" s="17" t="s">
        <v>17</v>
      </c>
      <c r="E35" s="17" t="s">
        <v>32</v>
      </c>
      <c r="F35">
        <v>6</v>
      </c>
      <c r="G35">
        <v>450000</v>
      </c>
      <c r="H35">
        <v>0</v>
      </c>
      <c r="I35" s="17" t="s">
        <v>1059</v>
      </c>
      <c r="J35">
        <v>450000</v>
      </c>
      <c r="K35">
        <v>450000</v>
      </c>
      <c r="L35" s="17" t="s">
        <v>22</v>
      </c>
      <c r="M35" s="1"/>
      <c r="N35" s="17" t="s">
        <v>33</v>
      </c>
      <c r="O35" t="s">
        <v>1099</v>
      </c>
      <c r="P35" t="s">
        <v>1102</v>
      </c>
    </row>
    <row r="36" spans="1:16" x14ac:dyDescent="0.25">
      <c r="A36" t="s">
        <v>91</v>
      </c>
      <c r="B36">
        <v>1</v>
      </c>
      <c r="C36" s="17" t="s">
        <v>25</v>
      </c>
      <c r="D36" s="17" t="s">
        <v>29</v>
      </c>
      <c r="E36" s="17" t="s">
        <v>18</v>
      </c>
      <c r="F36">
        <v>4</v>
      </c>
      <c r="G36">
        <v>180000</v>
      </c>
      <c r="H36">
        <v>0</v>
      </c>
      <c r="I36" s="17" t="s">
        <v>92</v>
      </c>
      <c r="L36" s="17" t="s">
        <v>93</v>
      </c>
      <c r="M36" s="1">
        <v>46124</v>
      </c>
      <c r="N36" s="17" t="s">
        <v>10</v>
      </c>
      <c r="O36" t="s">
        <v>1099</v>
      </c>
      <c r="P36" t="s">
        <v>1105</v>
      </c>
    </row>
    <row r="37" spans="1:16" x14ac:dyDescent="0.25">
      <c r="A37" t="s">
        <v>99</v>
      </c>
      <c r="B37">
        <v>1</v>
      </c>
      <c r="C37" s="17" t="s">
        <v>2</v>
      </c>
      <c r="D37" s="17" t="s">
        <v>3</v>
      </c>
      <c r="E37" s="17" t="s">
        <v>4</v>
      </c>
      <c r="F37">
        <v>4</v>
      </c>
      <c r="G37">
        <v>740000</v>
      </c>
      <c r="H37">
        <v>0</v>
      </c>
      <c r="I37" s="17" t="s">
        <v>1076</v>
      </c>
      <c r="J37">
        <v>740000</v>
      </c>
      <c r="K37">
        <v>740000</v>
      </c>
      <c r="L37" s="17" t="s">
        <v>22</v>
      </c>
      <c r="M37" s="1"/>
      <c r="N37" s="17" t="s">
        <v>20</v>
      </c>
      <c r="O37" t="s">
        <v>1099</v>
      </c>
      <c r="P37" t="s">
        <v>1102</v>
      </c>
    </row>
    <row r="38" spans="1:16" x14ac:dyDescent="0.25">
      <c r="A38" t="s">
        <v>101</v>
      </c>
      <c r="B38">
        <v>1</v>
      </c>
      <c r="C38" s="17" t="s">
        <v>25</v>
      </c>
      <c r="D38" s="17" t="s">
        <v>27</v>
      </c>
      <c r="E38" s="17" t="s">
        <v>9</v>
      </c>
      <c r="F38">
        <v>9</v>
      </c>
      <c r="G38">
        <v>2250000</v>
      </c>
      <c r="H38">
        <v>0</v>
      </c>
      <c r="I38" s="17" t="s">
        <v>1083</v>
      </c>
      <c r="J38">
        <v>2250000</v>
      </c>
      <c r="K38">
        <v>2250000</v>
      </c>
      <c r="L38" s="17" t="s">
        <v>22</v>
      </c>
      <c r="M38" s="1"/>
      <c r="N38" s="17" t="s">
        <v>10</v>
      </c>
      <c r="O38" t="s">
        <v>1099</v>
      </c>
      <c r="P38" t="s">
        <v>1102</v>
      </c>
    </row>
    <row r="39" spans="1:16" x14ac:dyDescent="0.25">
      <c r="A39" t="s">
        <v>103</v>
      </c>
      <c r="B39">
        <v>1</v>
      </c>
      <c r="C39" s="17" t="s">
        <v>25</v>
      </c>
      <c r="D39" s="17" t="s">
        <v>27</v>
      </c>
      <c r="E39" s="17" t="s">
        <v>32</v>
      </c>
      <c r="F39">
        <v>7</v>
      </c>
      <c r="G39">
        <v>840000</v>
      </c>
      <c r="H39">
        <v>0</v>
      </c>
      <c r="I39" s="17" t="s">
        <v>1087</v>
      </c>
      <c r="J39">
        <v>840000</v>
      </c>
      <c r="K39">
        <v>840000</v>
      </c>
      <c r="L39" s="17" t="s">
        <v>22</v>
      </c>
      <c r="M39" s="1"/>
      <c r="N39" s="17" t="s">
        <v>5</v>
      </c>
      <c r="O39" t="s">
        <v>1099</v>
      </c>
      <c r="P39" t="s">
        <v>1102</v>
      </c>
    </row>
    <row r="40" spans="1:16" x14ac:dyDescent="0.25">
      <c r="A40" t="s">
        <v>151</v>
      </c>
      <c r="B40">
        <v>1</v>
      </c>
      <c r="C40" s="17" t="s">
        <v>12</v>
      </c>
      <c r="D40" s="17" t="s">
        <v>8</v>
      </c>
      <c r="E40" s="17" t="s">
        <v>30</v>
      </c>
      <c r="F40">
        <v>2</v>
      </c>
      <c r="G40">
        <v>240000</v>
      </c>
      <c r="H40">
        <v>0</v>
      </c>
      <c r="I40" s="17" t="s">
        <v>92</v>
      </c>
      <c r="L40" s="17" t="s">
        <v>152</v>
      </c>
      <c r="M40" s="1">
        <v>46123</v>
      </c>
      <c r="N40" s="17" t="s">
        <v>20</v>
      </c>
      <c r="O40" t="s">
        <v>1099</v>
      </c>
      <c r="P40" t="s">
        <v>1105</v>
      </c>
    </row>
    <row r="41" spans="1:16" x14ac:dyDescent="0.25">
      <c r="A41" t="s">
        <v>159</v>
      </c>
      <c r="B41">
        <v>1</v>
      </c>
      <c r="C41" s="17" t="s">
        <v>25</v>
      </c>
      <c r="D41" s="17" t="s">
        <v>29</v>
      </c>
      <c r="E41" s="17" t="s">
        <v>4</v>
      </c>
      <c r="F41">
        <v>1</v>
      </c>
      <c r="G41">
        <v>45000</v>
      </c>
      <c r="H41">
        <v>0</v>
      </c>
      <c r="I41" s="17" t="s">
        <v>1062</v>
      </c>
      <c r="J41">
        <v>45000</v>
      </c>
      <c r="K41">
        <v>45000</v>
      </c>
      <c r="L41" s="17" t="s">
        <v>22</v>
      </c>
      <c r="M41" s="1"/>
      <c r="N41" s="17" t="s">
        <v>33</v>
      </c>
      <c r="O41" t="s">
        <v>1099</v>
      </c>
      <c r="P41" t="s">
        <v>1102</v>
      </c>
    </row>
    <row r="42" spans="1:16" x14ac:dyDescent="0.25">
      <c r="A42" t="s">
        <v>163</v>
      </c>
      <c r="B42">
        <v>1</v>
      </c>
      <c r="C42" s="17" t="s">
        <v>25</v>
      </c>
      <c r="D42" s="17" t="s">
        <v>27</v>
      </c>
      <c r="E42" s="17" t="s">
        <v>30</v>
      </c>
      <c r="F42">
        <v>7</v>
      </c>
      <c r="G42">
        <v>525000</v>
      </c>
      <c r="H42">
        <v>0</v>
      </c>
      <c r="I42" s="17" t="s">
        <v>1120</v>
      </c>
      <c r="J42">
        <v>-525000</v>
      </c>
      <c r="K42">
        <v>525000</v>
      </c>
      <c r="L42" s="17" t="s">
        <v>1121</v>
      </c>
      <c r="M42" s="1">
        <v>46185</v>
      </c>
      <c r="N42" s="17" t="s">
        <v>5</v>
      </c>
      <c r="O42" t="s">
        <v>1099</v>
      </c>
      <c r="P42" t="s">
        <v>1105</v>
      </c>
    </row>
    <row r="43" spans="1:16" x14ac:dyDescent="0.25">
      <c r="B43">
        <v>7</v>
      </c>
      <c r="C43" s="17" t="s">
        <v>2</v>
      </c>
      <c r="D43" s="17" t="s">
        <v>13</v>
      </c>
      <c r="E43" s="17" t="s">
        <v>4</v>
      </c>
      <c r="F43">
        <v>3</v>
      </c>
      <c r="G43">
        <v>360000</v>
      </c>
      <c r="H43">
        <v>0</v>
      </c>
      <c r="I43" s="17" t="s">
        <v>1056</v>
      </c>
      <c r="J43">
        <v>360000</v>
      </c>
      <c r="K43">
        <v>360000</v>
      </c>
      <c r="L43" s="17" t="s">
        <v>76</v>
      </c>
      <c r="M43" s="1">
        <v>46039</v>
      </c>
      <c r="N43" s="17" t="s">
        <v>10</v>
      </c>
      <c r="O43" t="s">
        <v>1099</v>
      </c>
      <c r="P43" t="s">
        <v>1100</v>
      </c>
    </row>
    <row r="44" spans="1:16" x14ac:dyDescent="0.25">
      <c r="B44">
        <v>7</v>
      </c>
      <c r="C44" s="17" t="s">
        <v>25</v>
      </c>
      <c r="D44" s="17" t="s">
        <v>8</v>
      </c>
      <c r="E44" s="17" t="s">
        <v>32</v>
      </c>
      <c r="F44">
        <v>9</v>
      </c>
      <c r="G44">
        <v>405000</v>
      </c>
      <c r="H44">
        <v>0</v>
      </c>
      <c r="I44" s="17" t="s">
        <v>1060</v>
      </c>
      <c r="J44">
        <v>405000</v>
      </c>
      <c r="K44">
        <v>405000</v>
      </c>
      <c r="L44" s="17" t="s">
        <v>238</v>
      </c>
      <c r="M44" s="1">
        <v>46224</v>
      </c>
      <c r="N44" s="17" t="s">
        <v>10</v>
      </c>
      <c r="O44" t="s">
        <v>1099</v>
      </c>
      <c r="P44" t="s">
        <v>1100</v>
      </c>
    </row>
    <row r="45" spans="1:16" x14ac:dyDescent="0.25">
      <c r="B45">
        <v>7</v>
      </c>
      <c r="C45" s="17" t="s">
        <v>12</v>
      </c>
      <c r="D45" s="17" t="s">
        <v>29</v>
      </c>
      <c r="E45" s="17" t="s">
        <v>18</v>
      </c>
      <c r="F45">
        <v>9</v>
      </c>
      <c r="G45">
        <v>675000</v>
      </c>
      <c r="H45">
        <v>0</v>
      </c>
      <c r="I45" s="17" t="s">
        <v>1079</v>
      </c>
      <c r="J45">
        <v>675000</v>
      </c>
      <c r="K45">
        <v>675000</v>
      </c>
      <c r="L45" s="17" t="s">
        <v>300</v>
      </c>
      <c r="M45" s="1">
        <v>46190</v>
      </c>
      <c r="N45" s="17" t="s">
        <v>33</v>
      </c>
      <c r="O45" t="s">
        <v>1099</v>
      </c>
      <c r="P45" t="s">
        <v>1100</v>
      </c>
    </row>
    <row r="46" spans="1:16" x14ac:dyDescent="0.25">
      <c r="B46">
        <v>7</v>
      </c>
      <c r="C46" s="17" t="s">
        <v>2</v>
      </c>
      <c r="D46" s="17" t="s">
        <v>8</v>
      </c>
      <c r="E46" s="17" t="s">
        <v>18</v>
      </c>
      <c r="F46">
        <v>2</v>
      </c>
      <c r="G46">
        <v>500000</v>
      </c>
      <c r="H46">
        <v>10000</v>
      </c>
      <c r="I46" s="17" t="s">
        <v>1106</v>
      </c>
      <c r="J46">
        <v>490000</v>
      </c>
      <c r="K46">
        <v>490000</v>
      </c>
      <c r="L46" s="17" t="s">
        <v>312</v>
      </c>
      <c r="M46" s="1">
        <v>46136</v>
      </c>
      <c r="N46" s="17" t="s">
        <v>33</v>
      </c>
      <c r="O46" t="s">
        <v>1099</v>
      </c>
      <c r="P46" t="s">
        <v>1100</v>
      </c>
    </row>
    <row r="47" spans="1:16" x14ac:dyDescent="0.25">
      <c r="B47">
        <v>7</v>
      </c>
      <c r="C47" s="17" t="s">
        <v>7</v>
      </c>
      <c r="D47" s="17" t="s">
        <v>8</v>
      </c>
      <c r="E47" s="17" t="s">
        <v>9</v>
      </c>
      <c r="F47">
        <v>5</v>
      </c>
      <c r="G47">
        <v>375000</v>
      </c>
      <c r="H47">
        <v>0</v>
      </c>
      <c r="I47" s="17" t="s">
        <v>1061</v>
      </c>
      <c r="J47">
        <v>375000</v>
      </c>
      <c r="K47">
        <v>375000</v>
      </c>
      <c r="L47" s="17" t="s">
        <v>261</v>
      </c>
      <c r="M47" s="1">
        <v>46117</v>
      </c>
      <c r="N47" s="17" t="s">
        <v>33</v>
      </c>
      <c r="O47" t="s">
        <v>1099</v>
      </c>
      <c r="P47" t="s">
        <v>1100</v>
      </c>
    </row>
    <row r="48" spans="1:16" x14ac:dyDescent="0.25">
      <c r="B48">
        <v>7</v>
      </c>
      <c r="C48" s="17" t="s">
        <v>7</v>
      </c>
      <c r="D48" s="17" t="s">
        <v>13</v>
      </c>
      <c r="E48" s="17" t="s">
        <v>4</v>
      </c>
      <c r="F48">
        <v>4</v>
      </c>
      <c r="G48">
        <v>740000</v>
      </c>
      <c r="H48">
        <v>0</v>
      </c>
      <c r="I48" s="17" t="s">
        <v>1076</v>
      </c>
      <c r="J48">
        <v>740000</v>
      </c>
      <c r="K48">
        <v>740000</v>
      </c>
      <c r="L48" s="17" t="s">
        <v>464</v>
      </c>
      <c r="M48" s="1">
        <v>46157</v>
      </c>
      <c r="N48" s="17" t="s">
        <v>10</v>
      </c>
      <c r="O48" t="s">
        <v>1099</v>
      </c>
      <c r="P48" t="s">
        <v>1100</v>
      </c>
    </row>
    <row r="49" spans="1:16" x14ac:dyDescent="0.25">
      <c r="B49">
        <v>7</v>
      </c>
      <c r="C49" s="17" t="s">
        <v>25</v>
      </c>
      <c r="D49" s="17" t="s">
        <v>17</v>
      </c>
      <c r="E49" s="17" t="s">
        <v>9</v>
      </c>
      <c r="F49">
        <v>9</v>
      </c>
      <c r="G49">
        <v>1665000</v>
      </c>
      <c r="H49">
        <v>0</v>
      </c>
      <c r="I49" s="17" t="s">
        <v>92</v>
      </c>
      <c r="L49" s="17" t="s">
        <v>271</v>
      </c>
      <c r="M49" s="1">
        <v>46024</v>
      </c>
      <c r="N49" s="17" t="s">
        <v>5</v>
      </c>
      <c r="O49" t="s">
        <v>1099</v>
      </c>
      <c r="P49" t="s">
        <v>1107</v>
      </c>
    </row>
    <row r="50" spans="1:16" x14ac:dyDescent="0.25">
      <c r="A50" t="s">
        <v>189</v>
      </c>
      <c r="B50">
        <v>1</v>
      </c>
      <c r="C50" s="17" t="s">
        <v>7</v>
      </c>
      <c r="D50" s="17" t="s">
        <v>3</v>
      </c>
      <c r="E50" s="17" t="s">
        <v>9</v>
      </c>
      <c r="F50">
        <v>9</v>
      </c>
      <c r="G50">
        <v>1665000</v>
      </c>
      <c r="H50">
        <v>0</v>
      </c>
      <c r="I50" s="17" t="s">
        <v>1080</v>
      </c>
      <c r="J50">
        <v>1665000</v>
      </c>
      <c r="K50">
        <v>1665000</v>
      </c>
      <c r="L50" s="17" t="s">
        <v>22</v>
      </c>
      <c r="M50" s="1"/>
      <c r="N50" s="17" t="s">
        <v>5</v>
      </c>
      <c r="O50" t="s">
        <v>1099</v>
      </c>
      <c r="P50" t="s">
        <v>1102</v>
      </c>
    </row>
    <row r="51" spans="1:16" x14ac:dyDescent="0.25">
      <c r="A51" t="s">
        <v>192</v>
      </c>
      <c r="B51">
        <v>1</v>
      </c>
      <c r="C51" s="17" t="s">
        <v>25</v>
      </c>
      <c r="D51" s="17" t="s">
        <v>3</v>
      </c>
      <c r="E51" s="17" t="s">
        <v>32</v>
      </c>
      <c r="F51">
        <v>9</v>
      </c>
      <c r="G51">
        <v>1665000</v>
      </c>
      <c r="H51">
        <v>0</v>
      </c>
      <c r="I51" s="17" t="s">
        <v>1122</v>
      </c>
      <c r="J51">
        <v>-1665000</v>
      </c>
      <c r="K51">
        <v>1665000</v>
      </c>
      <c r="L51" s="17" t="s">
        <v>113</v>
      </c>
      <c r="M51" s="1">
        <v>46116</v>
      </c>
      <c r="N51" s="17" t="s">
        <v>5</v>
      </c>
      <c r="O51" t="s">
        <v>1099</v>
      </c>
      <c r="P51" t="s">
        <v>1105</v>
      </c>
    </row>
    <row r="52" spans="1:16" x14ac:dyDescent="0.25">
      <c r="A52" t="s">
        <v>206</v>
      </c>
      <c r="B52">
        <v>1</v>
      </c>
      <c r="C52" s="17" t="s">
        <v>25</v>
      </c>
      <c r="D52" s="17" t="s">
        <v>8</v>
      </c>
      <c r="E52" s="17" t="s">
        <v>4</v>
      </c>
      <c r="F52">
        <v>3</v>
      </c>
      <c r="G52">
        <v>225000</v>
      </c>
      <c r="H52">
        <v>0</v>
      </c>
      <c r="I52" s="17" t="s">
        <v>1071</v>
      </c>
      <c r="J52">
        <v>225000</v>
      </c>
      <c r="K52">
        <v>225000</v>
      </c>
      <c r="L52" s="17" t="s">
        <v>22</v>
      </c>
      <c r="M52" s="1"/>
      <c r="N52" s="17" t="s">
        <v>5</v>
      </c>
      <c r="O52" t="s">
        <v>1099</v>
      </c>
      <c r="P52" t="s">
        <v>1102</v>
      </c>
    </row>
    <row r="53" spans="1:16" x14ac:dyDescent="0.25">
      <c r="A53" t="s">
        <v>209</v>
      </c>
      <c r="B53">
        <v>1</v>
      </c>
      <c r="C53" s="17" t="s">
        <v>2</v>
      </c>
      <c r="D53" s="17" t="s">
        <v>27</v>
      </c>
      <c r="E53" s="17" t="s">
        <v>9</v>
      </c>
      <c r="F53">
        <v>2</v>
      </c>
      <c r="G53">
        <v>240000</v>
      </c>
      <c r="H53">
        <v>0</v>
      </c>
      <c r="I53" s="17" t="s">
        <v>1123</v>
      </c>
      <c r="J53">
        <v>-240000</v>
      </c>
      <c r="K53">
        <v>240000</v>
      </c>
      <c r="L53" s="17" t="s">
        <v>1124</v>
      </c>
      <c r="M53" s="1">
        <v>46103</v>
      </c>
      <c r="N53" s="17" t="s">
        <v>10</v>
      </c>
      <c r="O53" t="s">
        <v>1099</v>
      </c>
      <c r="P53" t="s">
        <v>1105</v>
      </c>
    </row>
    <row r="54" spans="1:16" x14ac:dyDescent="0.25">
      <c r="A54" t="s">
        <v>239</v>
      </c>
      <c r="B54">
        <v>1</v>
      </c>
      <c r="C54" s="17" t="s">
        <v>2</v>
      </c>
      <c r="D54" s="17" t="s">
        <v>8</v>
      </c>
      <c r="E54" s="17" t="s">
        <v>32</v>
      </c>
      <c r="F54">
        <v>4</v>
      </c>
      <c r="G54">
        <v>480000</v>
      </c>
      <c r="H54">
        <v>0</v>
      </c>
      <c r="I54" s="17" t="s">
        <v>1070</v>
      </c>
      <c r="J54">
        <v>480000</v>
      </c>
      <c r="K54">
        <v>480000</v>
      </c>
      <c r="L54" s="17" t="s">
        <v>22</v>
      </c>
      <c r="M54" s="1"/>
      <c r="N54" s="17" t="s">
        <v>33</v>
      </c>
      <c r="O54" t="s">
        <v>1099</v>
      </c>
      <c r="P54" t="s">
        <v>1102</v>
      </c>
    </row>
    <row r="55" spans="1:16" x14ac:dyDescent="0.25">
      <c r="A55" t="s">
        <v>240</v>
      </c>
      <c r="B55">
        <v>1</v>
      </c>
      <c r="C55" s="17" t="s">
        <v>2</v>
      </c>
      <c r="D55" s="17" t="s">
        <v>17</v>
      </c>
      <c r="E55" s="17" t="s">
        <v>30</v>
      </c>
      <c r="F55">
        <v>1</v>
      </c>
      <c r="G55">
        <v>45000</v>
      </c>
      <c r="H55">
        <v>0</v>
      </c>
      <c r="I55" s="17" t="s">
        <v>1125</v>
      </c>
      <c r="J55">
        <v>-45000</v>
      </c>
      <c r="K55">
        <v>45000</v>
      </c>
      <c r="L55" s="17" t="s">
        <v>1126</v>
      </c>
      <c r="M55" s="1">
        <v>46217</v>
      </c>
      <c r="N55" s="17" t="s">
        <v>33</v>
      </c>
      <c r="O55" t="s">
        <v>1099</v>
      </c>
      <c r="P55" t="s">
        <v>1105</v>
      </c>
    </row>
    <row r="56" spans="1:16" x14ac:dyDescent="0.25">
      <c r="A56" t="s">
        <v>246</v>
      </c>
      <c r="B56">
        <v>1</v>
      </c>
      <c r="C56" s="17" t="s">
        <v>7</v>
      </c>
      <c r="D56" s="17" t="s">
        <v>17</v>
      </c>
      <c r="E56" s="17" t="s">
        <v>9</v>
      </c>
      <c r="F56">
        <v>6</v>
      </c>
      <c r="G56">
        <v>720000</v>
      </c>
      <c r="H56">
        <v>0</v>
      </c>
      <c r="I56" s="17" t="s">
        <v>1089</v>
      </c>
      <c r="J56">
        <v>720000</v>
      </c>
      <c r="K56">
        <v>720000</v>
      </c>
      <c r="L56" s="17" t="s">
        <v>22</v>
      </c>
      <c r="M56" s="1"/>
      <c r="N56" s="17" t="s">
        <v>5</v>
      </c>
      <c r="O56" t="s">
        <v>1099</v>
      </c>
      <c r="P56" t="s">
        <v>1102</v>
      </c>
    </row>
    <row r="57" spans="1:16" x14ac:dyDescent="0.25">
      <c r="A57" t="s">
        <v>255</v>
      </c>
      <c r="B57">
        <v>1</v>
      </c>
      <c r="C57" s="17" t="s">
        <v>12</v>
      </c>
      <c r="D57" s="17" t="s">
        <v>8</v>
      </c>
      <c r="E57" s="17" t="s">
        <v>18</v>
      </c>
      <c r="F57">
        <v>7</v>
      </c>
      <c r="G57">
        <v>525000</v>
      </c>
      <c r="H57">
        <v>15000</v>
      </c>
      <c r="I57" s="17" t="s">
        <v>1058</v>
      </c>
      <c r="J57">
        <v>510000</v>
      </c>
      <c r="K57">
        <v>510000</v>
      </c>
      <c r="L57" s="17" t="s">
        <v>22</v>
      </c>
      <c r="M57" s="1"/>
      <c r="N57" s="17" t="s">
        <v>5</v>
      </c>
      <c r="O57" t="s">
        <v>1099</v>
      </c>
      <c r="P57" t="s">
        <v>1102</v>
      </c>
    </row>
    <row r="58" spans="1:16" x14ac:dyDescent="0.25">
      <c r="A58" t="s">
        <v>262</v>
      </c>
      <c r="B58">
        <v>1</v>
      </c>
      <c r="C58" s="17" t="s">
        <v>12</v>
      </c>
      <c r="D58" s="17" t="s">
        <v>13</v>
      </c>
      <c r="E58" s="17" t="s">
        <v>32</v>
      </c>
      <c r="F58">
        <v>8</v>
      </c>
      <c r="G58">
        <v>2000000</v>
      </c>
      <c r="H58">
        <v>0</v>
      </c>
      <c r="I58" s="17" t="s">
        <v>92</v>
      </c>
      <c r="L58" s="17" t="s">
        <v>263</v>
      </c>
      <c r="M58" s="1">
        <v>46155</v>
      </c>
      <c r="N58" s="17" t="s">
        <v>5</v>
      </c>
      <c r="O58" t="s">
        <v>1099</v>
      </c>
      <c r="P58" t="s">
        <v>1105</v>
      </c>
    </row>
    <row r="59" spans="1:16" x14ac:dyDescent="0.25">
      <c r="A59" t="s">
        <v>285</v>
      </c>
      <c r="B59">
        <v>1</v>
      </c>
      <c r="C59" s="17" t="s">
        <v>25</v>
      </c>
      <c r="D59" s="17" t="s">
        <v>3</v>
      </c>
      <c r="E59" s="17" t="s">
        <v>4</v>
      </c>
      <c r="F59">
        <v>1</v>
      </c>
      <c r="G59">
        <v>185000</v>
      </c>
      <c r="H59">
        <v>0</v>
      </c>
      <c r="I59" s="17" t="s">
        <v>1067</v>
      </c>
      <c r="J59">
        <v>185000</v>
      </c>
      <c r="K59">
        <v>185000</v>
      </c>
      <c r="L59" s="17" t="s">
        <v>22</v>
      </c>
      <c r="M59" s="1"/>
      <c r="N59" s="17" t="s">
        <v>10</v>
      </c>
      <c r="O59" t="s">
        <v>1099</v>
      </c>
      <c r="P59" t="s">
        <v>1102</v>
      </c>
    </row>
    <row r="60" spans="1:16" x14ac:dyDescent="0.25">
      <c r="A60" t="s">
        <v>290</v>
      </c>
      <c r="B60">
        <v>1</v>
      </c>
      <c r="C60" s="17" t="s">
        <v>12</v>
      </c>
      <c r="D60" s="17" t="s">
        <v>29</v>
      </c>
      <c r="E60" s="17" t="s">
        <v>32</v>
      </c>
      <c r="F60">
        <v>1</v>
      </c>
      <c r="G60">
        <v>75000</v>
      </c>
      <c r="H60">
        <v>0</v>
      </c>
      <c r="I60" s="17" t="s">
        <v>1064</v>
      </c>
      <c r="J60">
        <v>75000</v>
      </c>
      <c r="K60">
        <v>75000</v>
      </c>
      <c r="L60" s="17" t="s">
        <v>22</v>
      </c>
      <c r="M60" s="1"/>
      <c r="N60" s="17" t="s">
        <v>33</v>
      </c>
      <c r="O60" t="s">
        <v>1099</v>
      </c>
      <c r="P60" t="s">
        <v>1102</v>
      </c>
    </row>
    <row r="61" spans="1:16" x14ac:dyDescent="0.25">
      <c r="A61" t="s">
        <v>301</v>
      </c>
      <c r="B61">
        <v>1</v>
      </c>
      <c r="C61" s="17" t="s">
        <v>12</v>
      </c>
      <c r="D61" s="17" t="s">
        <v>27</v>
      </c>
      <c r="E61" s="17" t="s">
        <v>4</v>
      </c>
      <c r="F61">
        <v>4</v>
      </c>
      <c r="G61">
        <v>180000</v>
      </c>
      <c r="H61">
        <v>0</v>
      </c>
      <c r="I61" s="17" t="s">
        <v>1127</v>
      </c>
      <c r="J61">
        <v>-180000</v>
      </c>
      <c r="K61">
        <v>180000</v>
      </c>
      <c r="L61" s="17" t="s">
        <v>132</v>
      </c>
      <c r="M61" s="1">
        <v>46178</v>
      </c>
      <c r="N61" s="17" t="s">
        <v>20</v>
      </c>
      <c r="O61" t="s">
        <v>1099</v>
      </c>
      <c r="P61" t="s">
        <v>1105</v>
      </c>
    </row>
    <row r="62" spans="1:16" x14ac:dyDescent="0.25">
      <c r="A62" t="s">
        <v>310</v>
      </c>
      <c r="B62">
        <v>1</v>
      </c>
      <c r="C62" s="17" t="s">
        <v>2</v>
      </c>
      <c r="D62" s="17" t="s">
        <v>17</v>
      </c>
      <c r="E62" s="17" t="s">
        <v>18</v>
      </c>
      <c r="F62">
        <v>9</v>
      </c>
      <c r="G62">
        <v>405000</v>
      </c>
      <c r="H62">
        <v>0</v>
      </c>
      <c r="I62" s="17" t="s">
        <v>1060</v>
      </c>
      <c r="J62">
        <v>405000</v>
      </c>
      <c r="K62">
        <v>405000</v>
      </c>
      <c r="L62" s="17" t="s">
        <v>22</v>
      </c>
      <c r="M62" s="1"/>
      <c r="N62" s="17" t="s">
        <v>20</v>
      </c>
      <c r="O62" t="s">
        <v>1099</v>
      </c>
      <c r="P62" t="s">
        <v>1102</v>
      </c>
    </row>
    <row r="63" spans="1:16" x14ac:dyDescent="0.25">
      <c r="A63" t="s">
        <v>321</v>
      </c>
      <c r="B63">
        <v>1</v>
      </c>
      <c r="C63" s="17" t="s">
        <v>7</v>
      </c>
      <c r="D63" s="17" t="s">
        <v>27</v>
      </c>
      <c r="E63" s="17" t="s">
        <v>18</v>
      </c>
      <c r="F63">
        <v>9</v>
      </c>
      <c r="G63">
        <v>1665000</v>
      </c>
      <c r="H63">
        <v>0</v>
      </c>
      <c r="I63" s="17" t="s">
        <v>1122</v>
      </c>
      <c r="J63">
        <v>-1665000</v>
      </c>
      <c r="K63">
        <v>1665000</v>
      </c>
      <c r="L63" s="17" t="s">
        <v>1128</v>
      </c>
      <c r="M63" s="1">
        <v>46214</v>
      </c>
      <c r="N63" s="17" t="s">
        <v>20</v>
      </c>
      <c r="O63" t="s">
        <v>1099</v>
      </c>
      <c r="P63" t="s">
        <v>1105</v>
      </c>
    </row>
    <row r="64" spans="1:16" x14ac:dyDescent="0.25">
      <c r="A64" t="s">
        <v>322</v>
      </c>
      <c r="B64">
        <v>1</v>
      </c>
      <c r="C64" s="17" t="s">
        <v>2</v>
      </c>
      <c r="D64" s="17" t="s">
        <v>13</v>
      </c>
      <c r="E64" s="17" t="s">
        <v>32</v>
      </c>
      <c r="F64">
        <v>2</v>
      </c>
      <c r="G64">
        <v>240000</v>
      </c>
      <c r="H64">
        <v>5000</v>
      </c>
      <c r="I64" s="17" t="s">
        <v>1129</v>
      </c>
      <c r="J64">
        <v>-235000</v>
      </c>
      <c r="K64">
        <v>235000</v>
      </c>
      <c r="L64" s="17" t="s">
        <v>1130</v>
      </c>
      <c r="M64" s="1">
        <v>46035</v>
      </c>
      <c r="N64" s="17" t="s">
        <v>10</v>
      </c>
      <c r="O64" t="s">
        <v>1099</v>
      </c>
      <c r="P64" t="s">
        <v>1105</v>
      </c>
    </row>
    <row r="65" spans="1:16" x14ac:dyDescent="0.25">
      <c r="A65" t="s">
        <v>323</v>
      </c>
      <c r="B65">
        <v>1</v>
      </c>
      <c r="C65" s="17" t="s">
        <v>2</v>
      </c>
      <c r="D65" s="17" t="s">
        <v>29</v>
      </c>
      <c r="E65" s="17" t="s">
        <v>30</v>
      </c>
      <c r="F65">
        <v>10</v>
      </c>
      <c r="G65">
        <v>1850000</v>
      </c>
      <c r="H65">
        <v>0</v>
      </c>
      <c r="I65" s="17" t="s">
        <v>92</v>
      </c>
      <c r="L65" s="17" t="s">
        <v>267</v>
      </c>
      <c r="M65" s="1">
        <v>46145</v>
      </c>
      <c r="N65" s="17" t="s">
        <v>20</v>
      </c>
      <c r="O65" t="s">
        <v>1099</v>
      </c>
      <c r="P65" t="s">
        <v>1105</v>
      </c>
    </row>
    <row r="66" spans="1:16" x14ac:dyDescent="0.25">
      <c r="A66" t="s">
        <v>334</v>
      </c>
      <c r="B66">
        <v>1</v>
      </c>
      <c r="C66" s="17" t="s">
        <v>12</v>
      </c>
      <c r="D66" s="17" t="s">
        <v>13</v>
      </c>
      <c r="E66" s="17" t="s">
        <v>9</v>
      </c>
      <c r="F66">
        <v>6</v>
      </c>
      <c r="G66">
        <v>720000</v>
      </c>
      <c r="H66">
        <v>0</v>
      </c>
      <c r="I66" s="17" t="s">
        <v>1089</v>
      </c>
      <c r="J66">
        <v>720000</v>
      </c>
      <c r="K66">
        <v>720000</v>
      </c>
      <c r="L66" s="17" t="s">
        <v>22</v>
      </c>
      <c r="M66" s="1"/>
      <c r="N66" s="17" t="s">
        <v>33</v>
      </c>
      <c r="O66" t="s">
        <v>1099</v>
      </c>
      <c r="P66" t="s">
        <v>1102</v>
      </c>
    </row>
    <row r="67" spans="1:16" x14ac:dyDescent="0.25">
      <c r="A67" t="s">
        <v>341</v>
      </c>
      <c r="B67">
        <v>1</v>
      </c>
      <c r="C67" s="17" t="s">
        <v>7</v>
      </c>
      <c r="D67" s="17" t="s">
        <v>29</v>
      </c>
      <c r="E67" s="17" t="s">
        <v>18</v>
      </c>
      <c r="F67">
        <v>2</v>
      </c>
      <c r="G67">
        <v>150000</v>
      </c>
      <c r="H67">
        <v>0</v>
      </c>
      <c r="I67" s="17" t="s">
        <v>1131</v>
      </c>
      <c r="J67">
        <v>-150000</v>
      </c>
      <c r="K67">
        <v>150000</v>
      </c>
      <c r="L67" s="17" t="s">
        <v>1132</v>
      </c>
      <c r="M67" s="1">
        <v>46047</v>
      </c>
      <c r="N67" s="17" t="s">
        <v>33</v>
      </c>
      <c r="O67" t="s">
        <v>1099</v>
      </c>
      <c r="P67" t="s">
        <v>1105</v>
      </c>
    </row>
    <row r="68" spans="1:16" x14ac:dyDescent="0.25">
      <c r="A68" t="s">
        <v>342</v>
      </c>
      <c r="B68">
        <v>1</v>
      </c>
      <c r="C68" s="17" t="s">
        <v>7</v>
      </c>
      <c r="D68" s="17" t="s">
        <v>17</v>
      </c>
      <c r="E68" s="17" t="s">
        <v>4</v>
      </c>
      <c r="F68">
        <v>2</v>
      </c>
      <c r="G68">
        <v>150000</v>
      </c>
      <c r="H68">
        <v>0</v>
      </c>
      <c r="I68" s="17" t="s">
        <v>1065</v>
      </c>
      <c r="J68">
        <v>150000</v>
      </c>
      <c r="K68">
        <v>150000</v>
      </c>
      <c r="L68" s="17" t="s">
        <v>22</v>
      </c>
      <c r="M68" s="1"/>
      <c r="N68" s="17" t="s">
        <v>33</v>
      </c>
      <c r="O68" t="s">
        <v>1099</v>
      </c>
      <c r="P68" t="s">
        <v>1102</v>
      </c>
    </row>
    <row r="69" spans="1:16" x14ac:dyDescent="0.25">
      <c r="A69" t="s">
        <v>345</v>
      </c>
      <c r="B69">
        <v>1</v>
      </c>
      <c r="C69" s="17" t="s">
        <v>25</v>
      </c>
      <c r="D69" s="17" t="s">
        <v>3</v>
      </c>
      <c r="E69" s="17" t="s">
        <v>32</v>
      </c>
      <c r="F69">
        <v>10</v>
      </c>
      <c r="G69">
        <v>750000</v>
      </c>
      <c r="H69">
        <v>0</v>
      </c>
      <c r="I69" s="17" t="s">
        <v>92</v>
      </c>
      <c r="L69" s="17" t="s">
        <v>203</v>
      </c>
      <c r="M69" s="1">
        <v>46238</v>
      </c>
      <c r="N69" s="17" t="s">
        <v>33</v>
      </c>
      <c r="O69" t="s">
        <v>1099</v>
      </c>
      <c r="P69" t="s">
        <v>1105</v>
      </c>
    </row>
    <row r="70" spans="1:16" x14ac:dyDescent="0.25">
      <c r="A70" t="s">
        <v>362</v>
      </c>
      <c r="B70">
        <v>1</v>
      </c>
      <c r="C70" s="17" t="s">
        <v>7</v>
      </c>
      <c r="D70" s="17" t="s">
        <v>17</v>
      </c>
      <c r="E70" s="17" t="s">
        <v>30</v>
      </c>
      <c r="F70">
        <v>4</v>
      </c>
      <c r="G70">
        <v>300000</v>
      </c>
      <c r="H70">
        <v>0</v>
      </c>
      <c r="I70" s="17" t="s">
        <v>1133</v>
      </c>
      <c r="J70">
        <v>-300000</v>
      </c>
      <c r="K70">
        <v>300000</v>
      </c>
      <c r="L70" s="17" t="s">
        <v>80</v>
      </c>
      <c r="M70" s="1">
        <v>46076</v>
      </c>
      <c r="N70" s="17" t="s">
        <v>5</v>
      </c>
      <c r="O70" t="s">
        <v>1099</v>
      </c>
      <c r="P70" t="s">
        <v>1105</v>
      </c>
    </row>
    <row r="71" spans="1:16" x14ac:dyDescent="0.25">
      <c r="A71" t="s">
        <v>364</v>
      </c>
      <c r="B71">
        <v>1</v>
      </c>
      <c r="C71" s="17" t="s">
        <v>2</v>
      </c>
      <c r="D71" s="17" t="s">
        <v>8</v>
      </c>
      <c r="E71" s="17" t="s">
        <v>32</v>
      </c>
      <c r="F71">
        <v>10</v>
      </c>
      <c r="G71">
        <v>1200000</v>
      </c>
      <c r="H71">
        <v>15000</v>
      </c>
      <c r="I71" s="17" t="s">
        <v>92</v>
      </c>
      <c r="L71" s="17" t="s">
        <v>51</v>
      </c>
      <c r="M71" s="1">
        <v>46148</v>
      </c>
      <c r="N71" s="17" t="s">
        <v>10</v>
      </c>
      <c r="O71" t="s">
        <v>1099</v>
      </c>
      <c r="P71" t="s">
        <v>1105</v>
      </c>
    </row>
    <row r="72" spans="1:16" x14ac:dyDescent="0.25">
      <c r="A72" t="s">
        <v>372</v>
      </c>
      <c r="B72">
        <v>1</v>
      </c>
      <c r="C72" s="17" t="s">
        <v>12</v>
      </c>
      <c r="D72" s="17" t="s">
        <v>27</v>
      </c>
      <c r="E72" s="17" t="s">
        <v>30</v>
      </c>
      <c r="F72">
        <v>2</v>
      </c>
      <c r="G72">
        <v>370000</v>
      </c>
      <c r="H72">
        <v>0</v>
      </c>
      <c r="I72" s="17" t="s">
        <v>92</v>
      </c>
      <c r="L72" s="17" t="s">
        <v>138</v>
      </c>
      <c r="M72" s="1">
        <v>46251</v>
      </c>
      <c r="N72" s="17" t="s">
        <v>10</v>
      </c>
      <c r="O72" t="s">
        <v>1099</v>
      </c>
      <c r="P72" t="s">
        <v>1105</v>
      </c>
    </row>
    <row r="73" spans="1:16" x14ac:dyDescent="0.25">
      <c r="A73" t="s">
        <v>389</v>
      </c>
      <c r="B73">
        <v>1</v>
      </c>
      <c r="C73" s="17" t="s">
        <v>2</v>
      </c>
      <c r="D73" s="17" t="s">
        <v>13</v>
      </c>
      <c r="E73" s="17" t="s">
        <v>32</v>
      </c>
      <c r="F73">
        <v>9</v>
      </c>
      <c r="G73">
        <v>405000</v>
      </c>
      <c r="H73">
        <v>0</v>
      </c>
      <c r="I73" s="17" t="s">
        <v>1134</v>
      </c>
      <c r="J73">
        <v>-405000</v>
      </c>
      <c r="K73">
        <v>405000</v>
      </c>
      <c r="L73" s="17" t="s">
        <v>1135</v>
      </c>
      <c r="M73" s="1">
        <v>46206</v>
      </c>
      <c r="N73" s="17" t="s">
        <v>20</v>
      </c>
      <c r="O73" t="s">
        <v>1099</v>
      </c>
      <c r="P73" t="s">
        <v>1105</v>
      </c>
    </row>
    <row r="74" spans="1:16" x14ac:dyDescent="0.25">
      <c r="A74" t="s">
        <v>394</v>
      </c>
      <c r="B74">
        <v>1</v>
      </c>
      <c r="C74" s="17" t="s">
        <v>12</v>
      </c>
      <c r="D74" s="17" t="s">
        <v>8</v>
      </c>
      <c r="E74" s="17" t="s">
        <v>18</v>
      </c>
      <c r="F74">
        <v>6</v>
      </c>
      <c r="G74">
        <v>1110000</v>
      </c>
      <c r="H74">
        <v>0</v>
      </c>
      <c r="I74" s="17" t="s">
        <v>1090</v>
      </c>
      <c r="J74">
        <v>1110000</v>
      </c>
      <c r="K74">
        <v>1110000</v>
      </c>
      <c r="L74" s="17" t="s">
        <v>22</v>
      </c>
      <c r="M74" s="1"/>
      <c r="N74" s="17" t="s">
        <v>33</v>
      </c>
      <c r="O74" t="s">
        <v>1099</v>
      </c>
      <c r="P74" t="s">
        <v>1102</v>
      </c>
    </row>
    <row r="75" spans="1:16" x14ac:dyDescent="0.25">
      <c r="A75" t="s">
        <v>410</v>
      </c>
      <c r="B75">
        <v>1</v>
      </c>
      <c r="C75" s="17" t="s">
        <v>25</v>
      </c>
      <c r="D75" s="17" t="s">
        <v>3</v>
      </c>
      <c r="E75" s="17" t="s">
        <v>9</v>
      </c>
      <c r="F75">
        <v>1</v>
      </c>
      <c r="G75">
        <v>250000</v>
      </c>
      <c r="H75">
        <v>0</v>
      </c>
      <c r="I75" s="17" t="s">
        <v>1136</v>
      </c>
      <c r="J75">
        <v>-250000</v>
      </c>
      <c r="K75">
        <v>250000</v>
      </c>
      <c r="L75" s="17" t="s">
        <v>1137</v>
      </c>
      <c r="M75" s="1">
        <v>46057</v>
      </c>
      <c r="N75" s="17" t="s">
        <v>10</v>
      </c>
      <c r="O75" t="s">
        <v>1099</v>
      </c>
      <c r="P75" t="s">
        <v>1105</v>
      </c>
    </row>
    <row r="76" spans="1:16" x14ac:dyDescent="0.25">
      <c r="A76" t="s">
        <v>416</v>
      </c>
      <c r="B76">
        <v>1</v>
      </c>
      <c r="C76" s="17" t="s">
        <v>12</v>
      </c>
      <c r="D76" s="17" t="s">
        <v>29</v>
      </c>
      <c r="E76" s="17" t="s">
        <v>18</v>
      </c>
      <c r="F76">
        <v>1</v>
      </c>
      <c r="G76">
        <v>75000</v>
      </c>
      <c r="H76">
        <v>10000</v>
      </c>
      <c r="I76" s="17" t="s">
        <v>1108</v>
      </c>
      <c r="J76">
        <v>-65000</v>
      </c>
      <c r="K76">
        <v>65000</v>
      </c>
      <c r="L76" s="17" t="s">
        <v>22</v>
      </c>
      <c r="M76" s="1"/>
      <c r="N76" s="17" t="s">
        <v>10</v>
      </c>
      <c r="O76" t="s">
        <v>1099</v>
      </c>
      <c r="P76" t="s">
        <v>1138</v>
      </c>
    </row>
    <row r="77" spans="1:16" x14ac:dyDescent="0.25">
      <c r="A77" t="s">
        <v>420</v>
      </c>
      <c r="B77">
        <v>1</v>
      </c>
      <c r="C77" s="17" t="s">
        <v>2</v>
      </c>
      <c r="D77" s="17" t="s">
        <v>29</v>
      </c>
      <c r="E77" s="17" t="s">
        <v>32</v>
      </c>
      <c r="F77">
        <v>5</v>
      </c>
      <c r="G77">
        <v>600000</v>
      </c>
      <c r="H77">
        <v>0</v>
      </c>
      <c r="I77" s="17" t="s">
        <v>1066</v>
      </c>
      <c r="J77">
        <v>600000</v>
      </c>
      <c r="K77">
        <v>600000</v>
      </c>
      <c r="L77" s="17" t="s">
        <v>22</v>
      </c>
      <c r="M77" s="1"/>
      <c r="N77" s="17" t="s">
        <v>33</v>
      </c>
      <c r="O77" t="s">
        <v>1099</v>
      </c>
      <c r="P77" t="s">
        <v>1102</v>
      </c>
    </row>
    <row r="78" spans="1:16" x14ac:dyDescent="0.25">
      <c r="A78" t="s">
        <v>422</v>
      </c>
      <c r="B78">
        <v>1</v>
      </c>
      <c r="C78" s="17" t="s">
        <v>7</v>
      </c>
      <c r="D78" s="17" t="s">
        <v>29</v>
      </c>
      <c r="E78" s="17" t="s">
        <v>18</v>
      </c>
      <c r="F78">
        <v>1</v>
      </c>
      <c r="G78">
        <v>45000</v>
      </c>
      <c r="H78">
        <v>0</v>
      </c>
      <c r="I78" s="17" t="s">
        <v>1125</v>
      </c>
      <c r="J78">
        <v>-45000</v>
      </c>
      <c r="K78">
        <v>45000</v>
      </c>
      <c r="L78" s="17" t="s">
        <v>1139</v>
      </c>
      <c r="M78" s="1">
        <v>46134</v>
      </c>
      <c r="N78" s="17" t="s">
        <v>33</v>
      </c>
      <c r="O78" t="s">
        <v>1099</v>
      </c>
      <c r="P78" t="s">
        <v>1105</v>
      </c>
    </row>
    <row r="79" spans="1:16" x14ac:dyDescent="0.25">
      <c r="A79" t="s">
        <v>427</v>
      </c>
      <c r="B79">
        <v>1</v>
      </c>
      <c r="C79" s="17" t="s">
        <v>12</v>
      </c>
      <c r="D79" s="17" t="s">
        <v>13</v>
      </c>
      <c r="E79" s="17" t="s">
        <v>9</v>
      </c>
      <c r="F79">
        <v>5</v>
      </c>
      <c r="G79">
        <v>1250000</v>
      </c>
      <c r="H79">
        <v>0</v>
      </c>
      <c r="I79" s="17" t="s">
        <v>1091</v>
      </c>
      <c r="J79">
        <v>1250000</v>
      </c>
      <c r="K79">
        <v>1250000</v>
      </c>
      <c r="L79" s="17" t="s">
        <v>22</v>
      </c>
      <c r="M79" s="1"/>
      <c r="N79" s="17" t="s">
        <v>20</v>
      </c>
      <c r="O79" t="s">
        <v>1099</v>
      </c>
      <c r="P79" t="s">
        <v>1102</v>
      </c>
    </row>
    <row r="80" spans="1:16" x14ac:dyDescent="0.25">
      <c r="A80" t="s">
        <v>454</v>
      </c>
      <c r="B80">
        <v>1</v>
      </c>
      <c r="C80" s="17" t="s">
        <v>12</v>
      </c>
      <c r="D80" s="17" t="s">
        <v>17</v>
      </c>
      <c r="E80" s="17" t="s">
        <v>30</v>
      </c>
      <c r="F80">
        <v>7</v>
      </c>
      <c r="G80">
        <v>525000</v>
      </c>
      <c r="H80">
        <v>0</v>
      </c>
      <c r="I80" s="17" t="s">
        <v>1120</v>
      </c>
      <c r="J80">
        <v>-525000</v>
      </c>
      <c r="K80">
        <v>525000</v>
      </c>
      <c r="L80" s="17" t="s">
        <v>1140</v>
      </c>
      <c r="M80" s="1">
        <v>46262</v>
      </c>
      <c r="N80" s="17" t="s">
        <v>20</v>
      </c>
      <c r="O80" t="s">
        <v>1099</v>
      </c>
      <c r="P80" t="s">
        <v>1105</v>
      </c>
    </row>
    <row r="81" spans="1:16" x14ac:dyDescent="0.25">
      <c r="A81" t="s">
        <v>465</v>
      </c>
      <c r="B81">
        <v>1</v>
      </c>
      <c r="C81" s="17" t="s">
        <v>25</v>
      </c>
      <c r="D81" s="17" t="s">
        <v>8</v>
      </c>
      <c r="E81" s="17" t="s">
        <v>18</v>
      </c>
      <c r="F81">
        <v>8</v>
      </c>
      <c r="G81">
        <v>960000</v>
      </c>
      <c r="H81">
        <v>0</v>
      </c>
      <c r="I81" s="17" t="s">
        <v>1141</v>
      </c>
      <c r="J81">
        <v>-960000</v>
      </c>
      <c r="K81">
        <v>960000</v>
      </c>
      <c r="L81" s="17" t="s">
        <v>1142</v>
      </c>
      <c r="M81" s="1">
        <v>46045</v>
      </c>
      <c r="N81" s="17" t="s">
        <v>33</v>
      </c>
      <c r="O81" t="s">
        <v>1099</v>
      </c>
      <c r="P81" t="s">
        <v>1105</v>
      </c>
    </row>
    <row r="82" spans="1:16" x14ac:dyDescent="0.25">
      <c r="A82" t="s">
        <v>472</v>
      </c>
      <c r="B82">
        <v>1</v>
      </c>
      <c r="C82" s="17" t="s">
        <v>2</v>
      </c>
      <c r="D82" s="17" t="s">
        <v>8</v>
      </c>
      <c r="E82" s="17" t="s">
        <v>32</v>
      </c>
      <c r="F82">
        <v>1</v>
      </c>
      <c r="G82">
        <v>120000</v>
      </c>
      <c r="H82">
        <v>0</v>
      </c>
      <c r="I82" s="17" t="s">
        <v>1143</v>
      </c>
      <c r="J82">
        <v>-120000</v>
      </c>
      <c r="K82">
        <v>120000</v>
      </c>
      <c r="L82" s="17" t="s">
        <v>138</v>
      </c>
      <c r="M82" s="1">
        <v>46251</v>
      </c>
      <c r="N82" s="17" t="s">
        <v>33</v>
      </c>
      <c r="O82" t="s">
        <v>1099</v>
      </c>
      <c r="P82" t="s">
        <v>1105</v>
      </c>
    </row>
    <row r="83" spans="1:16" x14ac:dyDescent="0.25">
      <c r="A83" t="s">
        <v>477</v>
      </c>
      <c r="B83">
        <v>1</v>
      </c>
      <c r="C83" s="17" t="s">
        <v>12</v>
      </c>
      <c r="D83" s="17" t="s">
        <v>3</v>
      </c>
      <c r="E83" s="17" t="s">
        <v>32</v>
      </c>
      <c r="F83">
        <v>3</v>
      </c>
      <c r="G83">
        <v>555000</v>
      </c>
      <c r="H83">
        <v>0</v>
      </c>
      <c r="I83" s="17" t="s">
        <v>1084</v>
      </c>
      <c r="J83">
        <v>555000</v>
      </c>
      <c r="K83">
        <v>555000</v>
      </c>
      <c r="L83" s="17" t="s">
        <v>22</v>
      </c>
      <c r="M83" s="1"/>
      <c r="N83" s="17" t="s">
        <v>33</v>
      </c>
      <c r="O83" t="s">
        <v>1099</v>
      </c>
      <c r="P83" t="s">
        <v>1102</v>
      </c>
    </row>
    <row r="84" spans="1:16" x14ac:dyDescent="0.25">
      <c r="A84" t="s">
        <v>490</v>
      </c>
      <c r="B84">
        <v>1</v>
      </c>
      <c r="C84" s="17" t="s">
        <v>2</v>
      </c>
      <c r="D84" s="17" t="s">
        <v>8</v>
      </c>
      <c r="E84" s="17" t="s">
        <v>32</v>
      </c>
      <c r="F84">
        <v>5</v>
      </c>
      <c r="G84">
        <v>225000</v>
      </c>
      <c r="H84">
        <v>10000</v>
      </c>
      <c r="I84" s="17" t="s">
        <v>92</v>
      </c>
      <c r="L84" s="17" t="s">
        <v>491</v>
      </c>
      <c r="M84" s="1">
        <v>46260</v>
      </c>
      <c r="N84" s="17" t="s">
        <v>10</v>
      </c>
      <c r="O84" t="s">
        <v>1099</v>
      </c>
      <c r="P84" t="s">
        <v>1105</v>
      </c>
    </row>
    <row r="85" spans="1:16" x14ac:dyDescent="0.25">
      <c r="A85" t="s">
        <v>510</v>
      </c>
      <c r="B85">
        <v>1</v>
      </c>
      <c r="C85" s="17" t="s">
        <v>2</v>
      </c>
      <c r="D85" s="17" t="s">
        <v>3</v>
      </c>
      <c r="E85" s="17" t="s">
        <v>18</v>
      </c>
      <c r="F85">
        <v>5</v>
      </c>
      <c r="G85">
        <v>225000</v>
      </c>
      <c r="H85">
        <v>0</v>
      </c>
      <c r="I85" s="17" t="s">
        <v>1071</v>
      </c>
      <c r="J85">
        <v>225000</v>
      </c>
      <c r="K85">
        <v>225000</v>
      </c>
      <c r="L85" s="17" t="s">
        <v>22</v>
      </c>
      <c r="M85" s="1"/>
      <c r="N85" s="17" t="s">
        <v>33</v>
      </c>
      <c r="O85" t="s">
        <v>1099</v>
      </c>
      <c r="P85" t="s">
        <v>1102</v>
      </c>
    </row>
    <row r="86" spans="1:16" x14ac:dyDescent="0.25">
      <c r="A86" t="s">
        <v>514</v>
      </c>
      <c r="B86">
        <v>1</v>
      </c>
      <c r="C86" s="17" t="s">
        <v>7</v>
      </c>
      <c r="D86" s="17" t="s">
        <v>8</v>
      </c>
      <c r="E86" s="17" t="s">
        <v>9</v>
      </c>
      <c r="F86">
        <v>9</v>
      </c>
      <c r="G86">
        <v>1080000</v>
      </c>
      <c r="H86">
        <v>5000</v>
      </c>
      <c r="I86" s="17" t="s">
        <v>92</v>
      </c>
      <c r="L86" s="17" t="s">
        <v>156</v>
      </c>
      <c r="M86" s="1">
        <v>46059</v>
      </c>
      <c r="N86" s="17" t="s">
        <v>20</v>
      </c>
      <c r="O86" t="s">
        <v>1099</v>
      </c>
      <c r="P86" t="s">
        <v>1105</v>
      </c>
    </row>
    <row r="87" spans="1:16" x14ac:dyDescent="0.25">
      <c r="A87" t="s">
        <v>518</v>
      </c>
      <c r="B87">
        <v>1</v>
      </c>
      <c r="C87" s="17" t="s">
        <v>2</v>
      </c>
      <c r="D87" s="17" t="s">
        <v>29</v>
      </c>
      <c r="E87" s="17" t="s">
        <v>32</v>
      </c>
      <c r="F87">
        <v>7</v>
      </c>
      <c r="G87">
        <v>1750000</v>
      </c>
      <c r="H87">
        <v>0</v>
      </c>
      <c r="I87" s="17" t="s">
        <v>1092</v>
      </c>
      <c r="J87">
        <v>1750000</v>
      </c>
      <c r="K87">
        <v>1750000</v>
      </c>
      <c r="L87" s="17" t="s">
        <v>22</v>
      </c>
      <c r="M87" s="1"/>
      <c r="N87" s="17" t="s">
        <v>20</v>
      </c>
      <c r="O87" t="s">
        <v>1099</v>
      </c>
      <c r="P87" t="s">
        <v>1102</v>
      </c>
    </row>
    <row r="88" spans="1:16" x14ac:dyDescent="0.25">
      <c r="A88" t="s">
        <v>535</v>
      </c>
      <c r="B88">
        <v>1</v>
      </c>
      <c r="C88" s="17" t="s">
        <v>7</v>
      </c>
      <c r="D88" s="17" t="s">
        <v>8</v>
      </c>
      <c r="E88" s="17" t="s">
        <v>4</v>
      </c>
      <c r="F88">
        <v>7</v>
      </c>
      <c r="G88">
        <v>525000</v>
      </c>
      <c r="H88">
        <v>0</v>
      </c>
      <c r="I88" s="17" t="s">
        <v>1120</v>
      </c>
      <c r="J88">
        <v>-525000</v>
      </c>
      <c r="K88">
        <v>525000</v>
      </c>
      <c r="L88" s="17" t="s">
        <v>402</v>
      </c>
      <c r="M88" s="1">
        <v>46237</v>
      </c>
      <c r="N88" s="17" t="s">
        <v>33</v>
      </c>
      <c r="O88" t="s">
        <v>1099</v>
      </c>
      <c r="P88" t="s">
        <v>1105</v>
      </c>
    </row>
    <row r="89" spans="1:16" x14ac:dyDescent="0.25">
      <c r="A89" t="s">
        <v>540</v>
      </c>
      <c r="B89">
        <v>1</v>
      </c>
      <c r="C89" s="17" t="s">
        <v>7</v>
      </c>
      <c r="D89" s="17" t="s">
        <v>13</v>
      </c>
      <c r="E89" s="17" t="s">
        <v>32</v>
      </c>
      <c r="F89">
        <v>7</v>
      </c>
      <c r="G89">
        <v>1295000</v>
      </c>
      <c r="H89">
        <v>10000</v>
      </c>
      <c r="I89" s="17" t="s">
        <v>92</v>
      </c>
      <c r="L89" s="17" t="s">
        <v>39</v>
      </c>
      <c r="M89" s="1">
        <v>46161</v>
      </c>
      <c r="N89" s="17" t="s">
        <v>33</v>
      </c>
      <c r="O89" t="s">
        <v>1099</v>
      </c>
      <c r="P89" t="s">
        <v>1105</v>
      </c>
    </row>
    <row r="90" spans="1:16" x14ac:dyDescent="0.25">
      <c r="A90" t="s">
        <v>557</v>
      </c>
      <c r="B90">
        <v>1</v>
      </c>
      <c r="C90" s="17" t="s">
        <v>7</v>
      </c>
      <c r="D90" s="17" t="s">
        <v>17</v>
      </c>
      <c r="E90" s="17" t="s">
        <v>18</v>
      </c>
      <c r="F90">
        <v>3</v>
      </c>
      <c r="G90">
        <v>750000</v>
      </c>
      <c r="H90">
        <v>0</v>
      </c>
      <c r="I90" s="17" t="s">
        <v>1144</v>
      </c>
      <c r="J90">
        <v>-750000</v>
      </c>
      <c r="K90">
        <v>750000</v>
      </c>
      <c r="L90" s="17" t="s">
        <v>1145</v>
      </c>
      <c r="M90" s="1">
        <v>46153</v>
      </c>
      <c r="N90" s="17" t="s">
        <v>20</v>
      </c>
      <c r="O90" t="s">
        <v>1099</v>
      </c>
      <c r="P90" t="s">
        <v>1105</v>
      </c>
    </row>
    <row r="91" spans="1:16" x14ac:dyDescent="0.25">
      <c r="A91" t="s">
        <v>562</v>
      </c>
      <c r="B91">
        <v>1</v>
      </c>
      <c r="C91" s="17" t="s">
        <v>25</v>
      </c>
      <c r="D91" s="17" t="s">
        <v>13</v>
      </c>
      <c r="E91" s="17" t="s">
        <v>4</v>
      </c>
      <c r="F91">
        <v>9</v>
      </c>
      <c r="G91">
        <v>405000</v>
      </c>
      <c r="H91">
        <v>0</v>
      </c>
      <c r="I91" s="17" t="s">
        <v>92</v>
      </c>
      <c r="L91" s="17" t="s">
        <v>534</v>
      </c>
      <c r="M91" s="1">
        <v>46199</v>
      </c>
      <c r="N91" s="17" t="s">
        <v>20</v>
      </c>
      <c r="O91" t="s">
        <v>1099</v>
      </c>
      <c r="P91" t="s">
        <v>1105</v>
      </c>
    </row>
    <row r="92" spans="1:16" x14ac:dyDescent="0.25">
      <c r="A92" t="s">
        <v>588</v>
      </c>
      <c r="B92">
        <v>1</v>
      </c>
      <c r="C92" s="17" t="s">
        <v>2</v>
      </c>
      <c r="D92" s="17" t="s">
        <v>17</v>
      </c>
      <c r="E92" s="17" t="s">
        <v>9</v>
      </c>
      <c r="F92">
        <v>3</v>
      </c>
      <c r="G92">
        <v>225000</v>
      </c>
      <c r="H92">
        <v>0</v>
      </c>
      <c r="I92" s="17" t="s">
        <v>1146</v>
      </c>
      <c r="J92">
        <v>-225000</v>
      </c>
      <c r="K92">
        <v>225000</v>
      </c>
      <c r="L92" s="17" t="s">
        <v>14</v>
      </c>
      <c r="M92" s="1">
        <v>46174</v>
      </c>
      <c r="N92" s="17" t="s">
        <v>10</v>
      </c>
      <c r="O92" t="s">
        <v>1099</v>
      </c>
      <c r="P92" t="s">
        <v>1105</v>
      </c>
    </row>
    <row r="93" spans="1:16" x14ac:dyDescent="0.25">
      <c r="A93" t="s">
        <v>594</v>
      </c>
      <c r="B93">
        <v>1</v>
      </c>
      <c r="C93" s="17" t="s">
        <v>12</v>
      </c>
      <c r="D93" s="17" t="s">
        <v>3</v>
      </c>
      <c r="E93" s="17" t="s">
        <v>18</v>
      </c>
      <c r="F93">
        <v>5</v>
      </c>
      <c r="G93">
        <v>925000</v>
      </c>
      <c r="H93">
        <v>0</v>
      </c>
      <c r="I93" s="17" t="s">
        <v>92</v>
      </c>
      <c r="L93" s="17" t="s">
        <v>595</v>
      </c>
      <c r="M93" s="1">
        <v>46219</v>
      </c>
      <c r="N93" s="17" t="s">
        <v>10</v>
      </c>
      <c r="O93" t="s">
        <v>1099</v>
      </c>
      <c r="P93" t="s">
        <v>1105</v>
      </c>
    </row>
    <row r="94" spans="1:16" x14ac:dyDescent="0.25">
      <c r="A94" t="s">
        <v>618</v>
      </c>
      <c r="B94">
        <v>1</v>
      </c>
      <c r="C94" s="17" t="s">
        <v>2</v>
      </c>
      <c r="D94" s="17" t="s">
        <v>3</v>
      </c>
      <c r="E94" s="17" t="s">
        <v>9</v>
      </c>
      <c r="F94">
        <v>8</v>
      </c>
      <c r="G94">
        <v>1480000</v>
      </c>
      <c r="H94">
        <v>0</v>
      </c>
      <c r="I94" s="17" t="s">
        <v>1147</v>
      </c>
      <c r="J94">
        <v>-1480000</v>
      </c>
      <c r="K94">
        <v>1480000</v>
      </c>
      <c r="L94" s="17" t="s">
        <v>1148</v>
      </c>
      <c r="M94" s="1">
        <v>46050</v>
      </c>
      <c r="N94" s="17" t="s">
        <v>20</v>
      </c>
      <c r="O94" t="s">
        <v>1099</v>
      </c>
      <c r="P94" t="s">
        <v>1105</v>
      </c>
    </row>
    <row r="95" spans="1:16" x14ac:dyDescent="0.25">
      <c r="A95" t="s">
        <v>623</v>
      </c>
      <c r="B95">
        <v>1</v>
      </c>
      <c r="C95" s="17" t="s">
        <v>2</v>
      </c>
      <c r="D95" s="17" t="s">
        <v>3</v>
      </c>
      <c r="E95" s="17" t="s">
        <v>30</v>
      </c>
      <c r="F95">
        <v>10</v>
      </c>
      <c r="G95">
        <v>450000</v>
      </c>
      <c r="H95">
        <v>0</v>
      </c>
      <c r="I95" s="17" t="s">
        <v>1149</v>
      </c>
      <c r="J95">
        <v>-450000</v>
      </c>
      <c r="K95">
        <v>450000</v>
      </c>
      <c r="L95" s="17" t="s">
        <v>1150</v>
      </c>
      <c r="M95" s="1">
        <v>46231</v>
      </c>
      <c r="N95" s="17" t="s">
        <v>33</v>
      </c>
      <c r="O95" t="s">
        <v>1099</v>
      </c>
      <c r="P95" t="s">
        <v>1105</v>
      </c>
    </row>
    <row r="96" spans="1:16" x14ac:dyDescent="0.25">
      <c r="A96" t="s">
        <v>626</v>
      </c>
      <c r="B96">
        <v>1</v>
      </c>
      <c r="C96" s="17" t="s">
        <v>2</v>
      </c>
      <c r="D96" s="17" t="s">
        <v>8</v>
      </c>
      <c r="E96" s="17" t="s">
        <v>30</v>
      </c>
      <c r="F96">
        <v>3</v>
      </c>
      <c r="G96">
        <v>135000</v>
      </c>
      <c r="H96">
        <v>0</v>
      </c>
      <c r="I96" s="17" t="s">
        <v>1151</v>
      </c>
      <c r="J96">
        <v>-135000</v>
      </c>
      <c r="K96">
        <v>135000</v>
      </c>
      <c r="L96" s="17" t="s">
        <v>1152</v>
      </c>
      <c r="M96" s="1">
        <v>46139</v>
      </c>
      <c r="N96" s="17" t="s">
        <v>5</v>
      </c>
      <c r="O96" t="s">
        <v>1099</v>
      </c>
      <c r="P96" t="s">
        <v>1105</v>
      </c>
    </row>
    <row r="97" spans="1:16" x14ac:dyDescent="0.25">
      <c r="A97" t="s">
        <v>642</v>
      </c>
      <c r="B97">
        <v>1</v>
      </c>
      <c r="C97" s="17" t="s">
        <v>7</v>
      </c>
      <c r="D97" s="17" t="s">
        <v>29</v>
      </c>
      <c r="E97" s="17" t="s">
        <v>30</v>
      </c>
      <c r="F97">
        <v>6</v>
      </c>
      <c r="G97">
        <v>1500000</v>
      </c>
      <c r="H97">
        <v>5000</v>
      </c>
      <c r="I97" s="17" t="s">
        <v>1109</v>
      </c>
      <c r="J97">
        <v>-1495000</v>
      </c>
      <c r="K97">
        <v>1495000</v>
      </c>
      <c r="L97" s="17" t="s">
        <v>22</v>
      </c>
      <c r="M97" s="1"/>
      <c r="N97" s="17" t="s">
        <v>10</v>
      </c>
      <c r="O97" t="s">
        <v>1099</v>
      </c>
      <c r="P97" t="s">
        <v>1138</v>
      </c>
    </row>
    <row r="98" spans="1:16" x14ac:dyDescent="0.25">
      <c r="A98" t="s">
        <v>645</v>
      </c>
      <c r="B98">
        <v>1</v>
      </c>
      <c r="C98" s="17" t="s">
        <v>25</v>
      </c>
      <c r="D98" s="17" t="s">
        <v>17</v>
      </c>
      <c r="E98" s="17" t="s">
        <v>32</v>
      </c>
      <c r="F98">
        <v>5</v>
      </c>
      <c r="G98">
        <v>1250000</v>
      </c>
      <c r="H98">
        <v>0</v>
      </c>
      <c r="I98" s="17" t="s">
        <v>92</v>
      </c>
      <c r="L98" s="17" t="s">
        <v>402</v>
      </c>
      <c r="M98" s="1">
        <v>46237</v>
      </c>
      <c r="N98" s="17" t="s">
        <v>10</v>
      </c>
      <c r="O98" t="s">
        <v>1099</v>
      </c>
      <c r="P98" t="s">
        <v>1105</v>
      </c>
    </row>
    <row r="99" spans="1:16" x14ac:dyDescent="0.25">
      <c r="A99" t="s">
        <v>661</v>
      </c>
      <c r="B99">
        <v>1</v>
      </c>
      <c r="C99" s="17" t="s">
        <v>2</v>
      </c>
      <c r="D99" s="17" t="s">
        <v>17</v>
      </c>
      <c r="E99" s="17" t="s">
        <v>30</v>
      </c>
      <c r="F99">
        <v>10</v>
      </c>
      <c r="G99">
        <v>1850000</v>
      </c>
      <c r="H99">
        <v>0</v>
      </c>
      <c r="I99" s="17" t="s">
        <v>1153</v>
      </c>
      <c r="J99">
        <v>-1850000</v>
      </c>
      <c r="K99">
        <v>1850000</v>
      </c>
      <c r="L99" s="17" t="s">
        <v>1154</v>
      </c>
      <c r="M99" s="1">
        <v>46072</v>
      </c>
      <c r="N99" s="17" t="s">
        <v>5</v>
      </c>
      <c r="O99" t="s">
        <v>1099</v>
      </c>
      <c r="P99" t="s">
        <v>1105</v>
      </c>
    </row>
    <row r="100" spans="1:16" x14ac:dyDescent="0.25">
      <c r="A100" t="s">
        <v>667</v>
      </c>
      <c r="B100">
        <v>1</v>
      </c>
      <c r="C100" s="17" t="s">
        <v>2</v>
      </c>
      <c r="D100" s="17" t="s">
        <v>3</v>
      </c>
      <c r="E100" s="17" t="s">
        <v>18</v>
      </c>
      <c r="F100">
        <v>8</v>
      </c>
      <c r="G100">
        <v>360000</v>
      </c>
      <c r="H100">
        <v>0</v>
      </c>
      <c r="I100" s="17" t="s">
        <v>1155</v>
      </c>
      <c r="J100">
        <v>-360000</v>
      </c>
      <c r="K100">
        <v>360000</v>
      </c>
      <c r="L100" s="17" t="s">
        <v>1156</v>
      </c>
      <c r="M100" s="1">
        <v>46192</v>
      </c>
      <c r="N100" s="17" t="s">
        <v>20</v>
      </c>
      <c r="O100" t="s">
        <v>1099</v>
      </c>
      <c r="P100" t="s">
        <v>1105</v>
      </c>
    </row>
    <row r="101" spans="1:16" x14ac:dyDescent="0.25">
      <c r="A101" t="s">
        <v>724</v>
      </c>
      <c r="B101">
        <v>1</v>
      </c>
      <c r="C101" s="17" t="s">
        <v>2</v>
      </c>
      <c r="D101" s="17" t="s">
        <v>27</v>
      </c>
      <c r="E101" s="17" t="s">
        <v>30</v>
      </c>
      <c r="F101">
        <v>7</v>
      </c>
      <c r="G101">
        <v>1750000</v>
      </c>
      <c r="H101">
        <v>0</v>
      </c>
      <c r="I101" s="17" t="s">
        <v>1092</v>
      </c>
      <c r="J101">
        <v>1750000</v>
      </c>
      <c r="K101">
        <v>1750000</v>
      </c>
      <c r="L101" s="17" t="s">
        <v>22</v>
      </c>
      <c r="M101" s="1"/>
      <c r="N101" s="17" t="s">
        <v>20</v>
      </c>
      <c r="O101" t="s">
        <v>1099</v>
      </c>
      <c r="P101" t="s">
        <v>1102</v>
      </c>
    </row>
    <row r="102" spans="1:16" x14ac:dyDescent="0.25">
      <c r="A102" t="s">
        <v>725</v>
      </c>
      <c r="B102">
        <v>1</v>
      </c>
      <c r="C102" s="17" t="s">
        <v>7</v>
      </c>
      <c r="D102" s="17" t="s">
        <v>17</v>
      </c>
      <c r="E102" s="17" t="s">
        <v>32</v>
      </c>
      <c r="F102">
        <v>2</v>
      </c>
      <c r="G102">
        <v>150000</v>
      </c>
      <c r="H102">
        <v>0</v>
      </c>
      <c r="I102" s="17" t="s">
        <v>1131</v>
      </c>
      <c r="J102">
        <v>-150000</v>
      </c>
      <c r="K102">
        <v>150000</v>
      </c>
      <c r="L102" s="17" t="s">
        <v>1157</v>
      </c>
      <c r="M102" s="1">
        <v>46183</v>
      </c>
      <c r="N102" s="17" t="s">
        <v>33</v>
      </c>
      <c r="O102" t="s">
        <v>1099</v>
      </c>
      <c r="P102" t="s">
        <v>1105</v>
      </c>
    </row>
    <row r="103" spans="1:16" x14ac:dyDescent="0.25">
      <c r="A103" t="s">
        <v>737</v>
      </c>
      <c r="B103">
        <v>1</v>
      </c>
      <c r="C103" s="17" t="s">
        <v>25</v>
      </c>
      <c r="D103" s="17" t="s">
        <v>3</v>
      </c>
      <c r="E103" s="17" t="s">
        <v>32</v>
      </c>
      <c r="F103">
        <v>5</v>
      </c>
      <c r="G103">
        <v>225000</v>
      </c>
      <c r="H103">
        <v>5000</v>
      </c>
      <c r="I103" s="17" t="s">
        <v>92</v>
      </c>
      <c r="L103" s="17" t="s">
        <v>183</v>
      </c>
      <c r="M103" s="1">
        <v>46054</v>
      </c>
      <c r="N103" s="17" t="s">
        <v>10</v>
      </c>
      <c r="O103" t="s">
        <v>1099</v>
      </c>
      <c r="P103" t="s">
        <v>1105</v>
      </c>
    </row>
    <row r="104" spans="1:16" x14ac:dyDescent="0.25">
      <c r="A104" t="s">
        <v>740</v>
      </c>
      <c r="B104">
        <v>1</v>
      </c>
      <c r="C104" s="17" t="s">
        <v>12</v>
      </c>
      <c r="D104" s="17" t="s">
        <v>27</v>
      </c>
      <c r="E104" s="17" t="s">
        <v>18</v>
      </c>
      <c r="F104">
        <v>3</v>
      </c>
      <c r="G104">
        <v>555000</v>
      </c>
      <c r="H104">
        <v>15000</v>
      </c>
      <c r="I104" s="17" t="s">
        <v>92</v>
      </c>
      <c r="L104" s="17" t="s">
        <v>76</v>
      </c>
      <c r="M104" s="1">
        <v>46039</v>
      </c>
      <c r="N104" s="17" t="s">
        <v>10</v>
      </c>
      <c r="O104" t="s">
        <v>1099</v>
      </c>
      <c r="P104" t="s">
        <v>1105</v>
      </c>
    </row>
    <row r="105" spans="1:16" x14ac:dyDescent="0.25">
      <c r="A105" t="s">
        <v>744</v>
      </c>
      <c r="B105">
        <v>1</v>
      </c>
      <c r="C105" s="17" t="s">
        <v>2</v>
      </c>
      <c r="D105" s="17" t="s">
        <v>27</v>
      </c>
      <c r="E105" s="17" t="s">
        <v>4</v>
      </c>
      <c r="F105">
        <v>1</v>
      </c>
      <c r="G105">
        <v>75000</v>
      </c>
      <c r="H105">
        <v>0</v>
      </c>
      <c r="I105" s="17" t="s">
        <v>1064</v>
      </c>
      <c r="J105">
        <v>75000</v>
      </c>
      <c r="K105">
        <v>75000</v>
      </c>
      <c r="L105" s="17" t="s">
        <v>22</v>
      </c>
      <c r="M105" s="1"/>
      <c r="N105" s="17" t="s">
        <v>5</v>
      </c>
      <c r="O105" t="s">
        <v>1099</v>
      </c>
      <c r="P105" t="s">
        <v>1102</v>
      </c>
    </row>
    <row r="106" spans="1:16" x14ac:dyDescent="0.25">
      <c r="A106" t="s">
        <v>748</v>
      </c>
      <c r="B106">
        <v>1</v>
      </c>
      <c r="C106" s="17" t="s">
        <v>12</v>
      </c>
      <c r="D106" s="17" t="s">
        <v>8</v>
      </c>
      <c r="E106" s="17" t="s">
        <v>32</v>
      </c>
      <c r="F106">
        <v>8</v>
      </c>
      <c r="G106">
        <v>600000</v>
      </c>
      <c r="H106">
        <v>5000</v>
      </c>
      <c r="I106" s="17" t="s">
        <v>1158</v>
      </c>
      <c r="J106">
        <v>-595000</v>
      </c>
      <c r="K106">
        <v>595000</v>
      </c>
      <c r="L106" s="17" t="s">
        <v>1159</v>
      </c>
      <c r="M106" s="1">
        <v>46138</v>
      </c>
      <c r="N106" s="17" t="s">
        <v>20</v>
      </c>
      <c r="O106" t="s">
        <v>1099</v>
      </c>
      <c r="P106" t="s">
        <v>1105</v>
      </c>
    </row>
    <row r="107" spans="1:16" x14ac:dyDescent="0.25">
      <c r="A107" t="s">
        <v>749</v>
      </c>
      <c r="B107">
        <v>1</v>
      </c>
      <c r="C107" s="17" t="s">
        <v>2</v>
      </c>
      <c r="D107" s="17" t="s">
        <v>29</v>
      </c>
      <c r="E107" s="17" t="s">
        <v>30</v>
      </c>
      <c r="F107">
        <v>5</v>
      </c>
      <c r="G107">
        <v>600000</v>
      </c>
      <c r="H107">
        <v>15000</v>
      </c>
      <c r="I107" s="17" t="s">
        <v>1072</v>
      </c>
      <c r="J107">
        <v>585000</v>
      </c>
      <c r="K107">
        <v>585000</v>
      </c>
      <c r="L107" s="17" t="s">
        <v>22</v>
      </c>
      <c r="M107" s="1"/>
      <c r="N107" s="17" t="s">
        <v>5</v>
      </c>
      <c r="O107" t="s">
        <v>1099</v>
      </c>
      <c r="P107" t="s">
        <v>1102</v>
      </c>
    </row>
    <row r="108" spans="1:16" x14ac:dyDescent="0.25">
      <c r="A108" t="s">
        <v>750</v>
      </c>
      <c r="B108">
        <v>1</v>
      </c>
      <c r="C108" s="17" t="s">
        <v>12</v>
      </c>
      <c r="D108" s="17" t="s">
        <v>17</v>
      </c>
      <c r="E108" s="17" t="s">
        <v>9</v>
      </c>
      <c r="F108">
        <v>9</v>
      </c>
      <c r="G108">
        <v>1665000</v>
      </c>
      <c r="H108">
        <v>0</v>
      </c>
      <c r="I108" s="17" t="s">
        <v>1080</v>
      </c>
      <c r="J108">
        <v>1665000</v>
      </c>
      <c r="K108">
        <v>1665000</v>
      </c>
      <c r="L108" s="17" t="s">
        <v>22</v>
      </c>
      <c r="M108" s="1"/>
      <c r="N108" s="17" t="s">
        <v>33</v>
      </c>
      <c r="O108" t="s">
        <v>1099</v>
      </c>
      <c r="P108" t="s">
        <v>1102</v>
      </c>
    </row>
    <row r="109" spans="1:16" x14ac:dyDescent="0.25">
      <c r="A109" t="s">
        <v>755</v>
      </c>
      <c r="B109">
        <v>1</v>
      </c>
      <c r="C109" s="17" t="s">
        <v>2</v>
      </c>
      <c r="D109" s="17" t="s">
        <v>17</v>
      </c>
      <c r="E109" s="17" t="s">
        <v>30</v>
      </c>
      <c r="F109">
        <v>4</v>
      </c>
      <c r="G109">
        <v>300000</v>
      </c>
      <c r="H109">
        <v>0</v>
      </c>
      <c r="I109" s="17" t="s">
        <v>1133</v>
      </c>
      <c r="J109">
        <v>-300000</v>
      </c>
      <c r="K109">
        <v>300000</v>
      </c>
      <c r="L109" s="17" t="s">
        <v>1160</v>
      </c>
      <c r="M109" s="1">
        <v>46157</v>
      </c>
      <c r="N109" s="17" t="s">
        <v>5</v>
      </c>
      <c r="O109" t="s">
        <v>1099</v>
      </c>
      <c r="P109" t="s">
        <v>1105</v>
      </c>
    </row>
    <row r="110" spans="1:16" x14ac:dyDescent="0.25">
      <c r="A110" t="s">
        <v>762</v>
      </c>
      <c r="B110">
        <v>1</v>
      </c>
      <c r="C110" s="17" t="s">
        <v>2</v>
      </c>
      <c r="D110" s="17" t="s">
        <v>13</v>
      </c>
      <c r="E110" s="17" t="s">
        <v>4</v>
      </c>
      <c r="F110">
        <v>5</v>
      </c>
      <c r="G110">
        <v>225000</v>
      </c>
      <c r="H110">
        <v>15000</v>
      </c>
      <c r="I110" s="17" t="s">
        <v>92</v>
      </c>
      <c r="L110" s="17" t="s">
        <v>688</v>
      </c>
      <c r="M110" s="1">
        <v>46236</v>
      </c>
      <c r="N110" s="17" t="s">
        <v>20</v>
      </c>
      <c r="O110" t="s">
        <v>1099</v>
      </c>
      <c r="P110" t="s">
        <v>1105</v>
      </c>
    </row>
    <row r="111" spans="1:16" x14ac:dyDescent="0.25">
      <c r="A111" t="s">
        <v>770</v>
      </c>
      <c r="B111">
        <v>1</v>
      </c>
      <c r="C111" s="17" t="s">
        <v>25</v>
      </c>
      <c r="D111" s="17" t="s">
        <v>17</v>
      </c>
      <c r="E111" s="17" t="s">
        <v>4</v>
      </c>
      <c r="F111">
        <v>4</v>
      </c>
      <c r="G111">
        <v>300000</v>
      </c>
      <c r="H111">
        <v>0</v>
      </c>
      <c r="I111" s="17" t="s">
        <v>1133</v>
      </c>
      <c r="J111">
        <v>-300000</v>
      </c>
      <c r="K111">
        <v>300000</v>
      </c>
      <c r="L111" s="17" t="s">
        <v>1161</v>
      </c>
      <c r="M111" s="1">
        <v>46121</v>
      </c>
      <c r="N111" s="17" t="s">
        <v>5</v>
      </c>
      <c r="O111" t="s">
        <v>1099</v>
      </c>
      <c r="P111" t="s">
        <v>1105</v>
      </c>
    </row>
    <row r="112" spans="1:16" x14ac:dyDescent="0.25">
      <c r="A112" t="s">
        <v>771</v>
      </c>
      <c r="B112">
        <v>1</v>
      </c>
      <c r="C112" s="17" t="s">
        <v>2</v>
      </c>
      <c r="D112" s="17" t="s">
        <v>29</v>
      </c>
      <c r="E112" s="17" t="s">
        <v>4</v>
      </c>
      <c r="F112">
        <v>6</v>
      </c>
      <c r="G112">
        <v>450000</v>
      </c>
      <c r="H112">
        <v>0</v>
      </c>
      <c r="I112" s="17" t="s">
        <v>92</v>
      </c>
      <c r="L112" s="17" t="s">
        <v>566</v>
      </c>
      <c r="M112" s="1">
        <v>46030</v>
      </c>
      <c r="N112" s="17" t="s">
        <v>33</v>
      </c>
      <c r="O112" t="s">
        <v>1099</v>
      </c>
      <c r="P112" t="s">
        <v>1105</v>
      </c>
    </row>
    <row r="113" spans="1:16" x14ac:dyDescent="0.25">
      <c r="A113" t="s">
        <v>790</v>
      </c>
      <c r="B113">
        <v>1</v>
      </c>
      <c r="C113" s="17" t="s">
        <v>2</v>
      </c>
      <c r="D113" s="17" t="s">
        <v>8</v>
      </c>
      <c r="E113" s="17" t="s">
        <v>30</v>
      </c>
      <c r="F113">
        <v>5</v>
      </c>
      <c r="G113">
        <v>600000</v>
      </c>
      <c r="H113">
        <v>0</v>
      </c>
      <c r="I113" s="17" t="s">
        <v>1162</v>
      </c>
      <c r="J113">
        <v>-600000</v>
      </c>
      <c r="K113">
        <v>600000</v>
      </c>
      <c r="L113" s="17" t="s">
        <v>1163</v>
      </c>
      <c r="M113" s="1">
        <v>46113</v>
      </c>
      <c r="N113" s="17" t="s">
        <v>33</v>
      </c>
      <c r="O113" t="s">
        <v>1099</v>
      </c>
      <c r="P113" t="s">
        <v>1105</v>
      </c>
    </row>
    <row r="114" spans="1:16" x14ac:dyDescent="0.25">
      <c r="A114" t="s">
        <v>808</v>
      </c>
      <c r="B114">
        <v>1</v>
      </c>
      <c r="C114" s="17" t="s">
        <v>2</v>
      </c>
      <c r="D114" s="17" t="s">
        <v>13</v>
      </c>
      <c r="E114" s="17" t="s">
        <v>18</v>
      </c>
      <c r="F114">
        <v>3</v>
      </c>
      <c r="G114">
        <v>750000</v>
      </c>
      <c r="H114">
        <v>0</v>
      </c>
      <c r="I114" s="17" t="s">
        <v>1073</v>
      </c>
      <c r="J114">
        <v>750000</v>
      </c>
      <c r="K114">
        <v>750000</v>
      </c>
      <c r="L114" s="17" t="s">
        <v>22</v>
      </c>
      <c r="M114" s="1"/>
      <c r="N114" s="17" t="s">
        <v>10</v>
      </c>
      <c r="O114" t="s">
        <v>1099</v>
      </c>
      <c r="P114" t="s">
        <v>1102</v>
      </c>
    </row>
    <row r="115" spans="1:16" x14ac:dyDescent="0.25">
      <c r="A115" t="s">
        <v>810</v>
      </c>
      <c r="B115">
        <v>1</v>
      </c>
      <c r="C115" s="17" t="s">
        <v>25</v>
      </c>
      <c r="D115" s="17" t="s">
        <v>29</v>
      </c>
      <c r="E115" s="17" t="s">
        <v>30</v>
      </c>
      <c r="F115">
        <v>1</v>
      </c>
      <c r="G115">
        <v>75000</v>
      </c>
      <c r="H115">
        <v>0</v>
      </c>
      <c r="I115" s="17" t="s">
        <v>1164</v>
      </c>
      <c r="J115">
        <v>-75000</v>
      </c>
      <c r="K115">
        <v>75000</v>
      </c>
      <c r="L115" s="17" t="s">
        <v>1165</v>
      </c>
      <c r="M115" s="1">
        <v>46089</v>
      </c>
      <c r="N115" s="17" t="s">
        <v>20</v>
      </c>
      <c r="O115" t="s">
        <v>1099</v>
      </c>
      <c r="P115" t="s">
        <v>1105</v>
      </c>
    </row>
    <row r="116" spans="1:16" x14ac:dyDescent="0.25">
      <c r="A116" t="s">
        <v>814</v>
      </c>
      <c r="B116">
        <v>1</v>
      </c>
      <c r="C116" s="17" t="s">
        <v>12</v>
      </c>
      <c r="D116" s="17" t="s">
        <v>17</v>
      </c>
      <c r="E116" s="17" t="s">
        <v>18</v>
      </c>
      <c r="F116">
        <v>9</v>
      </c>
      <c r="G116">
        <v>1080000</v>
      </c>
      <c r="H116">
        <v>10000</v>
      </c>
      <c r="I116" s="17" t="s">
        <v>1110</v>
      </c>
      <c r="J116">
        <v>1070000</v>
      </c>
      <c r="K116">
        <v>1070000</v>
      </c>
      <c r="L116" s="17" t="s">
        <v>22</v>
      </c>
      <c r="M116" s="1"/>
      <c r="N116" s="17" t="s">
        <v>5</v>
      </c>
      <c r="O116" t="s">
        <v>1099</v>
      </c>
      <c r="P116" t="s">
        <v>1102</v>
      </c>
    </row>
    <row r="117" spans="1:16" x14ac:dyDescent="0.25">
      <c r="A117" t="s">
        <v>826</v>
      </c>
      <c r="B117">
        <v>1</v>
      </c>
      <c r="C117" s="17" t="s">
        <v>25</v>
      </c>
      <c r="D117" s="17" t="s">
        <v>3</v>
      </c>
      <c r="E117" s="17" t="s">
        <v>30</v>
      </c>
      <c r="F117">
        <v>8</v>
      </c>
      <c r="G117">
        <v>600000</v>
      </c>
      <c r="H117">
        <v>0</v>
      </c>
      <c r="I117" s="17" t="s">
        <v>1162</v>
      </c>
      <c r="J117">
        <v>-600000</v>
      </c>
      <c r="K117">
        <v>600000</v>
      </c>
      <c r="L117" s="17" t="s">
        <v>1166</v>
      </c>
      <c r="M117" s="1">
        <v>46207</v>
      </c>
      <c r="N117" s="17" t="s">
        <v>33</v>
      </c>
      <c r="O117" t="s">
        <v>1099</v>
      </c>
      <c r="P117" t="s">
        <v>1105</v>
      </c>
    </row>
    <row r="118" spans="1:16" x14ac:dyDescent="0.25">
      <c r="A118" t="s">
        <v>828</v>
      </c>
      <c r="B118">
        <v>1</v>
      </c>
      <c r="C118" s="17" t="s">
        <v>25</v>
      </c>
      <c r="D118" s="17" t="s">
        <v>13</v>
      </c>
      <c r="E118" s="17" t="s">
        <v>18</v>
      </c>
      <c r="F118">
        <v>6</v>
      </c>
      <c r="G118">
        <v>1110000</v>
      </c>
      <c r="H118">
        <v>0</v>
      </c>
      <c r="I118" s="17" t="s">
        <v>92</v>
      </c>
      <c r="L118" s="17" t="s">
        <v>829</v>
      </c>
      <c r="M118" s="1">
        <v>46303</v>
      </c>
      <c r="N118" s="17" t="s">
        <v>10</v>
      </c>
      <c r="O118" t="s">
        <v>1099</v>
      </c>
      <c r="P118" t="s">
        <v>1105</v>
      </c>
    </row>
    <row r="119" spans="1:16" x14ac:dyDescent="0.25">
      <c r="A119" t="s">
        <v>834</v>
      </c>
      <c r="B119">
        <v>1</v>
      </c>
      <c r="C119" s="17" t="s">
        <v>2</v>
      </c>
      <c r="D119" s="17" t="s">
        <v>29</v>
      </c>
      <c r="E119" s="17" t="s">
        <v>32</v>
      </c>
      <c r="F119">
        <v>10</v>
      </c>
      <c r="G119">
        <v>1850000</v>
      </c>
      <c r="H119">
        <v>0</v>
      </c>
      <c r="I119" s="17" t="s">
        <v>1153</v>
      </c>
      <c r="J119">
        <v>-1850000</v>
      </c>
      <c r="K119">
        <v>1850000</v>
      </c>
      <c r="L119" s="17" t="s">
        <v>115</v>
      </c>
      <c r="M119" s="1">
        <v>46036</v>
      </c>
      <c r="N119" s="17" t="s">
        <v>10</v>
      </c>
      <c r="O119" t="s">
        <v>1099</v>
      </c>
      <c r="P119" t="s">
        <v>1105</v>
      </c>
    </row>
    <row r="120" spans="1:16" x14ac:dyDescent="0.25">
      <c r="A120" t="s">
        <v>841</v>
      </c>
      <c r="B120">
        <v>1</v>
      </c>
      <c r="C120" s="17" t="s">
        <v>25</v>
      </c>
      <c r="D120" s="17" t="s">
        <v>8</v>
      </c>
      <c r="E120" s="17" t="s">
        <v>4</v>
      </c>
      <c r="F120">
        <v>8</v>
      </c>
      <c r="G120">
        <v>960000</v>
      </c>
      <c r="H120">
        <v>10000</v>
      </c>
      <c r="I120" s="17" t="s">
        <v>1167</v>
      </c>
      <c r="J120">
        <v>-950000</v>
      </c>
      <c r="K120">
        <v>950000</v>
      </c>
      <c r="L120" s="17" t="s">
        <v>1168</v>
      </c>
      <c r="M120" s="1">
        <v>46160</v>
      </c>
      <c r="N120" s="17" t="s">
        <v>10</v>
      </c>
      <c r="O120" t="s">
        <v>1099</v>
      </c>
      <c r="P120" t="s">
        <v>1105</v>
      </c>
    </row>
    <row r="121" spans="1:16" x14ac:dyDescent="0.25">
      <c r="A121" t="s">
        <v>862</v>
      </c>
      <c r="B121">
        <v>1</v>
      </c>
      <c r="C121" s="17" t="s">
        <v>25</v>
      </c>
      <c r="D121" s="17" t="s">
        <v>27</v>
      </c>
      <c r="E121" s="17" t="s">
        <v>30</v>
      </c>
      <c r="F121">
        <v>4</v>
      </c>
      <c r="G121">
        <v>480000</v>
      </c>
      <c r="H121">
        <v>0</v>
      </c>
      <c r="I121" s="17" t="s">
        <v>1070</v>
      </c>
      <c r="J121">
        <v>480000</v>
      </c>
      <c r="K121">
        <v>480000</v>
      </c>
      <c r="L121" s="17" t="s">
        <v>22</v>
      </c>
      <c r="M121" s="1"/>
      <c r="N121" s="17" t="s">
        <v>10</v>
      </c>
      <c r="O121" t="s">
        <v>1099</v>
      </c>
      <c r="P121" t="s">
        <v>1102</v>
      </c>
    </row>
    <row r="122" spans="1:16" x14ac:dyDescent="0.25">
      <c r="A122" t="s">
        <v>873</v>
      </c>
      <c r="B122">
        <v>1</v>
      </c>
      <c r="C122" s="17" t="s">
        <v>25</v>
      </c>
      <c r="D122" s="17" t="s">
        <v>8</v>
      </c>
      <c r="E122" s="17" t="s">
        <v>18</v>
      </c>
      <c r="F122">
        <v>2</v>
      </c>
      <c r="G122">
        <v>370000</v>
      </c>
      <c r="H122">
        <v>0</v>
      </c>
      <c r="I122" s="17" t="s">
        <v>92</v>
      </c>
      <c r="L122" s="17" t="s">
        <v>65</v>
      </c>
      <c r="M122" s="1">
        <v>46162</v>
      </c>
      <c r="N122" s="17" t="s">
        <v>33</v>
      </c>
      <c r="O122" t="s">
        <v>1099</v>
      </c>
      <c r="P122" t="s">
        <v>1105</v>
      </c>
    </row>
    <row r="123" spans="1:16" x14ac:dyDescent="0.25">
      <c r="A123" t="s">
        <v>876</v>
      </c>
      <c r="B123">
        <v>1</v>
      </c>
      <c r="C123" s="17" t="s">
        <v>25</v>
      </c>
      <c r="D123" s="17" t="s">
        <v>8</v>
      </c>
      <c r="E123" s="17" t="s">
        <v>18</v>
      </c>
      <c r="F123">
        <v>1</v>
      </c>
      <c r="G123">
        <v>75000</v>
      </c>
      <c r="H123">
        <v>0</v>
      </c>
      <c r="I123" s="17" t="s">
        <v>92</v>
      </c>
      <c r="L123" s="17" t="s">
        <v>877</v>
      </c>
      <c r="M123" s="1">
        <v>46189</v>
      </c>
      <c r="N123" s="17" t="s">
        <v>10</v>
      </c>
      <c r="O123" t="s">
        <v>1099</v>
      </c>
      <c r="P123" t="s">
        <v>1105</v>
      </c>
    </row>
    <row r="124" spans="1:16" x14ac:dyDescent="0.25">
      <c r="A124" t="s">
        <v>883</v>
      </c>
      <c r="B124">
        <v>1</v>
      </c>
      <c r="C124" s="17" t="s">
        <v>25</v>
      </c>
      <c r="D124" s="17" t="s">
        <v>13</v>
      </c>
      <c r="E124" s="17" t="s">
        <v>18</v>
      </c>
      <c r="F124">
        <v>10</v>
      </c>
      <c r="G124">
        <v>750000</v>
      </c>
      <c r="H124">
        <v>0</v>
      </c>
      <c r="I124" s="17" t="s">
        <v>92</v>
      </c>
      <c r="L124" s="17" t="s">
        <v>884</v>
      </c>
      <c r="M124" s="1">
        <v>46195</v>
      </c>
      <c r="N124" s="17" t="s">
        <v>33</v>
      </c>
      <c r="O124" t="s">
        <v>1099</v>
      </c>
      <c r="P124" t="s">
        <v>1105</v>
      </c>
    </row>
    <row r="125" spans="1:16" x14ac:dyDescent="0.25">
      <c r="A125" t="s">
        <v>893</v>
      </c>
      <c r="B125">
        <v>1</v>
      </c>
      <c r="C125" s="17" t="s">
        <v>25</v>
      </c>
      <c r="D125" s="17" t="s">
        <v>29</v>
      </c>
      <c r="E125" s="17" t="s">
        <v>30</v>
      </c>
      <c r="F125">
        <v>1</v>
      </c>
      <c r="G125">
        <v>185000</v>
      </c>
      <c r="H125">
        <v>0</v>
      </c>
      <c r="I125" s="17" t="s">
        <v>1169</v>
      </c>
      <c r="J125">
        <v>-185000</v>
      </c>
      <c r="K125">
        <v>185000</v>
      </c>
      <c r="L125" s="17" t="s">
        <v>1170</v>
      </c>
      <c r="M125" s="1">
        <v>46212</v>
      </c>
      <c r="N125" s="17" t="s">
        <v>10</v>
      </c>
      <c r="O125" t="s">
        <v>1099</v>
      </c>
      <c r="P125" t="s">
        <v>1105</v>
      </c>
    </row>
    <row r="126" spans="1:16" x14ac:dyDescent="0.25">
      <c r="A126" t="s">
        <v>895</v>
      </c>
      <c r="B126">
        <v>1</v>
      </c>
      <c r="C126" s="17" t="s">
        <v>25</v>
      </c>
      <c r="D126" s="17" t="s">
        <v>27</v>
      </c>
      <c r="E126" s="17" t="s">
        <v>4</v>
      </c>
      <c r="F126">
        <v>6</v>
      </c>
      <c r="G126">
        <v>1500000</v>
      </c>
      <c r="H126">
        <v>0</v>
      </c>
      <c r="I126" s="17" t="s">
        <v>1171</v>
      </c>
      <c r="J126">
        <v>-1500000</v>
      </c>
      <c r="K126">
        <v>1500000</v>
      </c>
      <c r="L126" s="17" t="s">
        <v>1172</v>
      </c>
      <c r="M126" s="1">
        <v>46191</v>
      </c>
      <c r="N126" s="17" t="s">
        <v>33</v>
      </c>
      <c r="O126" t="s">
        <v>1099</v>
      </c>
      <c r="P126" t="s">
        <v>1105</v>
      </c>
    </row>
    <row r="127" spans="1:16" x14ac:dyDescent="0.25">
      <c r="A127" t="s">
        <v>899</v>
      </c>
      <c r="B127">
        <v>1</v>
      </c>
      <c r="C127" s="17" t="s">
        <v>25</v>
      </c>
      <c r="D127" s="17" t="s">
        <v>8</v>
      </c>
      <c r="E127" s="17" t="s">
        <v>32</v>
      </c>
      <c r="F127">
        <v>6</v>
      </c>
      <c r="G127">
        <v>1500000</v>
      </c>
      <c r="H127">
        <v>0</v>
      </c>
      <c r="I127" s="17" t="s">
        <v>92</v>
      </c>
      <c r="L127" s="17" t="s">
        <v>375</v>
      </c>
      <c r="M127" s="1">
        <v>46216</v>
      </c>
      <c r="N127" s="17" t="s">
        <v>10</v>
      </c>
      <c r="O127" t="s">
        <v>1099</v>
      </c>
      <c r="P127" t="s">
        <v>1105</v>
      </c>
    </row>
    <row r="128" spans="1:16" x14ac:dyDescent="0.25">
      <c r="A128" t="s">
        <v>915</v>
      </c>
      <c r="B128">
        <v>1</v>
      </c>
      <c r="C128" s="17" t="s">
        <v>7</v>
      </c>
      <c r="D128" s="17" t="s">
        <v>3</v>
      </c>
      <c r="E128" s="17" t="s">
        <v>9</v>
      </c>
      <c r="F128">
        <v>2</v>
      </c>
      <c r="G128">
        <v>370000</v>
      </c>
      <c r="H128">
        <v>0</v>
      </c>
      <c r="I128" s="17" t="s">
        <v>1173</v>
      </c>
      <c r="J128">
        <v>-370000</v>
      </c>
      <c r="K128">
        <v>370000</v>
      </c>
      <c r="L128" s="17" t="s">
        <v>1174</v>
      </c>
      <c r="M128" s="1">
        <v>46079</v>
      </c>
      <c r="N128" s="17" t="s">
        <v>20</v>
      </c>
      <c r="O128" t="s">
        <v>1099</v>
      </c>
      <c r="P128" t="s">
        <v>1105</v>
      </c>
    </row>
    <row r="129" spans="1:16" x14ac:dyDescent="0.25">
      <c r="A129" t="s">
        <v>958</v>
      </c>
      <c r="B129">
        <v>1</v>
      </c>
      <c r="C129" s="17" t="s">
        <v>25</v>
      </c>
      <c r="D129" s="17" t="s">
        <v>13</v>
      </c>
      <c r="E129" s="17" t="s">
        <v>4</v>
      </c>
      <c r="F129">
        <v>1</v>
      </c>
      <c r="G129">
        <v>120000</v>
      </c>
      <c r="H129">
        <v>0</v>
      </c>
      <c r="I129" s="17" t="s">
        <v>92</v>
      </c>
      <c r="L129" s="17" t="s">
        <v>331</v>
      </c>
      <c r="M129" s="1">
        <v>46127</v>
      </c>
      <c r="N129" s="17" t="s">
        <v>10</v>
      </c>
      <c r="O129" t="s">
        <v>1099</v>
      </c>
      <c r="P129" t="s">
        <v>1105</v>
      </c>
    </row>
    <row r="130" spans="1:16" x14ac:dyDescent="0.25">
      <c r="A130" t="s">
        <v>1009</v>
      </c>
      <c r="B130">
        <v>1</v>
      </c>
      <c r="C130" s="17" t="s">
        <v>12</v>
      </c>
      <c r="D130" s="17" t="s">
        <v>8</v>
      </c>
      <c r="E130" s="17" t="s">
        <v>18</v>
      </c>
      <c r="F130">
        <v>5</v>
      </c>
      <c r="G130">
        <v>225000</v>
      </c>
      <c r="H130">
        <v>0</v>
      </c>
      <c r="I130" s="17" t="s">
        <v>1146</v>
      </c>
      <c r="J130">
        <v>-225000</v>
      </c>
      <c r="K130">
        <v>225000</v>
      </c>
      <c r="L130" s="17" t="s">
        <v>1175</v>
      </c>
      <c r="M130" s="1">
        <v>46107</v>
      </c>
      <c r="N130" s="17" t="s">
        <v>10</v>
      </c>
      <c r="O130" t="s">
        <v>1099</v>
      </c>
      <c r="P130" t="s">
        <v>1105</v>
      </c>
    </row>
    <row r="131" spans="1:16" x14ac:dyDescent="0.25">
      <c r="A131" t="s">
        <v>1042</v>
      </c>
      <c r="B131">
        <v>1</v>
      </c>
      <c r="C131" s="17" t="s">
        <v>25</v>
      </c>
      <c r="D131" s="17" t="s">
        <v>8</v>
      </c>
      <c r="E131" s="17" t="s">
        <v>18</v>
      </c>
      <c r="F131">
        <v>1</v>
      </c>
      <c r="G131">
        <v>185000</v>
      </c>
      <c r="H131">
        <v>0</v>
      </c>
      <c r="I131" s="17" t="s">
        <v>1067</v>
      </c>
      <c r="J131">
        <v>185000</v>
      </c>
      <c r="K131">
        <v>185000</v>
      </c>
      <c r="L131" s="17" t="s">
        <v>22</v>
      </c>
      <c r="M131" s="1"/>
      <c r="N131" s="17" t="s">
        <v>20</v>
      </c>
      <c r="O131" t="s">
        <v>1099</v>
      </c>
      <c r="P131" t="s">
        <v>1102</v>
      </c>
    </row>
    <row r="132" spans="1:16" x14ac:dyDescent="0.25">
      <c r="A132" t="s">
        <v>1043</v>
      </c>
      <c r="B132">
        <v>1</v>
      </c>
      <c r="C132" s="17" t="s">
        <v>25</v>
      </c>
      <c r="D132" s="17" t="s">
        <v>29</v>
      </c>
      <c r="E132" s="17" t="s">
        <v>32</v>
      </c>
      <c r="F132">
        <v>8</v>
      </c>
      <c r="G132">
        <v>1480000</v>
      </c>
      <c r="H132">
        <v>10000</v>
      </c>
      <c r="I132" s="17" t="s">
        <v>1176</v>
      </c>
      <c r="J132">
        <v>-1470000</v>
      </c>
      <c r="K132">
        <v>1470000</v>
      </c>
      <c r="L132" s="17" t="s">
        <v>1177</v>
      </c>
      <c r="M132" s="1">
        <v>46122</v>
      </c>
      <c r="N132" s="17" t="s">
        <v>20</v>
      </c>
      <c r="O132" t="s">
        <v>1099</v>
      </c>
      <c r="P132" t="s">
        <v>1105</v>
      </c>
    </row>
    <row r="133" spans="1:16" x14ac:dyDescent="0.25">
      <c r="A133" t="s">
        <v>1048</v>
      </c>
      <c r="B133">
        <v>1</v>
      </c>
      <c r="C133" s="17" t="s">
        <v>12</v>
      </c>
      <c r="D133" s="17" t="s">
        <v>17</v>
      </c>
      <c r="E133" s="17" t="s">
        <v>32</v>
      </c>
      <c r="F133">
        <v>4</v>
      </c>
      <c r="G133">
        <v>1000000</v>
      </c>
      <c r="H133">
        <v>0</v>
      </c>
      <c r="I133" s="17" t="s">
        <v>1178</v>
      </c>
      <c r="J133">
        <v>-1000000</v>
      </c>
      <c r="K133">
        <v>1000000</v>
      </c>
      <c r="L133" s="17" t="s">
        <v>1179</v>
      </c>
      <c r="M133" s="1">
        <v>46080</v>
      </c>
      <c r="N133" s="17" t="s">
        <v>20</v>
      </c>
      <c r="O133" t="s">
        <v>1099</v>
      </c>
      <c r="P133" t="s">
        <v>1105</v>
      </c>
    </row>
    <row r="134" spans="1:16" x14ac:dyDescent="0.25">
      <c r="A134" t="s">
        <v>1050</v>
      </c>
      <c r="B134">
        <v>1</v>
      </c>
      <c r="C134" s="17" t="s">
        <v>25</v>
      </c>
      <c r="D134" s="17" t="s">
        <v>17</v>
      </c>
      <c r="E134" s="17" t="s">
        <v>9</v>
      </c>
      <c r="F134">
        <v>6</v>
      </c>
      <c r="G134">
        <v>450000</v>
      </c>
      <c r="H134">
        <v>0</v>
      </c>
      <c r="I134" s="17" t="s">
        <v>1059</v>
      </c>
      <c r="J134">
        <v>450000</v>
      </c>
      <c r="K134">
        <v>450000</v>
      </c>
      <c r="L134" s="17" t="s">
        <v>22</v>
      </c>
      <c r="M134" s="1"/>
      <c r="N134" s="17" t="s">
        <v>5</v>
      </c>
      <c r="O134" t="s">
        <v>1099</v>
      </c>
      <c r="P134" t="s">
        <v>1102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20FA4-0A73-4CF0-BA90-5D434E077D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Result_Audit</vt:lpstr>
      <vt:lpstr>DataOrder_Raw_Data</vt:lpstr>
      <vt:lpstr>DataOrder_ReadyUse</vt:lpstr>
      <vt:lpstr>DataOrder_Defect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Akbar</dc:creator>
  <cp:lastModifiedBy>Syafiq Akbar</cp:lastModifiedBy>
  <dcterms:created xsi:type="dcterms:W3CDTF">2026-10-17T07:22:25Z</dcterms:created>
  <dcterms:modified xsi:type="dcterms:W3CDTF">2026-10-19T07:38:59Z</dcterms:modified>
</cp:coreProperties>
</file>